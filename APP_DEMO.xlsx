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/>
  <xr:revisionPtr revIDLastSave="0" documentId="8_{5F671FBF-9A7D-4262-AD2A-49F8E5BBD0BD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Nghiệp vụ" sheetId="1" r:id="rId1"/>
    <sheet name="Hạ tầng đề xuất" sheetId="2" r:id="rId2"/>
    <sheet name="Yêu cầu chức năng chi tiế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3" i="3"/>
  <c r="K1" i="3" l="1"/>
</calcChain>
</file>

<file path=xl/sharedStrings.xml><?xml version="1.0" encoding="utf-8"?>
<sst xmlns="http://schemas.openxmlformats.org/spreadsheetml/2006/main" count="211" uniqueCount="160">
  <si>
    <t>STT</t>
  </si>
  <si>
    <t xml:space="preserve">Nội dung </t>
  </si>
  <si>
    <t>Task / Màn hình</t>
  </si>
  <si>
    <t>Chi tiết</t>
  </si>
  <si>
    <t>Codebase</t>
  </si>
  <si>
    <t>Dựng BE</t>
  </si>
  <si>
    <t>Dựng FE</t>
  </si>
  <si>
    <t>Dựng DB</t>
  </si>
  <si>
    <t>Dựng AI</t>
  </si>
  <si>
    <t>Lựa chọn AI - mô hình triển khai</t>
  </si>
  <si>
    <t>Infa</t>
  </si>
  <si>
    <t>Licence</t>
  </si>
  <si>
    <t>Dashboard</t>
  </si>
  <si>
    <t>Giao diện các chỉ số chính</t>
  </si>
  <si>
    <t>Ds chỉ số cần khai thác</t>
  </si>
  <si>
    <t>04 biểu đồ thể hiện biến đổi / tỷ lệ chỉ tiêu quan trọng của hệ thống</t>
  </si>
  <si>
    <t>Click cho phép tra cứu chi tiết</t>
  </si>
  <si>
    <t>Quản trị hệ thống</t>
  </si>
  <si>
    <t>Role</t>
  </si>
  <si>
    <t>Menu</t>
  </si>
  <si>
    <t>Menu-Role</t>
  </si>
  <si>
    <t>Group Role</t>
  </si>
  <si>
    <t>User</t>
  </si>
  <si>
    <t>Assign User - Group Role - List menu</t>
  </si>
  <si>
    <t>Master data</t>
  </si>
  <si>
    <t>Master</t>
  </si>
  <si>
    <r>
      <rPr>
        <b/>
        <sz val="12"/>
        <color rgb="FF000000"/>
        <rFont val="Times New Roman"/>
      </rPr>
      <t>-&gt; cụm này cho thành master data động à a?</t>
    </r>
  </si>
  <si>
    <t>Group Master</t>
  </si>
  <si>
    <t>Đơn vị</t>
  </si>
  <si>
    <t>Phòng ban</t>
  </si>
  <si>
    <t>Nhân viên</t>
  </si>
  <si>
    <t>Loại tài liệu...</t>
  </si>
  <si>
    <t>Quản lý Pdf file</t>
  </si>
  <si>
    <t>Upload</t>
  </si>
  <si>
    <t>Paste file directly into a share  forlder on server</t>
  </si>
  <si>
    <t>Job scan and move into Business folder</t>
  </si>
  <si>
    <t>Private folder cannot access from user</t>
  </si>
  <si>
    <t>Phân loại/ đánh dấu trạng thái xử lý/ chưa xử lý
Xử lý: Đọc dữ liệu vào db</t>
  </si>
  <si>
    <t>Job scan data - Ask AI</t>
  </si>
  <si>
    <t>Separate into nhiều request AI - max text - by file = 2000 ký tự
Cập nhật dữ liệu vào bảng nghiệp vụ - Children json
Nếu ít file -&gt; cập nhật dữ liệu thẳng vào json nghiệp vụ</t>
  </si>
  <si>
    <t>Job tổng hợp toàn bộ dữ liệu vào Json nghiệp vụ -&gt; có thể hỏi AI</t>
  </si>
  <si>
    <t>Tổng hợp dữ liệu vào bảng nghiệp vụ</t>
  </si>
  <si>
    <t>Quản lý thông tin</t>
  </si>
  <si>
    <t>Phân công việc cho người review</t>
  </si>
  <si>
    <t>List all - phân công; hỗ trợ chọn theo một số tiêu chí/ chưa xử lý/ loại tài liệu -&gt; tích chọn nhiều/
Phân theo tick all - paging cho chọn option đến 50 để hỗ trợ phân theo người phụ trách review đến 50 files/ lần submit</t>
  </si>
  <si>
    <t>Hỗ trợ màn hình preview PDF file - compare với bảng dữ liệu được hiển thị thông tin chi tiết từ bảng nghiệp vụ</t>
  </si>
  <si>
    <t>Cho phép sửa thông tin
Đánh dấu file sửa
Ghi nhận người sửa/ phân quyền sửa
Hỗ trợ việc phân quyền lại by Teamlead</t>
  </si>
  <si>
    <t>Báo giá thuê máy chủ GPU vật lý (3 tháng)</t>
  </si>
  <si>
    <t>Thành phần</t>
  </si>
  <si>
    <t>Tối thiểu</t>
  </si>
  <si>
    <t>Khuyến nghị cho 20 user</t>
  </si>
  <si>
    <t>Nhà cung cấp</t>
  </si>
  <si>
    <t>Cấu hình GPU</t>
  </si>
  <si>
    <t>Giá/tháng (VNĐ)</t>
  </si>
  <si>
    <t>Giá 3 tháng (VNĐ)</t>
  </si>
  <si>
    <t>Ghi chú</t>
  </si>
  <si>
    <t>GPU</t>
  </si>
  <si>
    <t>RTX 3060 (12GB, chỉ 1–2 user)</t>
  </si>
  <si>
    <t>RTX 4090 (24GB) hoặc A100/H100 (40–80GB)</t>
  </si>
  <si>
    <t>VinaHost</t>
  </si>
  <si>
    <t>Tesla V100 32GB</t>
  </si>
  <si>
    <t>~28.000.000</t>
  </si>
  <si>
    <t>~84.000.000</t>
  </si>
  <si>
    <t>CPU Xeon Gold, SSD NVMe, băng thông 100Mbps–900Mbps</t>
  </si>
  <si>
    <t>CPU</t>
  </si>
  <si>
    <t>16 lõi</t>
  </si>
  <si>
    <t>32–64 lõi (EPYC/Xeon)</t>
  </si>
  <si>
    <t>Tesla V100 64GB (dual)</t>
  </si>
  <si>
    <t>~40.000.000</t>
  </si>
  <si>
    <t>~120.000.000</t>
  </si>
  <si>
    <t>Hạ tầng Tier 3, Anti-DDoS</t>
  </si>
  <si>
    <t>RAM</t>
  </si>
  <si>
    <t>64GB</t>
  </si>
  <si>
    <t>128GB trở lên</t>
  </si>
  <si>
    <t>VNSO</t>
  </si>
  <si>
    <t>NVIDIA A100 40GB</t>
  </si>
  <si>
    <t>~28.080.000</t>
  </si>
  <si>
    <t>~84.240.000</t>
  </si>
  <si>
    <t>PCIe 4.0, 6.912 CUDA cores</t>
  </si>
  <si>
    <t>Storage</t>
  </si>
  <si>
    <t>SSD 512GB</t>
  </si>
  <si>
    <t>SSD NVMe 1TB+</t>
  </si>
  <si>
    <t>NVIDIA A100 80GB</t>
  </si>
  <si>
    <t>RAM ECC, hỗ trợ SR-IOV</t>
  </si>
  <si>
    <t>Hệ điều hành</t>
  </si>
  <si>
    <t>Linux/WSL2</t>
  </si>
  <si>
    <t>Linux (Ubuntu 22.04 LTS)</t>
  </si>
  <si>
    <t>DCT Technology</t>
  </si>
  <si>
    <t>Dedicated Server (Intel Gold 6138, 128GB RAM, 2TB SSD)</t>
  </si>
  <si>
    <t>~20.000.000</t>
  </si>
  <si>
    <t>~60.000.000</t>
  </si>
  <si>
    <t>Không GPU, phù hợp backend</t>
  </si>
  <si>
    <t>Báo giá hạ tầng GPU tại Việt Nam (2026)</t>
  </si>
  <si>
    <r>
      <t>Gemma 4:12B cần VRAM ≥40GB</t>
    </r>
    <r>
      <rPr>
        <sz val="11"/>
        <color theme="1"/>
        <rFont val="Times New Roman"/>
      </rPr>
      <t xml:space="preserve"> → lựa chọn tối thiểu là </t>
    </r>
    <r>
      <rPr>
        <b/>
        <sz val="11"/>
        <color theme="1"/>
        <rFont val="Times New Roman"/>
      </rPr>
      <t>A100 40GB</t>
    </r>
    <r>
      <rPr>
        <sz val="11"/>
        <color theme="1"/>
        <rFont val="Times New Roman"/>
      </rPr>
      <t>.</t>
    </r>
  </si>
  <si>
    <t>Giá/giờ (VNĐ)</t>
  </si>
  <si>
    <t>Giá/tháng (4h/ngày)</t>
  </si>
  <si>
    <r>
      <t>20 người dùng đồng thời</t>
    </r>
    <r>
      <rPr>
        <sz val="11"/>
        <color theme="1"/>
        <rFont val="Times New Roman"/>
      </rPr>
      <t xml:space="preserve"> → nên chọn </t>
    </r>
    <r>
      <rPr>
        <b/>
        <sz val="11"/>
        <color theme="1"/>
        <rFont val="Times New Roman"/>
      </rPr>
      <t>A100 80GB hoặc V100 64GB</t>
    </r>
    <r>
      <rPr>
        <sz val="11"/>
        <color theme="1"/>
        <rFont val="Times New Roman"/>
      </rPr>
      <t>, đảm bảo tốc độ inference.</t>
    </r>
  </si>
  <si>
    <t>Sunteco Cloud</t>
  </si>
  <si>
    <t>RTX 4090 (24GB)</t>
  </si>
  <si>
    <t>~40.000</t>
  </si>
  <si>
    <t>~4,8 triệu</t>
  </si>
  <si>
    <t>Hạ tầng Tier 3, hỗ trợ tiếng Việt</t>
  </si>
  <si>
    <r>
      <t>Chi phí 3 tháng</t>
    </r>
    <r>
      <rPr>
        <sz val="11"/>
        <color theme="1"/>
        <rFont val="Times New Roman"/>
      </rPr>
      <t>:</t>
    </r>
  </si>
  <si>
    <t>A100 (40GB)</t>
  </si>
  <si>
    <t>~50.000</t>
  </si>
  <si>
    <t>~6,0 triệu</t>
  </si>
  <si>
    <t>Training trung bình</t>
  </si>
  <si>
    <r>
      <t>A100 40GB</t>
    </r>
    <r>
      <rPr>
        <sz val="11"/>
        <color theme="1"/>
        <rFont val="Times New Roman"/>
      </rPr>
      <t>: ~84 triệu VNĐ.</t>
    </r>
  </si>
  <si>
    <t>A100 (80GB)</t>
  </si>
  <si>
    <t>~70.000</t>
  </si>
  <si>
    <t>~8,4 triệu</t>
  </si>
  <si>
    <t>Training lớn</t>
  </si>
  <si>
    <r>
      <t>A100 80GB / V100 64GB</t>
    </r>
    <r>
      <rPr>
        <sz val="11"/>
        <color theme="1"/>
        <rFont val="Times New Roman"/>
      </rPr>
      <t>: ~120 triệu VNĐ.</t>
    </r>
  </si>
  <si>
    <t>H100 (80GB)</t>
  </si>
  <si>
    <t>~80.000</t>
  </si>
  <si>
    <t>~9,6 triệu</t>
  </si>
  <si>
    <t>Production LLM</t>
  </si>
  <si>
    <r>
      <t>H100 80GB</t>
    </r>
    <r>
      <rPr>
        <sz val="11"/>
        <color theme="1"/>
        <rFont val="Times New Roman"/>
      </rPr>
      <t xml:space="preserve"> (nếu có): ~250 triệu VNĐ.</t>
    </r>
  </si>
  <si>
    <t>~3,5 triệu</t>
  </si>
  <si>
    <t>16 vCPU, 48GB RAM</t>
  </si>
  <si>
    <t>~5,9 triệu</t>
  </si>
  <si>
    <t>32 vCPU, 96GB RAM</t>
  </si>
  <si>
    <t>Dùng cho inference</t>
  </si>
  <si>
    <t>ThueGPU.vn</t>
  </si>
  <si>
    <t>RTX 3090/4090, A100, H100</t>
  </si>
  <si>
    <t>Từ 30.000–80.000</t>
  </si>
  <si>
    <t>3,6–9,6 triệu</t>
  </si>
  <si>
    <t>Datacenter FPT, bảo mật cao</t>
  </si>
  <si>
    <t>BA/ Test</t>
  </si>
  <si>
    <t>Dev FE</t>
  </si>
  <si>
    <t>Dev BE</t>
  </si>
  <si>
    <t>Manday</t>
  </si>
  <si>
    <t>Thông báo trang chủ</t>
  </si>
  <si>
    <t>Thông báo - danh sách thông báo/ xem thông báo</t>
  </si>
  <si>
    <t>Cấu hình/ chạy/ monitor schedule Job</t>
  </si>
  <si>
    <t>Quản lý template email/ notice</t>
  </si>
  <si>
    <t>Quản lý lịch sử email/notice</t>
  </si>
  <si>
    <t>Core engine</t>
  </si>
  <si>
    <t>Nhóm công việc</t>
  </si>
  <si>
    <t>Mô tả chi tiết</t>
  </si>
  <si>
    <t>Độ phức tạp</t>
  </si>
  <si>
    <t>Upload &amp; lưu trữ</t>
  </si>
  <si>
    <t>- Thiết kế module upload file trực tiếp lên server. - Tạo cơ chế phân quyền thư mục chia sẻ (share/private). - Kiểm soát truy cập: người dùng không thể truy cập thư mục private. - Tích hợp checksum để đảm bảo tính toàn vẹn file.</t>
  </si>
  <si>
    <t>Trung bình</t>
  </si>
  <si>
    <t>Quét &amp; phân loại dữ liệu</t>
  </si>
  <si>
    <r>
      <t xml:space="preserve">- Xây dựng job scan tự động di chuyển file vào thư mục Business. - Phân loại trạng thái xử lý: </t>
    </r>
    <r>
      <rPr>
        <i/>
        <sz val="12"/>
        <color theme="1"/>
        <rFont val="Times New Roman"/>
      </rPr>
      <t>chưa xử lý / đang xử lý / đã xử lý</t>
    </r>
    <r>
      <rPr>
        <sz val="12"/>
        <color theme="1"/>
        <rFont val="Times New Roman"/>
      </rPr>
      <t>. - Gắn metadata (ngày, người upload, loại tài liệu).</t>
    </r>
  </si>
  <si>
    <t>Cao</t>
  </si>
  <si>
    <t>Xử lý dữ liệu AI</t>
  </si>
  <si>
    <r>
      <t xml:space="preserve">- Tích hợp pipeline AI đọc nội dung PDF, chia nhỏ request theo giới hạn 2000 ký tự. - Áp dụng mô hình NLP để trích xuất thông tin nghiệp vụ (số hợp đồng, mã khách hàng, giá trị, ngày ký). - Tối ưu hiệu năng xử lý song song nhiều file. - Lưu kết quả vào bảng nghiệp vụ dạng </t>
    </r>
    <r>
      <rPr>
        <i/>
        <sz val="12"/>
        <color theme="1"/>
        <rFont val="Times New Roman"/>
      </rPr>
      <t>Children JSON</t>
    </r>
    <r>
      <rPr>
        <sz val="12"/>
        <color theme="1"/>
        <rFont val="Times New Roman"/>
      </rPr>
      <t>.</t>
    </r>
  </si>
  <si>
    <t>Rất cao</t>
  </si>
  <si>
    <t>Tổng hợp dữ liệu nghiệp vụ</t>
  </si>
  <si>
    <t>- Tự động hợp nhất dữ liệu từ nhiều file vào bảng nghiệp vụ chính. - Nếu số lượng file nhỏ → cập nhật trực tiếp vào JSON nghiệp vụ. - Thiết kế cơ chế đồng bộ dữ liệu hai chiều giữa DB và JSON. - Cho phép AI truy vấn và phản hồi dữ liệu nghiệp vụ.</t>
  </si>
  <si>
    <t>Kiểm thử &amp; triển khai</t>
  </si>
  <si>
    <t>- Viết test case cho từng module (upload, scan, AI, tổng hợp). - Benchmark hiệu năng (token/sec, throughput). - Triển khai staging và production. - Đào tạo người dùng nội bộ.</t>
  </si>
  <si>
    <t>Báo cáo</t>
  </si>
  <si>
    <t>Report 1</t>
  </si>
  <si>
    <t>Report 2</t>
  </si>
  <si>
    <t>Report 3</t>
  </si>
  <si>
    <t>Report 4</t>
  </si>
  <si>
    <t>Report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</si>
</sst>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u/>
      <sz val="11"/>
      <color theme="10"/>
      <name val="Aptos Narrow"/>
      <family val="2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b/>
      <u/>
      <sz val="11"/>
      <color theme="1"/>
      <name val="Times New Roman"/>
    </font>
    <font>
      <u/>
      <sz val="11"/>
      <color theme="10"/>
      <name val="Times New Roman"/>
    </font>
    <font>
      <i/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2" xfId="0" quotePrefix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6" fillId="0" borderId="0" xfId="0" applyFont="1"/>
    <xf numFmtId="0" fontId="7" fillId="0" borderId="1" xfId="0" applyFont="1" applyBorder="1"/>
    <xf numFmtId="0" fontId="7" fillId="2" borderId="1" xfId="0" applyFont="1" applyFill="1" applyBorder="1"/>
    <xf numFmtId="0" fontId="8" fillId="0" borderId="1" xfId="1" applyFont="1" applyBorder="1"/>
    <xf numFmtId="0" fontId="6" fillId="0" borderId="1" xfId="0" applyFont="1" applyBorder="1"/>
    <xf numFmtId="0" fontId="9" fillId="0" borderId="1" xfId="1" applyFont="1" applyBorder="1"/>
    <xf numFmtId="0" fontId="7" fillId="0" borderId="0" xfId="0" applyFont="1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wrapText="1"/>
    </xf>
    <xf numFmtId="0" fontId="2" fillId="2" borderId="5" xfId="0" applyFont="1" applyFill="1" applyBorder="1" applyAlignment="1">
      <alignment vertical="center" wrapText="1"/>
    </xf>
    <xf numFmtId="0" fontId="2" fillId="0" borderId="5" xfId="0" applyFont="1" applyBorder="1"/>
    <xf numFmtId="0" fontId="1" fillId="0" borderId="5" xfId="0" quotePrefix="1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wrapText="1"/>
    </xf>
  </cellXfs>
  <cellStyles count="2">
    <cellStyle name="Bình thường" xfId="0" builtinId="0"/>
    <cellStyle name="Hyperlink" xfId="1" xr:uid="{00000000-000B-0000-0000-000008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34</xdr:col>
      <xdr:colOff>152400</xdr:colOff>
      <xdr:row>34</xdr:row>
      <xdr:rowOff>762000</xdr:rowOff>
    </xdr:to>
    <xdr:pic>
      <xdr:nvPicPr>
        <xdr:cNvPr id="3" name="Ảnh 1">
          <a:extLst>
            <a:ext uri="{FF2B5EF4-FFF2-40B4-BE49-F238E27FC236}">
              <a16:creationId xmlns:a16="http://schemas.microsoft.com/office/drawing/2014/main" id="{511442CE-6025-62CC-4CE8-F270663E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21150" y="400050"/>
          <a:ext cx="14782800" cy="831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ca://s?q=VinaHost_GPU_Server" TargetMode="External"/><Relationship Id="rId2" Type="http://schemas.openxmlformats.org/officeDocument/2006/relationships/hyperlink" Target="ca://s?q=C%E1%BA%A5u_h%C3%ACnh_GPU_thu%C3%AA_m%C3%A1y_ch%E1%BB%A7_VN" TargetMode="External"/><Relationship Id="rId1" Type="http://schemas.openxmlformats.org/officeDocument/2006/relationships/hyperlink" Target="ca://s?q=Nh%C3%A0_cung_c%E1%BA%A5p_thu%C3%AA_m%C3%A1y_ch%E1%BB%A7_VN" TargetMode="External"/><Relationship Id="rId5" Type="http://schemas.openxmlformats.org/officeDocument/2006/relationships/hyperlink" Target="ca://s?q=DCT_Technology_Dedicated_Server" TargetMode="External"/><Relationship Id="rId4" Type="http://schemas.openxmlformats.org/officeDocument/2006/relationships/hyperlink" Target="ca://s?q=VNSO_GPU_Serve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ca://s?q=Upload_v%C3%A0_l%C6%B0u_tr%E1%BB%AF_PDF" TargetMode="External"/><Relationship Id="rId3" Type="http://schemas.openxmlformats.org/officeDocument/2006/relationships/hyperlink" Target="ca://s?q=Qu%C3%A9t_v%C3%A0_ph%C3%A2n_lo%E1%BA%A1i_d%E1%BB%AF_li%E1%BB%87u_PDF" TargetMode="External"/><Relationship Id="rId7" Type="http://schemas.openxmlformats.org/officeDocument/2006/relationships/hyperlink" Target="ca://s?q=Nh%C3%B3m_c%C3%B4ng_vi%E1%BB%87c_Qu%E1%BA%A3n_l%C3%BD_PDF_file" TargetMode="External"/><Relationship Id="rId12" Type="http://schemas.openxmlformats.org/officeDocument/2006/relationships/hyperlink" Target="ca://s?q=Ki%E1%BB%83m_th%E1%BB%AD_tri%E1%BB%83n_khai_PDF_AI" TargetMode="External"/><Relationship Id="rId2" Type="http://schemas.openxmlformats.org/officeDocument/2006/relationships/hyperlink" Target="ca://s?q=Upload_v%C3%A0_l%C6%B0u_tr%E1%BB%AF_PDF" TargetMode="External"/><Relationship Id="rId1" Type="http://schemas.openxmlformats.org/officeDocument/2006/relationships/hyperlink" Target="ca://s?q=Nh%C3%B3m_c%C3%B4ng_vi%E1%BB%87c_Qu%E1%BA%A3n_l%C3%BD_PDF_file" TargetMode="External"/><Relationship Id="rId6" Type="http://schemas.openxmlformats.org/officeDocument/2006/relationships/hyperlink" Target="ca://s?q=Ki%E1%BB%83m_th%E1%BB%AD_tri%E1%BB%83n_khai_PDF_AI" TargetMode="External"/><Relationship Id="rId11" Type="http://schemas.openxmlformats.org/officeDocument/2006/relationships/hyperlink" Target="ca://s?q=T%E1%BB%95ng_h%E1%BB%A3p_d%E1%BB%AF_li%E1%BB%87u_nghi%E1%BB%87p_v%E1%BB%A5_PDF" TargetMode="External"/><Relationship Id="rId5" Type="http://schemas.openxmlformats.org/officeDocument/2006/relationships/hyperlink" Target="ca://s?q=T%E1%BB%95ng_h%E1%BB%A3p_d%E1%BB%AF_li%E1%BB%87u_nghi%E1%BB%87p_v%E1%BB%A5_PDF" TargetMode="External"/><Relationship Id="rId10" Type="http://schemas.openxmlformats.org/officeDocument/2006/relationships/hyperlink" Target="ca://s?q=X%E1%BB%AD_l%C3%BD_d%E1%BB%AF_li%E1%BB%87u_AI_PDF" TargetMode="External"/><Relationship Id="rId4" Type="http://schemas.openxmlformats.org/officeDocument/2006/relationships/hyperlink" Target="ca://s?q=X%E1%BB%AD_l%C3%BD_d%E1%BB%AF_li%E1%BB%87u_AI_PDF" TargetMode="External"/><Relationship Id="rId9" Type="http://schemas.openxmlformats.org/officeDocument/2006/relationships/hyperlink" Target="ca://s?q=Qu%C3%A9t_v%C3%A0_ph%C3%A2n_lo%E1%BA%A1i_d%E1%BB%AF_li%E1%BB%87u_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workbookViewId="0">
      <selection activeCell="D43" sqref="D43"/>
    </sheetView>
  </sheetViews>
  <sheetFormatPr defaultRowHeight="15"/>
  <cols>
    <col min="1" max="4" width="9.140625" style="3"/>
    <col min="5" max="5" width="29.7109375" style="3" customWidth="1"/>
    <col min="6" max="6" width="70" style="3" customWidth="1"/>
    <col min="7" max="7" width="88.5703125" style="3" customWidth="1"/>
    <col min="8" max="16384" width="9.140625" style="3"/>
  </cols>
  <sheetData>
    <row r="1" spans="1:8" ht="15.75">
      <c r="A1" s="2"/>
      <c r="B1" s="2"/>
      <c r="C1" s="2"/>
      <c r="D1" s="2"/>
      <c r="E1" s="2"/>
      <c r="F1" s="2"/>
      <c r="G1" s="2"/>
      <c r="H1" s="2"/>
    </row>
    <row r="2" spans="1:8" ht="15.75">
      <c r="A2" s="2"/>
      <c r="B2" s="2"/>
      <c r="C2" s="2"/>
      <c r="D2" s="2"/>
      <c r="E2" s="2"/>
      <c r="F2" s="2"/>
      <c r="G2" s="2"/>
      <c r="H2" s="2"/>
    </row>
    <row r="3" spans="1:8" ht="15.75">
      <c r="A3" s="2"/>
      <c r="B3" s="2"/>
      <c r="C3" s="2"/>
      <c r="D3" s="4" t="s">
        <v>0</v>
      </c>
      <c r="E3" s="4" t="s">
        <v>1</v>
      </c>
      <c r="F3" s="4" t="s">
        <v>2</v>
      </c>
      <c r="G3" s="4" t="s">
        <v>3</v>
      </c>
      <c r="H3" s="2"/>
    </row>
    <row r="4" spans="1:8" ht="15.75">
      <c r="A4" s="2"/>
      <c r="B4" s="2"/>
      <c r="C4" s="2"/>
      <c r="D4" s="1">
        <v>1</v>
      </c>
      <c r="E4" s="5" t="s">
        <v>4</v>
      </c>
      <c r="F4" s="1"/>
      <c r="G4" s="1"/>
      <c r="H4" s="2"/>
    </row>
    <row r="5" spans="1:8" ht="15.75">
      <c r="A5" s="2"/>
      <c r="B5" s="2"/>
      <c r="C5" s="2"/>
      <c r="D5" s="1"/>
      <c r="E5" s="5"/>
      <c r="F5" s="1" t="s">
        <v>5</v>
      </c>
      <c r="G5" s="1"/>
      <c r="H5" s="2"/>
    </row>
    <row r="6" spans="1:8" ht="15.75">
      <c r="A6" s="2"/>
      <c r="B6" s="2"/>
      <c r="C6" s="2"/>
      <c r="D6" s="1"/>
      <c r="E6" s="5"/>
      <c r="F6" s="1" t="s">
        <v>6</v>
      </c>
      <c r="G6" s="1"/>
      <c r="H6" s="2"/>
    </row>
    <row r="7" spans="1:8" ht="15.75">
      <c r="A7" s="2"/>
      <c r="B7" s="2"/>
      <c r="C7" s="2"/>
      <c r="D7" s="1"/>
      <c r="E7" s="5"/>
      <c r="F7" s="1" t="s">
        <v>7</v>
      </c>
      <c r="G7" s="1"/>
      <c r="H7" s="2"/>
    </row>
    <row r="8" spans="1:8" ht="15.75">
      <c r="A8" s="2"/>
      <c r="B8" s="2"/>
      <c r="C8" s="2"/>
      <c r="D8" s="1"/>
      <c r="E8" s="5"/>
      <c r="F8" s="1" t="s">
        <v>8</v>
      </c>
      <c r="G8" s="1" t="s">
        <v>9</v>
      </c>
      <c r="H8" s="2"/>
    </row>
    <row r="9" spans="1:8" ht="15.75">
      <c r="A9" s="2"/>
      <c r="B9" s="2"/>
      <c r="C9" s="2"/>
      <c r="D9" s="1"/>
      <c r="E9" s="5"/>
      <c r="F9" s="1"/>
      <c r="G9" s="1" t="s">
        <v>10</v>
      </c>
      <c r="H9" s="2"/>
    </row>
    <row r="10" spans="1:8" ht="15.75">
      <c r="A10" s="2"/>
      <c r="B10" s="2"/>
      <c r="C10" s="2"/>
      <c r="D10" s="1"/>
      <c r="E10" s="5"/>
      <c r="F10" s="1"/>
      <c r="G10" s="1" t="s">
        <v>11</v>
      </c>
      <c r="H10" s="2"/>
    </row>
    <row r="11" spans="1:8" ht="15.75">
      <c r="A11" s="2"/>
      <c r="B11" s="2"/>
      <c r="C11" s="2"/>
      <c r="D11" s="1">
        <v>2</v>
      </c>
      <c r="E11" s="5" t="s">
        <v>12</v>
      </c>
      <c r="F11" s="1" t="s">
        <v>13</v>
      </c>
      <c r="G11" s="1" t="s">
        <v>14</v>
      </c>
      <c r="H11" s="2"/>
    </row>
    <row r="12" spans="1:8" ht="15.75">
      <c r="A12" s="2"/>
      <c r="B12" s="2"/>
      <c r="C12" s="2"/>
      <c r="D12" s="1"/>
      <c r="E12" s="5"/>
      <c r="F12" s="1"/>
      <c r="G12" s="1" t="s">
        <v>15</v>
      </c>
      <c r="H12" s="2"/>
    </row>
    <row r="13" spans="1:8" ht="15.75">
      <c r="A13" s="2"/>
      <c r="B13" s="2"/>
      <c r="C13" s="2"/>
      <c r="D13" s="1"/>
      <c r="E13" s="5"/>
      <c r="F13" s="1"/>
      <c r="G13" s="1" t="s">
        <v>16</v>
      </c>
      <c r="H13" s="2"/>
    </row>
    <row r="14" spans="1:8" ht="15.75">
      <c r="A14" s="2"/>
      <c r="B14" s="2"/>
      <c r="C14" s="2"/>
      <c r="D14" s="1">
        <v>3</v>
      </c>
      <c r="E14" s="5" t="s">
        <v>17</v>
      </c>
      <c r="F14" s="1"/>
      <c r="G14" s="1"/>
      <c r="H14" s="2"/>
    </row>
    <row r="15" spans="1:8" ht="15.75">
      <c r="A15" s="2"/>
      <c r="B15" s="2"/>
      <c r="C15" s="2"/>
      <c r="D15" s="1"/>
      <c r="E15" s="5"/>
      <c r="F15" s="1" t="s">
        <v>18</v>
      </c>
      <c r="G15" s="1"/>
      <c r="H15" s="2"/>
    </row>
    <row r="16" spans="1:8" ht="15.75">
      <c r="A16" s="2"/>
      <c r="B16" s="2"/>
      <c r="C16" s="2"/>
      <c r="D16" s="1"/>
      <c r="E16" s="5"/>
      <c r="F16" s="1" t="s">
        <v>19</v>
      </c>
      <c r="G16" s="1"/>
      <c r="H16" s="2"/>
    </row>
    <row r="17" spans="1:8" ht="15.75">
      <c r="A17" s="2"/>
      <c r="B17" s="2"/>
      <c r="C17" s="2"/>
      <c r="D17" s="1"/>
      <c r="E17" s="5"/>
      <c r="F17" s="1" t="s">
        <v>20</v>
      </c>
      <c r="G17" s="1"/>
      <c r="H17" s="2"/>
    </row>
    <row r="18" spans="1:8" ht="15.75">
      <c r="A18" s="2"/>
      <c r="B18" s="2"/>
      <c r="C18" s="2"/>
      <c r="D18" s="1"/>
      <c r="E18" s="5"/>
      <c r="F18" s="1" t="s">
        <v>21</v>
      </c>
      <c r="G18" s="1"/>
      <c r="H18" s="2"/>
    </row>
    <row r="19" spans="1:8" ht="15.75">
      <c r="A19" s="2"/>
      <c r="B19" s="2"/>
      <c r="C19" s="2"/>
      <c r="D19" s="1"/>
      <c r="E19" s="5"/>
      <c r="F19" s="1" t="s">
        <v>22</v>
      </c>
      <c r="G19" s="1" t="s">
        <v>23</v>
      </c>
      <c r="H19" s="2"/>
    </row>
    <row r="20" spans="1:8" ht="15.75">
      <c r="A20" s="2"/>
      <c r="B20" s="2"/>
      <c r="C20" s="2"/>
      <c r="D20" s="1">
        <v>4</v>
      </c>
      <c r="E20" s="5" t="s">
        <v>24</v>
      </c>
      <c r="F20" s="1"/>
      <c r="G20" s="1"/>
      <c r="H20" s="2"/>
    </row>
    <row r="21" spans="1:8" ht="15.75">
      <c r="A21" s="2"/>
      <c r="B21" s="2"/>
      <c r="C21" s="2"/>
      <c r="D21" s="1"/>
      <c r="E21" s="5"/>
      <c r="F21" s="1" t="s">
        <v>25</v>
      </c>
      <c r="G21" s="6" t="s">
        <v>26</v>
      </c>
      <c r="H21" s="2"/>
    </row>
    <row r="22" spans="1:8" ht="15.75">
      <c r="A22" s="2"/>
      <c r="B22" s="2"/>
      <c r="C22" s="2"/>
      <c r="D22" s="1"/>
      <c r="E22" s="5"/>
      <c r="F22" s="1" t="s">
        <v>27</v>
      </c>
      <c r="G22" s="7"/>
      <c r="H22" s="2"/>
    </row>
    <row r="23" spans="1:8" ht="15.75">
      <c r="A23" s="2"/>
      <c r="B23" s="2"/>
      <c r="C23" s="2"/>
      <c r="D23" s="1"/>
      <c r="E23" s="5"/>
      <c r="F23" s="1" t="s">
        <v>28</v>
      </c>
      <c r="G23" s="7"/>
      <c r="H23" s="2"/>
    </row>
    <row r="24" spans="1:8" ht="15.75">
      <c r="A24" s="2"/>
      <c r="B24" s="2"/>
      <c r="C24" s="2"/>
      <c r="D24" s="1"/>
      <c r="E24" s="5"/>
      <c r="F24" s="1" t="s">
        <v>29</v>
      </c>
      <c r="G24" s="7"/>
      <c r="H24" s="2"/>
    </row>
    <row r="25" spans="1:8" ht="15.75">
      <c r="A25" s="2"/>
      <c r="B25" s="2"/>
      <c r="C25" s="2"/>
      <c r="D25" s="1"/>
      <c r="E25" s="5"/>
      <c r="F25" s="1" t="s">
        <v>30</v>
      </c>
      <c r="G25" s="7"/>
      <c r="H25" s="2"/>
    </row>
    <row r="26" spans="1:8" ht="15.75">
      <c r="A26" s="2"/>
      <c r="B26" s="2"/>
      <c r="C26" s="2"/>
      <c r="D26" s="1"/>
      <c r="E26" s="5"/>
      <c r="F26" s="1" t="s">
        <v>31</v>
      </c>
      <c r="G26" s="8"/>
      <c r="H26" s="2"/>
    </row>
    <row r="27" spans="1:8" ht="15.75">
      <c r="A27" s="2"/>
      <c r="B27" s="2"/>
      <c r="C27" s="2"/>
      <c r="D27" s="1">
        <v>5</v>
      </c>
      <c r="E27" s="5" t="s">
        <v>32</v>
      </c>
      <c r="F27" s="1"/>
      <c r="G27" s="1"/>
      <c r="H27" s="2"/>
    </row>
    <row r="28" spans="1:8" ht="15.75">
      <c r="A28" s="2"/>
      <c r="B28" s="2"/>
      <c r="C28" s="2"/>
      <c r="D28" s="1"/>
      <c r="E28" s="5">
        <v>1</v>
      </c>
      <c r="F28" s="1" t="s">
        <v>33</v>
      </c>
      <c r="G28" s="1" t="s">
        <v>34</v>
      </c>
      <c r="H28" s="2"/>
    </row>
    <row r="29" spans="1:8" ht="15.75">
      <c r="A29" s="2"/>
      <c r="B29" s="2"/>
      <c r="C29" s="2"/>
      <c r="D29" s="1"/>
      <c r="E29" s="5">
        <v>2</v>
      </c>
      <c r="F29" s="1" t="s">
        <v>35</v>
      </c>
      <c r="G29" s="1" t="s">
        <v>36</v>
      </c>
      <c r="H29" s="2"/>
    </row>
    <row r="30" spans="1:8" ht="30.75">
      <c r="A30" s="2"/>
      <c r="B30" s="2"/>
      <c r="C30" s="2"/>
      <c r="D30" s="1"/>
      <c r="E30" s="5"/>
      <c r="F30" s="1"/>
      <c r="G30" s="1" t="s">
        <v>37</v>
      </c>
      <c r="H30" s="2"/>
    </row>
    <row r="31" spans="1:8" ht="45.75">
      <c r="A31" s="2"/>
      <c r="B31" s="2"/>
      <c r="C31" s="2"/>
      <c r="D31" s="1"/>
      <c r="E31" s="5">
        <v>3</v>
      </c>
      <c r="F31" s="1" t="s">
        <v>38</v>
      </c>
      <c r="G31" s="1" t="s">
        <v>39</v>
      </c>
      <c r="H31" s="2"/>
    </row>
    <row r="32" spans="1:8" ht="15.75">
      <c r="A32" s="2"/>
      <c r="B32" s="2"/>
      <c r="C32" s="2"/>
      <c r="D32" s="1"/>
      <c r="E32" s="5">
        <v>4</v>
      </c>
      <c r="F32" s="1" t="s">
        <v>40</v>
      </c>
      <c r="G32" s="1" t="s">
        <v>41</v>
      </c>
      <c r="H32" s="2"/>
    </row>
    <row r="33" spans="1:8" ht="15.75">
      <c r="A33" s="2"/>
      <c r="B33" s="2"/>
      <c r="C33" s="2"/>
      <c r="D33" s="1">
        <v>6</v>
      </c>
      <c r="E33" s="5" t="s">
        <v>42</v>
      </c>
      <c r="F33" s="1"/>
      <c r="G33" s="1"/>
      <c r="H33" s="2"/>
    </row>
    <row r="34" spans="1:8" ht="61.5">
      <c r="A34" s="2"/>
      <c r="B34" s="2"/>
      <c r="C34" s="2"/>
      <c r="D34" s="1"/>
      <c r="E34" s="5">
        <v>1</v>
      </c>
      <c r="F34" s="1" t="s">
        <v>43</v>
      </c>
      <c r="G34" s="1" t="s">
        <v>44</v>
      </c>
      <c r="H34" s="2"/>
    </row>
    <row r="35" spans="1:8" ht="61.5">
      <c r="A35" s="2"/>
      <c r="B35" s="2"/>
      <c r="C35" s="2"/>
      <c r="D35" s="1"/>
      <c r="E35" s="5">
        <v>2</v>
      </c>
      <c r="F35" s="1" t="s">
        <v>45</v>
      </c>
      <c r="G35" s="1" t="s">
        <v>46</v>
      </c>
      <c r="H35" s="2"/>
    </row>
    <row r="36" spans="1:8" ht="15.75">
      <c r="A36" s="2"/>
      <c r="B36" s="2"/>
      <c r="C36" s="2"/>
      <c r="D36" s="2"/>
      <c r="E36" s="2"/>
      <c r="F36" s="2"/>
      <c r="G36" s="2"/>
      <c r="H36" s="2"/>
    </row>
  </sheetData>
  <mergeCells count="1">
    <mergeCell ref="G21:G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FFBC-F2E2-4206-8889-F8929FEBCB34}">
  <dimension ref="D3:T22"/>
  <sheetViews>
    <sheetView workbookViewId="0">
      <selection activeCell="S22" sqref="S22"/>
    </sheetView>
  </sheetViews>
  <sheetFormatPr defaultRowHeight="15"/>
  <cols>
    <col min="1" max="3" width="9.140625" style="9"/>
    <col min="4" max="4" width="15.7109375" style="9" customWidth="1"/>
    <col min="5" max="5" width="22" style="9" customWidth="1"/>
    <col min="6" max="6" width="30.42578125" style="9" customWidth="1"/>
    <col min="7" max="7" width="41.42578125" style="9" customWidth="1"/>
    <col min="8" max="8" width="33.42578125" style="9" customWidth="1"/>
    <col min="9" max="15" width="9.140625" style="9"/>
    <col min="16" max="16" width="25" style="9" customWidth="1"/>
    <col min="17" max="17" width="27.42578125" style="9" customWidth="1"/>
    <col min="18" max="18" width="20" style="9" customWidth="1"/>
    <col min="19" max="19" width="29.42578125" style="9" customWidth="1"/>
    <col min="20" max="20" width="57.140625" style="9" customWidth="1"/>
    <col min="21" max="16384" width="9.140625" style="9"/>
  </cols>
  <sheetData>
    <row r="3" spans="4:20">
      <c r="P3" s="10" t="s">
        <v>47</v>
      </c>
      <c r="Q3" s="10"/>
      <c r="R3" s="10"/>
      <c r="S3" s="10"/>
      <c r="T3" s="10"/>
    </row>
    <row r="4" spans="4:20">
      <c r="D4" s="11" t="s">
        <v>0</v>
      </c>
      <c r="E4" s="11" t="s">
        <v>48</v>
      </c>
      <c r="F4" s="11" t="s">
        <v>49</v>
      </c>
      <c r="G4" s="11" t="s">
        <v>50</v>
      </c>
      <c r="P4" s="12" t="s">
        <v>51</v>
      </c>
      <c r="Q4" s="12" t="s">
        <v>52</v>
      </c>
      <c r="R4" s="10" t="s">
        <v>53</v>
      </c>
      <c r="S4" s="10" t="s">
        <v>54</v>
      </c>
      <c r="T4" s="10" t="s">
        <v>55</v>
      </c>
    </row>
    <row r="5" spans="4:20">
      <c r="D5" s="13">
        <v>1</v>
      </c>
      <c r="E5" s="10" t="s">
        <v>56</v>
      </c>
      <c r="F5" s="13" t="s">
        <v>57</v>
      </c>
      <c r="G5" s="13" t="s">
        <v>58</v>
      </c>
      <c r="P5" s="14" t="s">
        <v>59</v>
      </c>
      <c r="Q5" s="13" t="s">
        <v>60</v>
      </c>
      <c r="R5" s="13" t="s">
        <v>61</v>
      </c>
      <c r="S5" s="13" t="s">
        <v>62</v>
      </c>
      <c r="T5" s="13" t="s">
        <v>63</v>
      </c>
    </row>
    <row r="6" spans="4:20">
      <c r="D6" s="13">
        <v>2</v>
      </c>
      <c r="E6" s="10" t="s">
        <v>64</v>
      </c>
      <c r="F6" s="13" t="s">
        <v>65</v>
      </c>
      <c r="G6" s="13" t="s">
        <v>66</v>
      </c>
      <c r="P6" s="10"/>
      <c r="Q6" s="13" t="s">
        <v>67</v>
      </c>
      <c r="R6" s="13" t="s">
        <v>68</v>
      </c>
      <c r="S6" s="13" t="s">
        <v>69</v>
      </c>
      <c r="T6" s="13" t="s">
        <v>70</v>
      </c>
    </row>
    <row r="7" spans="4:20">
      <c r="D7" s="13">
        <v>3</v>
      </c>
      <c r="E7" s="10" t="s">
        <v>71</v>
      </c>
      <c r="F7" s="13" t="s">
        <v>72</v>
      </c>
      <c r="G7" s="13" t="s">
        <v>73</v>
      </c>
      <c r="P7" s="14" t="s">
        <v>74</v>
      </c>
      <c r="Q7" s="13" t="s">
        <v>75</v>
      </c>
      <c r="R7" s="13" t="s">
        <v>76</v>
      </c>
      <c r="S7" s="13" t="s">
        <v>77</v>
      </c>
      <c r="T7" s="13" t="s">
        <v>78</v>
      </c>
    </row>
    <row r="8" spans="4:20">
      <c r="D8" s="13">
        <v>4</v>
      </c>
      <c r="E8" s="10" t="s">
        <v>79</v>
      </c>
      <c r="F8" s="13" t="s">
        <v>80</v>
      </c>
      <c r="G8" s="13" t="s">
        <v>81</v>
      </c>
      <c r="P8" s="10"/>
      <c r="Q8" s="13" t="s">
        <v>82</v>
      </c>
      <c r="R8" s="13" t="s">
        <v>68</v>
      </c>
      <c r="S8" s="13" t="s">
        <v>69</v>
      </c>
      <c r="T8" s="13" t="s">
        <v>83</v>
      </c>
    </row>
    <row r="9" spans="4:20">
      <c r="D9" s="13">
        <v>5</v>
      </c>
      <c r="E9" s="10" t="s">
        <v>84</v>
      </c>
      <c r="F9" s="13" t="s">
        <v>85</v>
      </c>
      <c r="G9" s="13" t="s">
        <v>86</v>
      </c>
      <c r="P9" s="14" t="s">
        <v>87</v>
      </c>
      <c r="Q9" s="13" t="s">
        <v>88</v>
      </c>
      <c r="R9" s="13" t="s">
        <v>89</v>
      </c>
      <c r="S9" s="13" t="s">
        <v>90</v>
      </c>
      <c r="T9" s="13" t="s">
        <v>91</v>
      </c>
    </row>
    <row r="12" spans="4:20">
      <c r="D12" s="9" t="s">
        <v>92</v>
      </c>
    </row>
    <row r="13" spans="4:20">
      <c r="P13" s="15" t="s">
        <v>93</v>
      </c>
    </row>
    <row r="14" spans="4:20">
      <c r="D14" s="11" t="s">
        <v>51</v>
      </c>
      <c r="E14" s="11" t="s">
        <v>56</v>
      </c>
      <c r="F14" s="11" t="s">
        <v>94</v>
      </c>
      <c r="G14" s="11" t="s">
        <v>95</v>
      </c>
      <c r="H14" s="11" t="s">
        <v>55</v>
      </c>
      <c r="P14" s="15" t="s">
        <v>96</v>
      </c>
    </row>
    <row r="15" spans="4:20">
      <c r="D15" s="10" t="s">
        <v>97</v>
      </c>
      <c r="E15" s="13" t="s">
        <v>98</v>
      </c>
      <c r="F15" s="13" t="s">
        <v>99</v>
      </c>
      <c r="G15" s="13" t="s">
        <v>100</v>
      </c>
      <c r="H15" s="13" t="s">
        <v>101</v>
      </c>
      <c r="P15" s="15" t="s">
        <v>102</v>
      </c>
    </row>
    <row r="16" spans="4:20">
      <c r="D16" s="10"/>
      <c r="E16" s="13" t="s">
        <v>103</v>
      </c>
      <c r="F16" s="13" t="s">
        <v>104</v>
      </c>
      <c r="G16" s="13" t="s">
        <v>105</v>
      </c>
      <c r="H16" s="13" t="s">
        <v>106</v>
      </c>
      <c r="P16" s="15" t="s">
        <v>107</v>
      </c>
    </row>
    <row r="17" spans="4:16">
      <c r="D17" s="10"/>
      <c r="E17" s="13" t="s">
        <v>108</v>
      </c>
      <c r="F17" s="13" t="s">
        <v>109</v>
      </c>
      <c r="G17" s="13" t="s">
        <v>110</v>
      </c>
      <c r="H17" s="13" t="s">
        <v>111</v>
      </c>
      <c r="P17" s="15" t="s">
        <v>112</v>
      </c>
    </row>
    <row r="18" spans="4:16">
      <c r="D18" s="10"/>
      <c r="E18" s="13" t="s">
        <v>113</v>
      </c>
      <c r="F18" s="13" t="s">
        <v>114</v>
      </c>
      <c r="G18" s="13" t="s">
        <v>115</v>
      </c>
      <c r="H18" s="13" t="s">
        <v>116</v>
      </c>
      <c r="P18" s="15" t="s">
        <v>117</v>
      </c>
    </row>
    <row r="19" spans="4:16">
      <c r="D19" s="10" t="s">
        <v>74</v>
      </c>
      <c r="E19" s="13" t="s">
        <v>103</v>
      </c>
      <c r="F19" s="13">
        <v>29</v>
      </c>
      <c r="G19" s="13" t="s">
        <v>118</v>
      </c>
      <c r="H19" s="13" t="s">
        <v>119</v>
      </c>
    </row>
    <row r="20" spans="4:16">
      <c r="D20" s="10"/>
      <c r="E20" s="13" t="s">
        <v>108</v>
      </c>
      <c r="F20" s="13">
        <v>49</v>
      </c>
      <c r="G20" s="13" t="s">
        <v>120</v>
      </c>
      <c r="H20" s="13" t="s">
        <v>121</v>
      </c>
    </row>
    <row r="21" spans="4:16">
      <c r="D21" s="10"/>
      <c r="E21" s="13" t="s">
        <v>98</v>
      </c>
      <c r="F21" s="13" t="s">
        <v>99</v>
      </c>
      <c r="G21" s="13" t="s">
        <v>100</v>
      </c>
      <c r="H21" s="13" t="s">
        <v>122</v>
      </c>
    </row>
    <row r="22" spans="4:16">
      <c r="D22" s="10" t="s">
        <v>123</v>
      </c>
      <c r="E22" s="13" t="s">
        <v>124</v>
      </c>
      <c r="F22" s="13" t="s">
        <v>125</v>
      </c>
      <c r="G22" s="13" t="s">
        <v>126</v>
      </c>
      <c r="H22" s="13" t="s">
        <v>127</v>
      </c>
    </row>
  </sheetData>
  <hyperlinks>
    <hyperlink ref="P4" r:id="rId1" xr:uid="{70163A0C-4677-45CF-A6B1-7DB6FA520C08}"/>
    <hyperlink ref="Q4" r:id="rId2" xr:uid="{1106AA05-A553-4787-B50B-947F75DDBDCC}"/>
    <hyperlink ref="P5" r:id="rId3" xr:uid="{3F947441-9137-4ACE-8EEB-985988915F83}"/>
    <hyperlink ref="P7" r:id="rId4" xr:uid="{A3E0D5C2-9397-43FF-9398-C59D643CBF55}"/>
    <hyperlink ref="P9" r:id="rId5" xr:uid="{2EB5BB14-260F-4A60-868D-6A9EAB5EBD1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88B8-7CDA-4FCE-917E-E2877D74252B}">
  <dimension ref="C1:M45"/>
  <sheetViews>
    <sheetView tabSelected="1" workbookViewId="0">
      <pane ySplit="2" topLeftCell="A13" activePane="bottomLeft" state="frozen"/>
      <selection pane="bottomLeft" activeCell="V22" sqref="V22"/>
    </sheetView>
  </sheetViews>
  <sheetFormatPr defaultRowHeight="15.75"/>
  <cols>
    <col min="1" max="3" width="9.140625" style="2"/>
    <col min="4" max="4" width="28.28515625" style="2" customWidth="1"/>
    <col min="5" max="5" width="54.28515625" style="2" customWidth="1"/>
    <col min="6" max="6" width="94" style="2" customWidth="1"/>
    <col min="7" max="7" width="22" style="2" customWidth="1"/>
    <col min="8" max="10" width="11.42578125" style="33" customWidth="1"/>
    <col min="11" max="11" width="10" style="2" customWidth="1"/>
    <col min="12" max="16384" width="9.140625" style="2"/>
  </cols>
  <sheetData>
    <row r="1" spans="3:13">
      <c r="K1" s="2">
        <f>SUM(K3:K45)</f>
        <v>114.39999999999999</v>
      </c>
      <c r="M1" s="2">
        <f>K1*1.9</f>
        <v>217.35999999999999</v>
      </c>
    </row>
    <row r="2" spans="3:13">
      <c r="C2" s="17" t="s">
        <v>0</v>
      </c>
      <c r="D2" s="17" t="s">
        <v>1</v>
      </c>
      <c r="E2" s="17" t="s">
        <v>2</v>
      </c>
      <c r="F2" s="25" t="s">
        <v>3</v>
      </c>
      <c r="G2" s="17" t="s">
        <v>3</v>
      </c>
      <c r="H2" s="29" t="s">
        <v>128</v>
      </c>
      <c r="I2" s="29" t="s">
        <v>129</v>
      </c>
      <c r="J2" s="29" t="s">
        <v>130</v>
      </c>
      <c r="K2" s="17" t="s">
        <v>131</v>
      </c>
    </row>
    <row r="3" spans="3:13">
      <c r="C3" s="16">
        <v>1</v>
      </c>
      <c r="D3" s="18" t="s">
        <v>4</v>
      </c>
      <c r="E3" s="16"/>
      <c r="F3" s="23"/>
      <c r="G3" s="1"/>
      <c r="H3" s="30"/>
      <c r="I3" s="30"/>
      <c r="J3" s="30"/>
      <c r="K3" s="1">
        <f>SUM(H3:J3)</f>
        <v>0</v>
      </c>
    </row>
    <row r="4" spans="3:13">
      <c r="C4" s="16"/>
      <c r="D4" s="18"/>
      <c r="E4" s="16" t="s">
        <v>5</v>
      </c>
      <c r="F4" s="23"/>
      <c r="G4" s="1"/>
      <c r="H4" s="30"/>
      <c r="I4" s="30"/>
      <c r="J4" s="30">
        <v>3</v>
      </c>
      <c r="K4" s="1">
        <f t="shared" ref="K4:K45" si="0">SUM(H4:J4)</f>
        <v>3</v>
      </c>
    </row>
    <row r="5" spans="3:13">
      <c r="C5" s="16"/>
      <c r="D5" s="18"/>
      <c r="E5" s="16" t="s">
        <v>6</v>
      </c>
      <c r="F5" s="23"/>
      <c r="G5" s="1"/>
      <c r="H5" s="30"/>
      <c r="I5" s="30">
        <v>3</v>
      </c>
      <c r="J5" s="30"/>
      <c r="K5" s="1">
        <f t="shared" si="0"/>
        <v>3</v>
      </c>
    </row>
    <row r="6" spans="3:13">
      <c r="C6" s="16"/>
      <c r="D6" s="18"/>
      <c r="E6" s="16" t="s">
        <v>7</v>
      </c>
      <c r="F6" s="23"/>
      <c r="G6" s="1"/>
      <c r="H6" s="30"/>
      <c r="I6" s="30"/>
      <c r="J6" s="30">
        <v>2</v>
      </c>
      <c r="K6" s="1">
        <f t="shared" si="0"/>
        <v>2</v>
      </c>
    </row>
    <row r="7" spans="3:13">
      <c r="C7" s="16"/>
      <c r="D7" s="18"/>
      <c r="E7" s="16" t="s">
        <v>8</v>
      </c>
      <c r="F7" s="23" t="s">
        <v>9</v>
      </c>
      <c r="G7" s="1"/>
      <c r="H7" s="30"/>
      <c r="I7" s="30">
        <v>1</v>
      </c>
      <c r="J7" s="30"/>
      <c r="K7" s="1">
        <f t="shared" si="0"/>
        <v>1</v>
      </c>
    </row>
    <row r="8" spans="3:13">
      <c r="C8" s="16"/>
      <c r="D8" s="18"/>
      <c r="E8" s="16"/>
      <c r="F8" s="23" t="s">
        <v>10</v>
      </c>
      <c r="G8" s="1"/>
      <c r="H8" s="30"/>
      <c r="I8" s="30"/>
      <c r="J8" s="30"/>
      <c r="K8" s="1">
        <f t="shared" si="0"/>
        <v>0</v>
      </c>
    </row>
    <row r="9" spans="3:13">
      <c r="C9" s="16"/>
      <c r="D9" s="18"/>
      <c r="E9" s="16"/>
      <c r="F9" s="23" t="s">
        <v>11</v>
      </c>
      <c r="G9" s="1"/>
      <c r="H9" s="30"/>
      <c r="I9" s="30"/>
      <c r="J9" s="30"/>
      <c r="K9" s="1">
        <f t="shared" si="0"/>
        <v>0</v>
      </c>
    </row>
    <row r="10" spans="3:13">
      <c r="C10" s="16">
        <v>2</v>
      </c>
      <c r="D10" s="18" t="s">
        <v>132</v>
      </c>
      <c r="E10" s="16" t="s">
        <v>133</v>
      </c>
      <c r="F10" s="23"/>
      <c r="G10" s="1"/>
      <c r="H10" s="30">
        <v>2</v>
      </c>
      <c r="I10" s="30">
        <v>3</v>
      </c>
      <c r="J10" s="30">
        <v>2</v>
      </c>
      <c r="K10" s="1">
        <f t="shared" si="0"/>
        <v>7</v>
      </c>
    </row>
    <row r="11" spans="3:13">
      <c r="C11" s="16">
        <v>3</v>
      </c>
      <c r="D11" s="18" t="s">
        <v>12</v>
      </c>
      <c r="E11" s="16" t="s">
        <v>13</v>
      </c>
      <c r="F11" s="23" t="s">
        <v>14</v>
      </c>
      <c r="G11" s="1"/>
      <c r="H11" s="30">
        <v>1</v>
      </c>
      <c r="I11" s="30">
        <v>2</v>
      </c>
      <c r="J11" s="30">
        <v>2</v>
      </c>
      <c r="K11" s="1">
        <f t="shared" si="0"/>
        <v>5</v>
      </c>
    </row>
    <row r="12" spans="3:13">
      <c r="C12" s="16"/>
      <c r="D12" s="18"/>
      <c r="E12" s="16"/>
      <c r="F12" s="23" t="s">
        <v>15</v>
      </c>
      <c r="G12" s="1"/>
      <c r="H12" s="30">
        <v>1</v>
      </c>
      <c r="I12" s="30">
        <v>2</v>
      </c>
      <c r="J12" s="30">
        <v>2</v>
      </c>
      <c r="K12" s="1">
        <f t="shared" si="0"/>
        <v>5</v>
      </c>
    </row>
    <row r="13" spans="3:13">
      <c r="C13" s="16"/>
      <c r="D13" s="18"/>
      <c r="E13" s="16"/>
      <c r="F13" s="23" t="s">
        <v>16</v>
      </c>
      <c r="G13" s="1"/>
      <c r="H13" s="30">
        <v>1</v>
      </c>
      <c r="I13" s="30">
        <v>2</v>
      </c>
      <c r="J13" s="30">
        <v>2</v>
      </c>
      <c r="K13" s="1">
        <f t="shared" si="0"/>
        <v>5</v>
      </c>
    </row>
    <row r="14" spans="3:13">
      <c r="C14" s="16">
        <v>4</v>
      </c>
      <c r="D14" s="18" t="s">
        <v>17</v>
      </c>
      <c r="E14" s="16"/>
      <c r="F14" s="23"/>
      <c r="G14" s="1"/>
      <c r="H14" s="30"/>
      <c r="I14" s="30"/>
      <c r="J14" s="30"/>
      <c r="K14" s="1">
        <f t="shared" si="0"/>
        <v>0</v>
      </c>
    </row>
    <row r="15" spans="3:13">
      <c r="C15" s="16"/>
      <c r="D15" s="18"/>
      <c r="E15" s="16" t="s">
        <v>18</v>
      </c>
      <c r="F15" s="23"/>
      <c r="G15" s="1"/>
      <c r="H15" s="30">
        <v>0.3</v>
      </c>
      <c r="I15" s="30">
        <v>0.3</v>
      </c>
      <c r="J15" s="30">
        <v>0.3</v>
      </c>
      <c r="K15" s="1">
        <f t="shared" si="0"/>
        <v>0.89999999999999991</v>
      </c>
    </row>
    <row r="16" spans="3:13">
      <c r="C16" s="16"/>
      <c r="D16" s="18"/>
      <c r="E16" s="16" t="s">
        <v>19</v>
      </c>
      <c r="F16" s="23"/>
      <c r="G16" s="1"/>
      <c r="H16" s="30">
        <v>0.3</v>
      </c>
      <c r="I16" s="30">
        <v>0.3</v>
      </c>
      <c r="J16" s="30">
        <v>0.3</v>
      </c>
      <c r="K16" s="1">
        <f t="shared" si="0"/>
        <v>0.89999999999999991</v>
      </c>
    </row>
    <row r="17" spans="3:11">
      <c r="C17" s="16"/>
      <c r="D17" s="18"/>
      <c r="E17" s="16" t="s">
        <v>20</v>
      </c>
      <c r="F17" s="23"/>
      <c r="G17" s="1"/>
      <c r="H17" s="30">
        <v>0.3</v>
      </c>
      <c r="I17" s="30">
        <v>0.3</v>
      </c>
      <c r="J17" s="30">
        <v>0.3</v>
      </c>
      <c r="K17" s="1">
        <f t="shared" si="0"/>
        <v>0.89999999999999991</v>
      </c>
    </row>
    <row r="18" spans="3:11">
      <c r="C18" s="16"/>
      <c r="D18" s="18"/>
      <c r="E18" s="16" t="s">
        <v>21</v>
      </c>
      <c r="F18" s="23"/>
      <c r="G18" s="1"/>
      <c r="H18" s="30">
        <v>0.3</v>
      </c>
      <c r="I18" s="30">
        <v>0.3</v>
      </c>
      <c r="J18" s="30">
        <v>0.3</v>
      </c>
      <c r="K18" s="1">
        <f t="shared" si="0"/>
        <v>0.89999999999999991</v>
      </c>
    </row>
    <row r="19" spans="3:11">
      <c r="C19" s="16"/>
      <c r="D19" s="18"/>
      <c r="E19" s="16" t="s">
        <v>22</v>
      </c>
      <c r="F19" s="23" t="s">
        <v>23</v>
      </c>
      <c r="G19" s="1"/>
      <c r="H19" s="30">
        <v>0.3</v>
      </c>
      <c r="I19" s="30">
        <v>0.3</v>
      </c>
      <c r="J19" s="30">
        <v>0.3</v>
      </c>
      <c r="K19" s="1">
        <f t="shared" si="0"/>
        <v>0.89999999999999991</v>
      </c>
    </row>
    <row r="20" spans="3:11">
      <c r="C20" s="16"/>
      <c r="D20" s="18"/>
      <c r="E20" s="16" t="s">
        <v>134</v>
      </c>
      <c r="F20" s="23"/>
      <c r="G20" s="1"/>
      <c r="H20" s="30">
        <v>0.3</v>
      </c>
      <c r="I20" s="30">
        <v>0.3</v>
      </c>
      <c r="J20" s="30">
        <v>0.3</v>
      </c>
      <c r="K20" s="1">
        <f t="shared" si="0"/>
        <v>0.89999999999999991</v>
      </c>
    </row>
    <row r="21" spans="3:11">
      <c r="C21" s="16"/>
      <c r="D21" s="18"/>
      <c r="E21" s="16" t="s">
        <v>135</v>
      </c>
      <c r="F21" s="23"/>
      <c r="G21" s="1"/>
      <c r="H21" s="30">
        <v>0.5</v>
      </c>
      <c r="I21" s="30">
        <v>2</v>
      </c>
      <c r="J21" s="30">
        <v>2</v>
      </c>
      <c r="K21" s="1">
        <f t="shared" si="0"/>
        <v>4.5</v>
      </c>
    </row>
    <row r="22" spans="3:11">
      <c r="C22" s="16"/>
      <c r="D22" s="18"/>
      <c r="E22" s="16" t="s">
        <v>136</v>
      </c>
      <c r="F22" s="23"/>
      <c r="G22" s="1"/>
      <c r="H22" s="30">
        <v>0.5</v>
      </c>
      <c r="I22" s="30">
        <v>2</v>
      </c>
      <c r="J22" s="30">
        <v>2</v>
      </c>
      <c r="K22" s="1">
        <f t="shared" si="0"/>
        <v>4.5</v>
      </c>
    </row>
    <row r="23" spans="3:11">
      <c r="C23" s="16">
        <v>5</v>
      </c>
      <c r="D23" s="18" t="s">
        <v>24</v>
      </c>
      <c r="E23" s="16"/>
      <c r="F23" s="23"/>
      <c r="G23" s="1"/>
      <c r="H23" s="30"/>
      <c r="I23" s="30"/>
      <c r="J23" s="30"/>
      <c r="K23" s="1">
        <f t="shared" si="0"/>
        <v>0</v>
      </c>
    </row>
    <row r="24" spans="3:11">
      <c r="C24" s="16"/>
      <c r="D24" s="18"/>
      <c r="E24" s="16" t="s">
        <v>25</v>
      </c>
      <c r="F24" s="23"/>
      <c r="G24" s="1"/>
      <c r="H24" s="30">
        <v>0.5</v>
      </c>
      <c r="I24" s="30">
        <v>0.5</v>
      </c>
      <c r="J24" s="30">
        <v>0.5</v>
      </c>
      <c r="K24" s="1">
        <f t="shared" si="0"/>
        <v>1.5</v>
      </c>
    </row>
    <row r="25" spans="3:11">
      <c r="C25" s="16"/>
      <c r="D25" s="18"/>
      <c r="E25" s="16" t="s">
        <v>27</v>
      </c>
      <c r="F25" s="23"/>
      <c r="G25" s="1"/>
      <c r="H25" s="30">
        <v>0.5</v>
      </c>
      <c r="I25" s="30">
        <v>0.5</v>
      </c>
      <c r="J25" s="30">
        <v>0.5</v>
      </c>
      <c r="K25" s="1">
        <f t="shared" si="0"/>
        <v>1.5</v>
      </c>
    </row>
    <row r="26" spans="3:11">
      <c r="C26" s="16"/>
      <c r="D26" s="18"/>
      <c r="E26" s="16" t="s">
        <v>28</v>
      </c>
      <c r="F26" s="23"/>
      <c r="G26" s="1"/>
      <c r="H26" s="30">
        <v>0.5</v>
      </c>
      <c r="I26" s="30">
        <v>0.5</v>
      </c>
      <c r="J26" s="30">
        <v>0.5</v>
      </c>
      <c r="K26" s="1">
        <f t="shared" si="0"/>
        <v>1.5</v>
      </c>
    </row>
    <row r="27" spans="3:11">
      <c r="C27" s="16"/>
      <c r="D27" s="18"/>
      <c r="E27" s="16" t="s">
        <v>29</v>
      </c>
      <c r="F27" s="23"/>
      <c r="G27" s="1"/>
      <c r="H27" s="30">
        <v>0.5</v>
      </c>
      <c r="I27" s="30">
        <v>0.5</v>
      </c>
      <c r="J27" s="30">
        <v>0.5</v>
      </c>
      <c r="K27" s="1">
        <f t="shared" si="0"/>
        <v>1.5</v>
      </c>
    </row>
    <row r="28" spans="3:11">
      <c r="C28" s="16"/>
      <c r="D28" s="18"/>
      <c r="E28" s="16" t="s">
        <v>30</v>
      </c>
      <c r="F28" s="23"/>
      <c r="G28" s="1"/>
      <c r="H28" s="30">
        <v>0.5</v>
      </c>
      <c r="I28" s="30">
        <v>0.5</v>
      </c>
      <c r="J28" s="30">
        <v>0.5</v>
      </c>
      <c r="K28" s="1">
        <f t="shared" si="0"/>
        <v>1.5</v>
      </c>
    </row>
    <row r="29" spans="3:11">
      <c r="C29" s="16"/>
      <c r="D29" s="18"/>
      <c r="E29" s="16" t="s">
        <v>31</v>
      </c>
      <c r="F29" s="23"/>
      <c r="G29" s="1"/>
      <c r="H29" s="30">
        <v>0.5</v>
      </c>
      <c r="I29" s="30">
        <v>0.5</v>
      </c>
      <c r="J29" s="30">
        <v>0.5</v>
      </c>
      <c r="K29" s="1">
        <f t="shared" si="0"/>
        <v>1.5</v>
      </c>
    </row>
    <row r="30" spans="3:11">
      <c r="C30" s="16">
        <v>6</v>
      </c>
      <c r="D30" s="18" t="s">
        <v>137</v>
      </c>
      <c r="E30" s="16"/>
      <c r="F30" s="23"/>
      <c r="G30" s="1"/>
      <c r="H30" s="30"/>
      <c r="I30" s="30"/>
      <c r="J30" s="30"/>
      <c r="K30" s="1">
        <f t="shared" si="0"/>
        <v>0</v>
      </c>
    </row>
    <row r="31" spans="3:11">
      <c r="C31" s="1"/>
      <c r="D31" s="1">
        <v>1</v>
      </c>
      <c r="E31" s="16" t="s">
        <v>138</v>
      </c>
      <c r="F31" s="26" t="s">
        <v>139</v>
      </c>
      <c r="G31" s="21" t="s">
        <v>140</v>
      </c>
      <c r="H31" s="31"/>
      <c r="I31" s="31"/>
      <c r="J31" s="31"/>
      <c r="K31" s="1">
        <f t="shared" si="0"/>
        <v>0</v>
      </c>
    </row>
    <row r="32" spans="3:11" ht="45.75">
      <c r="C32" s="1"/>
      <c r="D32" s="1">
        <v>2</v>
      </c>
      <c r="E32" s="16" t="s">
        <v>141</v>
      </c>
      <c r="F32" s="27" t="s">
        <v>142</v>
      </c>
      <c r="G32" s="22" t="s">
        <v>143</v>
      </c>
      <c r="H32" s="32">
        <v>0.5</v>
      </c>
      <c r="I32" s="32"/>
      <c r="J32" s="32">
        <v>2</v>
      </c>
      <c r="K32" s="1">
        <v>2</v>
      </c>
    </row>
    <row r="33" spans="3:11" ht="30.75">
      <c r="C33" s="1"/>
      <c r="D33" s="1">
        <v>3</v>
      </c>
      <c r="E33" s="16" t="s">
        <v>144</v>
      </c>
      <c r="F33" s="27" t="s">
        <v>145</v>
      </c>
      <c r="G33" s="22" t="s">
        <v>146</v>
      </c>
      <c r="H33" s="32">
        <v>1</v>
      </c>
      <c r="I33" s="32"/>
      <c r="J33" s="32">
        <v>3</v>
      </c>
      <c r="K33" s="1">
        <f t="shared" si="0"/>
        <v>4</v>
      </c>
    </row>
    <row r="34" spans="3:11" ht="45.75">
      <c r="C34" s="1"/>
      <c r="D34" s="1">
        <v>4</v>
      </c>
      <c r="E34" s="16" t="s">
        <v>147</v>
      </c>
      <c r="F34" s="27" t="s">
        <v>148</v>
      </c>
      <c r="G34" s="22" t="s">
        <v>149</v>
      </c>
      <c r="H34" s="32"/>
      <c r="I34" s="32"/>
      <c r="J34" s="32">
        <v>5</v>
      </c>
      <c r="K34" s="1">
        <f t="shared" si="0"/>
        <v>5</v>
      </c>
    </row>
    <row r="35" spans="3:11" ht="45.75">
      <c r="C35" s="1"/>
      <c r="D35" s="1">
        <v>5</v>
      </c>
      <c r="E35" s="16" t="s">
        <v>150</v>
      </c>
      <c r="F35" s="27" t="s">
        <v>151</v>
      </c>
      <c r="G35" s="22" t="s">
        <v>146</v>
      </c>
      <c r="H35" s="32"/>
      <c r="I35" s="32"/>
      <c r="J35" s="32">
        <v>3</v>
      </c>
      <c r="K35" s="1">
        <f t="shared" si="0"/>
        <v>3</v>
      </c>
    </row>
    <row r="36" spans="3:11" ht="30.75">
      <c r="C36" s="1"/>
      <c r="D36" s="1">
        <v>6</v>
      </c>
      <c r="E36" s="16" t="s">
        <v>152</v>
      </c>
      <c r="F36" s="27" t="s">
        <v>153</v>
      </c>
      <c r="G36" s="22" t="s">
        <v>143</v>
      </c>
      <c r="H36" s="32">
        <v>5</v>
      </c>
      <c r="I36" s="32"/>
      <c r="J36" s="32"/>
      <c r="K36" s="1">
        <f t="shared" si="0"/>
        <v>5</v>
      </c>
    </row>
    <row r="37" spans="3:11">
      <c r="C37" s="16"/>
      <c r="D37" s="18"/>
      <c r="E37" s="16"/>
      <c r="F37" s="23"/>
      <c r="G37" s="1"/>
      <c r="H37" s="30"/>
      <c r="I37" s="30"/>
      <c r="J37" s="30"/>
      <c r="K37" s="1">
        <f t="shared" si="0"/>
        <v>0</v>
      </c>
    </row>
    <row r="38" spans="3:11">
      <c r="C38" s="16">
        <v>7</v>
      </c>
      <c r="D38" s="18" t="s">
        <v>42</v>
      </c>
      <c r="E38" s="16"/>
      <c r="F38" s="23"/>
      <c r="G38" s="1"/>
      <c r="H38" s="30"/>
      <c r="I38" s="30"/>
      <c r="J38" s="30"/>
      <c r="K38" s="1">
        <f t="shared" si="0"/>
        <v>0</v>
      </c>
    </row>
    <row r="39" spans="3:11" ht="45.75">
      <c r="C39" s="16"/>
      <c r="D39" s="18">
        <v>1</v>
      </c>
      <c r="E39" s="16" t="s">
        <v>43</v>
      </c>
      <c r="F39" s="23" t="s">
        <v>44</v>
      </c>
      <c r="G39" s="1"/>
      <c r="H39" s="30">
        <v>2</v>
      </c>
      <c r="I39" s="30">
        <v>3</v>
      </c>
      <c r="J39" s="30">
        <v>3</v>
      </c>
      <c r="K39" s="1">
        <f t="shared" si="0"/>
        <v>8</v>
      </c>
    </row>
    <row r="40" spans="3:11" ht="61.5">
      <c r="C40" s="19"/>
      <c r="D40" s="20">
        <v>2</v>
      </c>
      <c r="E40" s="19" t="s">
        <v>45</v>
      </c>
      <c r="F40" s="28" t="s">
        <v>46</v>
      </c>
      <c r="G40" s="1"/>
      <c r="H40" s="30">
        <v>2</v>
      </c>
      <c r="I40" s="30">
        <v>3</v>
      </c>
      <c r="J40" s="30">
        <v>3</v>
      </c>
      <c r="K40" s="1">
        <f t="shared" si="0"/>
        <v>8</v>
      </c>
    </row>
    <row r="41" spans="3:11">
      <c r="C41" s="1">
        <v>8</v>
      </c>
      <c r="D41" s="18" t="s">
        <v>154</v>
      </c>
      <c r="E41" s="1" t="s">
        <v>155</v>
      </c>
      <c r="F41" s="24"/>
      <c r="G41" s="1"/>
      <c r="H41" s="30">
        <v>1</v>
      </c>
      <c r="I41" s="30">
        <v>2</v>
      </c>
      <c r="J41" s="30">
        <v>2</v>
      </c>
      <c r="K41" s="1">
        <f t="shared" si="0"/>
        <v>5</v>
      </c>
    </row>
    <row r="42" spans="3:11">
      <c r="C42" s="1"/>
      <c r="D42" s="1"/>
      <c r="E42" s="1" t="s">
        <v>156</v>
      </c>
      <c r="F42" s="24"/>
      <c r="G42" s="1"/>
      <c r="H42" s="30">
        <v>1</v>
      </c>
      <c r="I42" s="30">
        <v>2</v>
      </c>
      <c r="J42" s="30">
        <v>2</v>
      </c>
      <c r="K42" s="1">
        <f t="shared" si="0"/>
        <v>5</v>
      </c>
    </row>
    <row r="43" spans="3:11">
      <c r="C43" s="1"/>
      <c r="D43" s="1"/>
      <c r="E43" s="1" t="s">
        <v>157</v>
      </c>
      <c r="F43" s="24"/>
      <c r="G43" s="1"/>
      <c r="H43" s="30">
        <v>1</v>
      </c>
      <c r="I43" s="30">
        <v>2</v>
      </c>
      <c r="J43" s="30">
        <v>2</v>
      </c>
      <c r="K43" s="1">
        <f t="shared" si="0"/>
        <v>5</v>
      </c>
    </row>
    <row r="44" spans="3:11">
      <c r="C44" s="1"/>
      <c r="D44" s="1"/>
      <c r="E44" s="1" t="s">
        <v>158</v>
      </c>
      <c r="F44" s="24"/>
      <c r="G44" s="1"/>
      <c r="H44" s="30">
        <v>1</v>
      </c>
      <c r="I44" s="30">
        <v>2</v>
      </c>
      <c r="J44" s="30">
        <v>2</v>
      </c>
      <c r="K44" s="1">
        <f t="shared" si="0"/>
        <v>5</v>
      </c>
    </row>
    <row r="45" spans="3:11">
      <c r="C45" s="1"/>
      <c r="D45" s="1"/>
      <c r="E45" s="1" t="s">
        <v>159</v>
      </c>
      <c r="F45" s="24"/>
      <c r="G45" s="1"/>
      <c r="H45" s="30">
        <v>1</v>
      </c>
      <c r="I45" s="30">
        <v>2</v>
      </c>
      <c r="J45" s="30">
        <v>2</v>
      </c>
      <c r="K45" s="1">
        <f t="shared" si="0"/>
        <v>5</v>
      </c>
    </row>
  </sheetData>
  <hyperlinks>
    <hyperlink ref="T23" r:id="rId1" display="Nhóm công việc" xr:uid="{A270E53E-9AA5-4597-AB19-905EBE83E5BF}"/>
    <hyperlink ref="T24" r:id="rId2" display="Upload &amp; lưu trữ" xr:uid="{1B499875-624F-4DF4-B662-E2707F287A7A}"/>
    <hyperlink ref="T25" r:id="rId3" display="Quét &amp; phân loại dữ liệu" xr:uid="{DDC2F550-E407-4994-B9FC-E86E3F63DB1E}"/>
    <hyperlink ref="T26" r:id="rId4" display="Xử lý dữ liệu AI" xr:uid="{3F6B95C0-C83D-4FE1-8F07-D6770C559FAF}"/>
    <hyperlink ref="T27" r:id="rId5" display="Tổng hợp dữ liệu nghiệp vụ" xr:uid="{C7541513-0871-45FC-90B9-F3B7AE3B5819}"/>
    <hyperlink ref="T28" r:id="rId6" display="Kiểm thử &amp; triển khai" xr:uid="{9F0D99EA-664D-490C-8154-CE359D76523A}"/>
    <hyperlink ref="E31" r:id="rId7" xr:uid="{5888F279-F01F-4593-8646-9645A4E58D0A}"/>
    <hyperlink ref="E32" r:id="rId8" xr:uid="{D38244E8-3245-492F-9832-1F59EB5711A2}"/>
    <hyperlink ref="E33" r:id="rId9" xr:uid="{16CCC7E2-4122-4C86-99F4-68069DA2D94A}"/>
    <hyperlink ref="E34" r:id="rId10" xr:uid="{3DD13B92-714F-4D87-AFFA-782CB3692E86}"/>
    <hyperlink ref="E35" r:id="rId11" xr:uid="{4581DCB0-8D2F-4C68-ACD9-09517FDF324D}"/>
    <hyperlink ref="E36" r:id="rId12" xr:uid="{62D32204-9413-440C-B7E5-A40EC545EB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2026-06-09T10:59:58Z</dcterms:created>
  <dcterms:modified xsi:type="dcterms:W3CDTF">2026-06-12T02:34:26Z</dcterms:modified>
  <cp:category/>
  <cp:contentStatus/>
</cp:coreProperties>
</file>