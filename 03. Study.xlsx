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/>
  <xr:revisionPtr revIDLastSave="0" documentId="8_{F44C56EF-580A-4608-BE27-9B18BE71385D}" xr6:coauthVersionLast="47" xr6:coauthVersionMax="47" xr10:uidLastSave="{00000000-0000-0000-0000-000000000000}"/>
  <bookViews>
    <workbookView xWindow="240" yWindow="105" windowWidth="14805" windowHeight="8010" firstSheet="25" activeTab="25" xr2:uid="{00000000-000D-0000-FFFF-FFFF00000000}"/>
  </bookViews>
  <sheets>
    <sheet name="28.07" sheetId="5" r:id="rId1"/>
    <sheet name="04.08" sheetId="6" r:id="rId2"/>
    <sheet name="18.08" sheetId="8" r:id="rId3"/>
    <sheet name="Resource" sheetId="9" r:id="rId4"/>
    <sheet name="08.09" sheetId="11" r:id="rId5"/>
    <sheet name="22.09 " sheetId="13" r:id="rId6"/>
    <sheet name="06.10" sheetId="14" r:id="rId7"/>
    <sheet name="06.13" sheetId="15" r:id="rId8"/>
    <sheet name="Trang_tính1" sheetId="16" r:id="rId9"/>
    <sheet name="Trang_tính2" sheetId="17" r:id="rId10"/>
    <sheet name="Trang_tính3" sheetId="18" r:id="rId11"/>
    <sheet name="Trang_tính4" sheetId="19" r:id="rId12"/>
    <sheet name="Trang_tính5" sheetId="20" r:id="rId13"/>
    <sheet name="Ds  cot phat sinh" sheetId="22" r:id="rId14"/>
    <sheet name="Login" sheetId="23" r:id="rId15"/>
    <sheet name="Trang_tính6" sheetId="24" r:id="rId16"/>
    <sheet name="Trang_tính7" sheetId="25" r:id="rId17"/>
    <sheet name="Trang_tính8" sheetId="26" r:id="rId18"/>
    <sheet name="Trang_tính9" sheetId="27" r:id="rId19"/>
    <sheet name="Trang_tính10" sheetId="28" r:id="rId20"/>
    <sheet name="Trang_tính11" sheetId="29" r:id="rId21"/>
    <sheet name="Trang_tính12" sheetId="30" r:id="rId22"/>
    <sheet name="Trang_tính13" sheetId="31" r:id="rId23"/>
    <sheet name="Trang_tính14" sheetId="32" r:id="rId24"/>
    <sheet name="Trang_tính15" sheetId="33" r:id="rId25"/>
    <sheet name="Trang_tính16" sheetId="34" r:id="rId26"/>
  </sheets>
  <definedNames>
    <definedName name="_xlnm._FilterDatabase" localSheetId="12" hidden="1">Trang_tính5!$A$2:$S$2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4" l="1"/>
  <c r="G6" i="34"/>
  <c r="G10" i="34"/>
  <c r="G12" i="34"/>
  <c r="G13" i="34"/>
  <c r="G14" i="34"/>
  <c r="G8" i="34"/>
  <c r="W24" i="31"/>
  <c r="W18" i="31"/>
  <c r="X14" i="31"/>
  <c r="W14" i="31"/>
  <c r="X7" i="31"/>
  <c r="Y7" i="31" s="1"/>
  <c r="Q2" i="29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1" i="29"/>
  <c r="Z19" i="27"/>
  <c r="AB13" i="25"/>
  <c r="P101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P583" i="20"/>
  <c r="P584" i="20"/>
  <c r="P585" i="20"/>
  <c r="P586" i="20"/>
  <c r="P587" i="20"/>
  <c r="P588" i="20"/>
  <c r="P589" i="20"/>
  <c r="P590" i="20"/>
  <c r="P591" i="20"/>
  <c r="P592" i="20"/>
  <c r="P593" i="20"/>
  <c r="P594" i="20"/>
  <c r="P595" i="20"/>
  <c r="P596" i="20"/>
  <c r="P597" i="20"/>
  <c r="P598" i="20"/>
  <c r="P599" i="20"/>
  <c r="P600" i="20"/>
  <c r="P601" i="20"/>
  <c r="P602" i="20"/>
  <c r="P603" i="20"/>
  <c r="P604" i="20"/>
  <c r="P605" i="20"/>
  <c r="P606" i="20"/>
  <c r="P607" i="20"/>
  <c r="P608" i="20"/>
  <c r="P609" i="20"/>
  <c r="P610" i="20"/>
  <c r="P611" i="20"/>
  <c r="P612" i="20"/>
  <c r="P613" i="20"/>
  <c r="P614" i="20"/>
  <c r="P615" i="20"/>
  <c r="P616" i="20"/>
  <c r="P617" i="20"/>
  <c r="P618" i="20"/>
  <c r="P619" i="20"/>
  <c r="P620" i="20"/>
  <c r="P621" i="20"/>
  <c r="P622" i="20"/>
  <c r="P623" i="20"/>
  <c r="P624" i="20"/>
  <c r="P625" i="20"/>
  <c r="P626" i="20"/>
  <c r="P627" i="20"/>
  <c r="P628" i="20"/>
  <c r="P629" i="20"/>
  <c r="P630" i="20"/>
  <c r="P631" i="20"/>
  <c r="P632" i="20"/>
  <c r="P633" i="20"/>
  <c r="P634" i="20"/>
  <c r="P635" i="20"/>
  <c r="P636" i="20"/>
  <c r="P637" i="20"/>
  <c r="P638" i="20"/>
  <c r="P639" i="20"/>
  <c r="P640" i="20"/>
  <c r="P641" i="20"/>
  <c r="P642" i="20"/>
  <c r="P643" i="20"/>
  <c r="P644" i="20"/>
  <c r="P645" i="20"/>
  <c r="P646" i="20"/>
  <c r="P647" i="20"/>
  <c r="P648" i="20"/>
  <c r="P649" i="20"/>
  <c r="P650" i="20"/>
  <c r="P651" i="20"/>
  <c r="P652" i="20"/>
  <c r="P653" i="20"/>
  <c r="P654" i="20"/>
  <c r="P655" i="20"/>
  <c r="P656" i="20"/>
  <c r="P657" i="20"/>
  <c r="P658" i="20"/>
  <c r="P659" i="20"/>
  <c r="P660" i="20"/>
  <c r="P661" i="20"/>
  <c r="P662" i="20"/>
  <c r="P663" i="20"/>
  <c r="P664" i="20"/>
  <c r="P665" i="20"/>
  <c r="P666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3" i="20"/>
  <c r="P684" i="20"/>
  <c r="P685" i="20"/>
  <c r="P686" i="20"/>
  <c r="P687" i="20"/>
  <c r="P688" i="20"/>
  <c r="P689" i="20"/>
  <c r="P690" i="20"/>
  <c r="P691" i="20"/>
  <c r="P692" i="20"/>
  <c r="P693" i="20"/>
  <c r="P694" i="20"/>
  <c r="P695" i="20"/>
  <c r="P696" i="20"/>
  <c r="P697" i="20"/>
  <c r="P698" i="20"/>
  <c r="P699" i="20"/>
  <c r="P700" i="20"/>
  <c r="P701" i="20"/>
  <c r="P702" i="20"/>
  <c r="P703" i="20"/>
  <c r="P704" i="20"/>
  <c r="P705" i="20"/>
  <c r="P706" i="20"/>
  <c r="P707" i="20"/>
  <c r="P708" i="20"/>
  <c r="P709" i="20"/>
  <c r="P710" i="20"/>
  <c r="P711" i="20"/>
  <c r="P712" i="20"/>
  <c r="P713" i="20"/>
  <c r="P714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4" i="20"/>
  <c r="P735" i="20"/>
  <c r="P736" i="20"/>
  <c r="P737" i="20"/>
  <c r="P738" i="20"/>
  <c r="P739" i="20"/>
  <c r="P740" i="20"/>
  <c r="P741" i="20"/>
  <c r="P742" i="20"/>
  <c r="P743" i="20"/>
  <c r="P744" i="20"/>
  <c r="P745" i="20"/>
  <c r="P746" i="20"/>
  <c r="P747" i="20"/>
  <c r="P748" i="20"/>
  <c r="P749" i="20"/>
  <c r="P750" i="20"/>
  <c r="P751" i="20"/>
  <c r="P752" i="20"/>
  <c r="P753" i="20"/>
  <c r="P754" i="20"/>
  <c r="P755" i="20"/>
  <c r="P756" i="20"/>
  <c r="P757" i="20"/>
  <c r="P758" i="20"/>
  <c r="P759" i="20"/>
  <c r="P760" i="20"/>
  <c r="P761" i="20"/>
  <c r="P762" i="20"/>
  <c r="P763" i="20"/>
  <c r="P764" i="20"/>
  <c r="P765" i="20"/>
  <c r="P766" i="20"/>
  <c r="P767" i="20"/>
  <c r="P768" i="20"/>
  <c r="P769" i="20"/>
  <c r="P770" i="20"/>
  <c r="P771" i="20"/>
  <c r="P772" i="20"/>
  <c r="P773" i="20"/>
  <c r="P774" i="20"/>
  <c r="P775" i="20"/>
  <c r="P776" i="20"/>
  <c r="P777" i="20"/>
  <c r="P778" i="20"/>
  <c r="P779" i="20"/>
  <c r="P780" i="20"/>
  <c r="P781" i="20"/>
  <c r="P782" i="20"/>
  <c r="P783" i="20"/>
  <c r="P784" i="20"/>
  <c r="P785" i="20"/>
  <c r="P786" i="20"/>
  <c r="P787" i="20"/>
  <c r="P788" i="20"/>
  <c r="P789" i="20"/>
  <c r="P790" i="20"/>
  <c r="P791" i="20"/>
  <c r="P792" i="20"/>
  <c r="P793" i="20"/>
  <c r="P794" i="20"/>
  <c r="P795" i="20"/>
  <c r="P796" i="20"/>
  <c r="P797" i="20"/>
  <c r="P798" i="20"/>
  <c r="P799" i="20"/>
  <c r="P800" i="20"/>
  <c r="P801" i="20"/>
  <c r="P802" i="20"/>
  <c r="P803" i="20"/>
  <c r="P804" i="20"/>
  <c r="P805" i="20"/>
  <c r="P806" i="20"/>
  <c r="P807" i="20"/>
  <c r="P808" i="20"/>
  <c r="P809" i="20"/>
  <c r="P810" i="20"/>
  <c r="P811" i="20"/>
  <c r="P812" i="20"/>
  <c r="P813" i="20"/>
  <c r="P814" i="20"/>
  <c r="P815" i="20"/>
  <c r="P816" i="20"/>
  <c r="P817" i="20"/>
  <c r="P818" i="20"/>
  <c r="P819" i="20"/>
  <c r="P820" i="20"/>
  <c r="P821" i="20"/>
  <c r="P822" i="20"/>
  <c r="P823" i="20"/>
  <c r="P824" i="20"/>
  <c r="P825" i="20"/>
  <c r="P826" i="20"/>
  <c r="P827" i="20"/>
  <c r="P828" i="20"/>
  <c r="P829" i="20"/>
  <c r="P830" i="20"/>
  <c r="P831" i="20"/>
  <c r="P832" i="20"/>
  <c r="P833" i="20"/>
  <c r="P834" i="20"/>
  <c r="P835" i="20"/>
  <c r="P836" i="20"/>
  <c r="P837" i="20"/>
  <c r="P838" i="20"/>
  <c r="P839" i="20"/>
  <c r="P840" i="20"/>
  <c r="P841" i="20"/>
  <c r="P842" i="20"/>
  <c r="P843" i="20"/>
  <c r="P844" i="20"/>
  <c r="P845" i="20"/>
  <c r="P846" i="20"/>
  <c r="P847" i="20"/>
  <c r="P848" i="20"/>
  <c r="P849" i="20"/>
  <c r="P850" i="20"/>
  <c r="P851" i="20"/>
  <c r="P852" i="20"/>
  <c r="P853" i="20"/>
  <c r="P854" i="20"/>
  <c r="P855" i="20"/>
  <c r="P856" i="20"/>
  <c r="P857" i="20"/>
  <c r="P858" i="20"/>
  <c r="P859" i="20"/>
  <c r="P860" i="20"/>
  <c r="P861" i="20"/>
  <c r="P862" i="20"/>
  <c r="P863" i="20"/>
  <c r="P864" i="20"/>
  <c r="P865" i="20"/>
  <c r="P866" i="20"/>
  <c r="P867" i="20"/>
  <c r="P868" i="20"/>
  <c r="P869" i="20"/>
  <c r="P870" i="20"/>
  <c r="P871" i="20"/>
  <c r="P872" i="20"/>
  <c r="P873" i="20"/>
  <c r="P874" i="20"/>
  <c r="P875" i="20"/>
  <c r="P876" i="20"/>
  <c r="P877" i="20"/>
  <c r="P878" i="20"/>
  <c r="P879" i="20"/>
  <c r="P880" i="20"/>
  <c r="P881" i="20"/>
  <c r="P882" i="20"/>
  <c r="P883" i="20"/>
  <c r="P884" i="20"/>
  <c r="P885" i="20"/>
  <c r="P886" i="20"/>
  <c r="P887" i="20"/>
  <c r="P888" i="20"/>
  <c r="P889" i="20"/>
  <c r="P890" i="20"/>
  <c r="P891" i="20"/>
  <c r="P892" i="20"/>
  <c r="P893" i="20"/>
  <c r="P894" i="20"/>
  <c r="P895" i="20"/>
  <c r="P896" i="20"/>
  <c r="P897" i="20"/>
  <c r="P898" i="20"/>
  <c r="P899" i="20"/>
  <c r="P900" i="20"/>
  <c r="P901" i="20"/>
  <c r="P902" i="20"/>
  <c r="P903" i="20"/>
  <c r="P904" i="20"/>
  <c r="P905" i="20"/>
  <c r="P906" i="20"/>
  <c r="P907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0" i="20"/>
  <c r="P921" i="20"/>
  <c r="P922" i="20"/>
  <c r="P923" i="20"/>
  <c r="P924" i="20"/>
  <c r="P925" i="20"/>
  <c r="P926" i="20"/>
  <c r="P927" i="20"/>
  <c r="P928" i="20"/>
  <c r="P929" i="20"/>
  <c r="P930" i="20"/>
  <c r="P931" i="20"/>
  <c r="P932" i="20"/>
  <c r="P933" i="20"/>
  <c r="P934" i="20"/>
  <c r="P935" i="20"/>
  <c r="P936" i="20"/>
  <c r="P937" i="20"/>
  <c r="P938" i="20"/>
  <c r="P939" i="20"/>
  <c r="P940" i="20"/>
  <c r="P941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6" i="20"/>
  <c r="P957" i="20"/>
  <c r="P958" i="20"/>
  <c r="P959" i="20"/>
  <c r="P960" i="20"/>
  <c r="P961" i="20"/>
  <c r="P962" i="20"/>
  <c r="P963" i="20"/>
  <c r="P964" i="20"/>
  <c r="P965" i="20"/>
  <c r="P966" i="20"/>
  <c r="P967" i="20"/>
  <c r="P968" i="20"/>
  <c r="P969" i="20"/>
  <c r="P970" i="20"/>
  <c r="P971" i="20"/>
  <c r="P972" i="20"/>
  <c r="P973" i="20"/>
  <c r="P974" i="20"/>
  <c r="P975" i="20"/>
  <c r="P976" i="20"/>
  <c r="P977" i="20"/>
  <c r="P978" i="20"/>
  <c r="P979" i="20"/>
  <c r="P980" i="20"/>
  <c r="P981" i="20"/>
  <c r="P982" i="20"/>
  <c r="P983" i="20"/>
  <c r="P984" i="20"/>
  <c r="P985" i="20"/>
  <c r="P986" i="20"/>
  <c r="P987" i="20"/>
  <c r="P988" i="20"/>
  <c r="P989" i="20"/>
  <c r="P990" i="20"/>
  <c r="P991" i="20"/>
  <c r="P992" i="20"/>
  <c r="P993" i="20"/>
  <c r="P994" i="20"/>
  <c r="P995" i="20"/>
  <c r="P996" i="20"/>
  <c r="P997" i="20"/>
  <c r="P998" i="20"/>
  <c r="P999" i="20"/>
  <c r="P1000" i="20"/>
  <c r="P1001" i="20"/>
  <c r="P1002" i="20"/>
  <c r="P1003" i="20"/>
  <c r="P1004" i="20"/>
  <c r="P1005" i="20"/>
  <c r="P1006" i="20"/>
  <c r="P1007" i="20"/>
  <c r="P1008" i="20"/>
  <c r="P1009" i="20"/>
  <c r="P1010" i="20"/>
  <c r="P1011" i="20"/>
  <c r="P1012" i="20"/>
  <c r="P1013" i="20"/>
  <c r="P1014" i="20"/>
  <c r="P1015" i="20"/>
  <c r="P1016" i="20"/>
  <c r="P1017" i="20"/>
  <c r="P1018" i="20"/>
  <c r="P1019" i="20"/>
  <c r="P1020" i="20"/>
  <c r="P1021" i="20"/>
  <c r="P1022" i="20"/>
  <c r="P1023" i="20"/>
  <c r="P1024" i="20"/>
  <c r="P1025" i="20"/>
  <c r="P1026" i="20"/>
  <c r="P1027" i="20"/>
  <c r="P1028" i="20"/>
  <c r="P1029" i="20"/>
  <c r="P1030" i="20"/>
  <c r="P1031" i="20"/>
  <c r="P1032" i="20"/>
  <c r="P1033" i="20"/>
  <c r="P1034" i="20"/>
  <c r="P1035" i="20"/>
  <c r="P1036" i="20"/>
  <c r="P1037" i="20"/>
  <c r="P1038" i="20"/>
  <c r="P1039" i="20"/>
  <c r="P1040" i="20"/>
  <c r="P1041" i="20"/>
  <c r="P1042" i="20"/>
  <c r="P1043" i="20"/>
  <c r="P1044" i="20"/>
  <c r="P1045" i="20"/>
  <c r="P1046" i="20"/>
  <c r="P1047" i="20"/>
  <c r="P1048" i="20"/>
  <c r="P1049" i="20"/>
  <c r="P1050" i="20"/>
  <c r="P1051" i="20"/>
  <c r="P1052" i="20"/>
  <c r="P1053" i="20"/>
  <c r="P1054" i="20"/>
  <c r="P1055" i="20"/>
  <c r="P1056" i="20"/>
  <c r="P1057" i="20"/>
  <c r="P1058" i="20"/>
  <c r="P1059" i="20"/>
  <c r="P1060" i="20"/>
  <c r="P1061" i="20"/>
  <c r="P1062" i="20"/>
  <c r="P1063" i="20"/>
  <c r="P1064" i="20"/>
  <c r="P1065" i="20"/>
  <c r="P1066" i="20"/>
  <c r="P1067" i="20"/>
  <c r="P1068" i="20"/>
  <c r="P1069" i="20"/>
  <c r="P1070" i="20"/>
  <c r="P1071" i="20"/>
  <c r="P1072" i="20"/>
  <c r="P1073" i="20"/>
  <c r="P1074" i="20"/>
  <c r="P1075" i="20"/>
  <c r="P1076" i="20"/>
  <c r="P1077" i="20"/>
  <c r="P1078" i="20"/>
  <c r="P1079" i="20"/>
  <c r="P1080" i="20"/>
  <c r="P1081" i="20"/>
  <c r="P1082" i="20"/>
  <c r="P1083" i="20"/>
  <c r="P1084" i="20"/>
  <c r="P1085" i="20"/>
  <c r="P1086" i="20"/>
  <c r="P1087" i="20"/>
  <c r="P1088" i="20"/>
  <c r="P1089" i="20"/>
  <c r="P1090" i="20"/>
  <c r="P1091" i="20"/>
  <c r="P1092" i="20"/>
  <c r="P1093" i="20"/>
  <c r="P1094" i="20"/>
  <c r="P1095" i="20"/>
  <c r="P1096" i="20"/>
  <c r="P1097" i="20"/>
  <c r="P1098" i="20"/>
  <c r="P1099" i="20"/>
  <c r="P1100" i="20"/>
  <c r="P1101" i="20"/>
  <c r="P1102" i="20"/>
  <c r="P1103" i="20"/>
  <c r="P1104" i="20"/>
  <c r="P1105" i="20"/>
  <c r="P1106" i="20"/>
  <c r="P1107" i="20"/>
  <c r="P1108" i="20"/>
  <c r="P1109" i="20"/>
  <c r="P1110" i="20"/>
  <c r="P1111" i="20"/>
  <c r="P1112" i="20"/>
  <c r="P1113" i="20"/>
  <c r="P1114" i="20"/>
  <c r="P1115" i="20"/>
  <c r="P1116" i="20"/>
  <c r="P1117" i="20"/>
  <c r="P1118" i="20"/>
  <c r="P1119" i="20"/>
  <c r="P1120" i="20"/>
  <c r="P1121" i="20"/>
  <c r="P1122" i="20"/>
  <c r="P1123" i="20"/>
  <c r="P1124" i="20"/>
  <c r="P1125" i="20"/>
  <c r="P1126" i="20"/>
  <c r="P1127" i="20"/>
  <c r="P1128" i="20"/>
  <c r="P1129" i="20"/>
  <c r="P1130" i="20"/>
  <c r="P1131" i="20"/>
  <c r="P1132" i="20"/>
  <c r="P1133" i="20"/>
  <c r="P1134" i="20"/>
  <c r="P1135" i="20"/>
  <c r="P1136" i="20"/>
  <c r="P1137" i="20"/>
  <c r="P1138" i="20"/>
  <c r="P1139" i="20"/>
  <c r="P1140" i="20"/>
  <c r="P1141" i="20"/>
  <c r="P1142" i="20"/>
  <c r="P1143" i="20"/>
  <c r="P1144" i="20"/>
  <c r="P1145" i="20"/>
  <c r="P1146" i="20"/>
  <c r="P1147" i="20"/>
  <c r="P1148" i="20"/>
  <c r="P1149" i="20"/>
  <c r="P1150" i="20"/>
  <c r="P1151" i="20"/>
  <c r="P1152" i="20"/>
  <c r="P1153" i="20"/>
  <c r="P1154" i="20"/>
  <c r="P1155" i="20"/>
  <c r="P1156" i="20"/>
  <c r="P1157" i="20"/>
  <c r="P1158" i="20"/>
  <c r="P1159" i="20"/>
  <c r="P1160" i="20"/>
  <c r="P1161" i="20"/>
  <c r="P1162" i="20"/>
  <c r="P1163" i="20"/>
  <c r="P1164" i="20"/>
  <c r="P1165" i="20"/>
  <c r="P1166" i="20"/>
  <c r="P1167" i="20"/>
  <c r="P1168" i="20"/>
  <c r="P1169" i="20"/>
  <c r="P1170" i="20"/>
  <c r="P1171" i="20"/>
  <c r="P1172" i="20"/>
  <c r="P1173" i="20"/>
  <c r="P1174" i="20"/>
  <c r="P1175" i="20"/>
  <c r="P1176" i="20"/>
  <c r="P1177" i="20"/>
  <c r="P1178" i="20"/>
  <c r="P1179" i="20"/>
  <c r="P1180" i="20"/>
  <c r="P1181" i="20"/>
  <c r="P1182" i="20"/>
  <c r="P1183" i="20"/>
  <c r="P1184" i="20"/>
  <c r="P1185" i="20"/>
  <c r="P1186" i="20"/>
  <c r="P1187" i="20"/>
  <c r="P1188" i="20"/>
  <c r="P1189" i="20"/>
  <c r="P1190" i="20"/>
  <c r="P1191" i="20"/>
  <c r="P1192" i="20"/>
  <c r="P1193" i="20"/>
  <c r="P1194" i="20"/>
  <c r="P1195" i="20"/>
  <c r="P1196" i="20"/>
  <c r="P1197" i="20"/>
  <c r="P1198" i="20"/>
  <c r="P1199" i="20"/>
  <c r="P1200" i="20"/>
  <c r="P1201" i="20"/>
  <c r="P1202" i="20"/>
  <c r="P1203" i="20"/>
  <c r="P1204" i="20"/>
  <c r="P1205" i="20"/>
  <c r="P1206" i="20"/>
  <c r="P1207" i="20"/>
  <c r="P1208" i="20"/>
  <c r="P1209" i="20"/>
  <c r="P1210" i="20"/>
  <c r="P1211" i="20"/>
  <c r="P1212" i="20"/>
  <c r="P1213" i="20"/>
  <c r="P1214" i="20"/>
  <c r="P1215" i="20"/>
  <c r="P1216" i="20"/>
  <c r="P1217" i="20"/>
  <c r="P1218" i="20"/>
  <c r="P1219" i="20"/>
  <c r="P1220" i="20"/>
  <c r="P1221" i="20"/>
  <c r="P1222" i="20"/>
  <c r="P1223" i="20"/>
  <c r="P1224" i="20"/>
  <c r="P1225" i="20"/>
  <c r="P1226" i="20"/>
  <c r="P1227" i="20"/>
  <c r="P1228" i="20"/>
  <c r="P1229" i="20"/>
  <c r="P1230" i="20"/>
  <c r="P1231" i="20"/>
  <c r="P1232" i="20"/>
  <c r="P1233" i="20"/>
  <c r="P1234" i="20"/>
  <c r="P1235" i="20"/>
  <c r="P1236" i="20"/>
  <c r="P1237" i="20"/>
  <c r="P1238" i="20"/>
  <c r="P1239" i="20"/>
  <c r="P1240" i="20"/>
  <c r="P1241" i="20"/>
  <c r="P1242" i="20"/>
  <c r="P1243" i="20"/>
  <c r="P1244" i="20"/>
  <c r="P1245" i="20"/>
  <c r="P1246" i="20"/>
  <c r="P1247" i="20"/>
  <c r="P1248" i="20"/>
  <c r="P1249" i="20"/>
  <c r="P1250" i="20"/>
  <c r="P1251" i="20"/>
  <c r="P1252" i="20"/>
  <c r="P1253" i="20"/>
  <c r="P1254" i="20"/>
  <c r="P1255" i="20"/>
  <c r="P1256" i="20"/>
  <c r="P1257" i="20"/>
  <c r="P1258" i="20"/>
  <c r="P1259" i="20"/>
  <c r="P1260" i="20"/>
  <c r="P1261" i="20"/>
  <c r="P1262" i="20"/>
  <c r="P1263" i="20"/>
  <c r="P1264" i="20"/>
  <c r="P1265" i="20"/>
  <c r="P1266" i="20"/>
  <c r="P1267" i="20"/>
  <c r="P1268" i="20"/>
  <c r="P1269" i="20"/>
  <c r="P1270" i="20"/>
  <c r="P1271" i="20"/>
  <c r="P1272" i="20"/>
  <c r="P1273" i="20"/>
  <c r="P1274" i="20"/>
  <c r="P1275" i="20"/>
  <c r="P1276" i="20"/>
  <c r="P1277" i="20"/>
  <c r="P1278" i="20"/>
  <c r="P1279" i="20"/>
  <c r="P1280" i="20"/>
  <c r="P1281" i="20"/>
  <c r="P1282" i="20"/>
  <c r="P1283" i="20"/>
  <c r="P1284" i="20"/>
  <c r="P1285" i="20"/>
  <c r="P1286" i="20"/>
  <c r="P1287" i="20"/>
  <c r="P1288" i="20"/>
  <c r="P1289" i="20"/>
  <c r="P1290" i="20"/>
  <c r="P1291" i="20"/>
  <c r="P1292" i="20"/>
  <c r="P1293" i="20"/>
  <c r="P1294" i="20"/>
  <c r="P1295" i="20"/>
  <c r="P1296" i="20"/>
  <c r="P1297" i="20"/>
  <c r="P1298" i="20"/>
  <c r="P1299" i="20"/>
  <c r="P1300" i="20"/>
  <c r="P1301" i="20"/>
  <c r="P1302" i="20"/>
  <c r="P1303" i="20"/>
  <c r="P1304" i="20"/>
  <c r="P1305" i="20"/>
  <c r="P1306" i="20"/>
  <c r="P1307" i="20"/>
  <c r="P1308" i="20"/>
  <c r="P1309" i="20"/>
  <c r="P1310" i="20"/>
  <c r="P1311" i="20"/>
  <c r="P1312" i="20"/>
  <c r="P1313" i="20"/>
  <c r="P1314" i="20"/>
  <c r="P1315" i="20"/>
  <c r="P1316" i="20"/>
  <c r="P1317" i="20"/>
  <c r="P1318" i="20"/>
  <c r="P1319" i="20"/>
  <c r="P1320" i="20"/>
  <c r="P1321" i="20"/>
  <c r="P1322" i="20"/>
  <c r="P1323" i="20"/>
  <c r="P1324" i="20"/>
  <c r="P1325" i="20"/>
  <c r="P1326" i="20"/>
  <c r="P1327" i="20"/>
  <c r="P1328" i="20"/>
  <c r="P1329" i="20"/>
  <c r="P1330" i="20"/>
  <c r="P1331" i="20"/>
  <c r="P1332" i="20"/>
  <c r="P1333" i="20"/>
  <c r="P1334" i="20"/>
  <c r="P1335" i="20"/>
  <c r="P1336" i="20"/>
  <c r="P1337" i="20"/>
  <c r="P1338" i="20"/>
  <c r="P1339" i="20"/>
  <c r="P1340" i="20"/>
  <c r="P1341" i="20"/>
  <c r="P1342" i="20"/>
  <c r="P1343" i="20"/>
  <c r="P1344" i="20"/>
  <c r="P1345" i="20"/>
  <c r="P1346" i="20"/>
  <c r="P1347" i="20"/>
  <c r="P1348" i="20"/>
  <c r="P1349" i="20"/>
  <c r="P1350" i="20"/>
  <c r="P1351" i="20"/>
  <c r="P1352" i="20"/>
  <c r="P1353" i="20"/>
  <c r="P1354" i="20"/>
  <c r="P1355" i="20"/>
  <c r="P1356" i="20"/>
  <c r="P1357" i="20"/>
  <c r="P1358" i="20"/>
  <c r="P1359" i="20"/>
  <c r="P1360" i="20"/>
  <c r="P1361" i="20"/>
  <c r="P1362" i="20"/>
  <c r="P1363" i="20"/>
  <c r="P1364" i="20"/>
  <c r="P1365" i="20"/>
  <c r="P1366" i="20"/>
  <c r="P1367" i="20"/>
  <c r="P1368" i="20"/>
  <c r="P1369" i="20"/>
  <c r="P1370" i="20"/>
  <c r="P1371" i="20"/>
  <c r="P1372" i="20"/>
  <c r="P1373" i="20"/>
  <c r="P1374" i="20"/>
  <c r="P1375" i="20"/>
  <c r="P1376" i="20"/>
  <c r="P1377" i="20"/>
  <c r="P1378" i="20"/>
  <c r="P1379" i="20"/>
  <c r="P1380" i="20"/>
  <c r="P1381" i="20"/>
  <c r="P1382" i="20"/>
  <c r="P1383" i="20"/>
  <c r="P1384" i="20"/>
  <c r="P1385" i="20"/>
  <c r="P1386" i="20"/>
  <c r="P1387" i="20"/>
  <c r="P1388" i="20"/>
  <c r="P1389" i="20"/>
  <c r="P1390" i="20"/>
  <c r="P1391" i="20"/>
  <c r="P1392" i="20"/>
  <c r="P1393" i="20"/>
  <c r="P1394" i="20"/>
  <c r="P1395" i="20"/>
  <c r="P1396" i="20"/>
  <c r="P1397" i="20"/>
  <c r="P1398" i="20"/>
  <c r="P1399" i="20"/>
  <c r="P1400" i="20"/>
  <c r="P1401" i="20"/>
  <c r="P1402" i="20"/>
  <c r="P1403" i="20"/>
  <c r="P1404" i="20"/>
  <c r="P1405" i="20"/>
  <c r="P1406" i="20"/>
  <c r="P1407" i="20"/>
  <c r="P1408" i="20"/>
  <c r="P1409" i="20"/>
  <c r="P1410" i="20"/>
  <c r="P1411" i="20"/>
  <c r="P1412" i="20"/>
  <c r="P1413" i="20"/>
  <c r="P1414" i="20"/>
  <c r="P1415" i="20"/>
  <c r="P1416" i="20"/>
  <c r="P1417" i="20"/>
  <c r="P1418" i="20"/>
  <c r="P1419" i="20"/>
  <c r="P1420" i="20"/>
  <c r="P1421" i="20"/>
  <c r="P1422" i="20"/>
  <c r="P1423" i="20"/>
  <c r="P1424" i="20"/>
  <c r="P1425" i="20"/>
  <c r="P1426" i="20"/>
  <c r="P1427" i="20"/>
  <c r="P1428" i="20"/>
  <c r="P1429" i="20"/>
  <c r="P1430" i="20"/>
  <c r="P1431" i="20"/>
  <c r="P1432" i="20"/>
  <c r="P1433" i="20"/>
  <c r="P1434" i="20"/>
  <c r="P1435" i="20"/>
  <c r="P1436" i="20"/>
  <c r="P1437" i="20"/>
  <c r="P1438" i="20"/>
  <c r="P1439" i="20"/>
  <c r="P1440" i="20"/>
  <c r="P1441" i="20"/>
  <c r="P1442" i="20"/>
  <c r="P1443" i="20"/>
  <c r="P1444" i="20"/>
  <c r="P1445" i="20"/>
  <c r="P1446" i="20"/>
  <c r="P1447" i="20"/>
  <c r="P1448" i="20"/>
  <c r="P1449" i="20"/>
  <c r="P1450" i="20"/>
  <c r="P1451" i="20"/>
  <c r="P1452" i="20"/>
  <c r="P1453" i="20"/>
  <c r="P1454" i="20"/>
  <c r="P1455" i="20"/>
  <c r="P1456" i="20"/>
  <c r="P1457" i="20"/>
  <c r="P1458" i="20"/>
  <c r="P1459" i="20"/>
  <c r="P1460" i="20"/>
  <c r="P1461" i="20"/>
  <c r="P1462" i="20"/>
  <c r="P1463" i="20"/>
  <c r="P1464" i="20"/>
  <c r="P1465" i="20"/>
  <c r="P1466" i="20"/>
  <c r="P1467" i="20"/>
  <c r="P1468" i="20"/>
  <c r="P1469" i="20"/>
  <c r="P1470" i="20"/>
  <c r="P1471" i="20"/>
  <c r="P1472" i="20"/>
  <c r="P1473" i="20"/>
  <c r="P1474" i="20"/>
  <c r="P1475" i="20"/>
  <c r="P1476" i="20"/>
  <c r="P1477" i="20"/>
  <c r="P1478" i="20"/>
  <c r="P1479" i="20"/>
  <c r="P1480" i="20"/>
  <c r="P1481" i="20"/>
  <c r="P1482" i="20"/>
  <c r="P1483" i="20"/>
  <c r="P1484" i="20"/>
  <c r="P1485" i="20"/>
  <c r="P1486" i="20"/>
  <c r="P1487" i="20"/>
  <c r="P1488" i="20"/>
  <c r="P1489" i="20"/>
  <c r="P1490" i="20"/>
  <c r="P1491" i="20"/>
  <c r="P1492" i="20"/>
  <c r="P1493" i="20"/>
  <c r="P1494" i="20"/>
  <c r="P1495" i="20"/>
  <c r="P1496" i="20"/>
  <c r="P1497" i="20"/>
  <c r="P1498" i="20"/>
  <c r="P1499" i="20"/>
  <c r="P1500" i="20"/>
  <c r="P1501" i="20"/>
  <c r="P1502" i="20"/>
  <c r="P1503" i="20"/>
  <c r="P1504" i="20"/>
  <c r="P1505" i="20"/>
  <c r="P1506" i="20"/>
  <c r="P1507" i="20"/>
  <c r="P1508" i="20"/>
  <c r="P1509" i="20"/>
  <c r="P1510" i="20"/>
  <c r="P1511" i="20"/>
  <c r="P1512" i="20"/>
  <c r="P1513" i="20"/>
  <c r="P1514" i="20"/>
  <c r="P1515" i="20"/>
  <c r="P1516" i="20"/>
  <c r="P1517" i="20"/>
  <c r="P1518" i="20"/>
  <c r="P1519" i="20"/>
  <c r="P1520" i="20"/>
  <c r="P1521" i="20"/>
  <c r="P1522" i="20"/>
  <c r="P1523" i="20"/>
  <c r="P1524" i="20"/>
  <c r="P1525" i="20"/>
  <c r="P1526" i="20"/>
  <c r="P1527" i="20"/>
  <c r="P1528" i="20"/>
  <c r="P1529" i="20"/>
  <c r="P1530" i="20"/>
  <c r="P1531" i="20"/>
  <c r="P1532" i="20"/>
  <c r="P1533" i="20"/>
  <c r="P1534" i="20"/>
  <c r="P1535" i="20"/>
  <c r="P1536" i="20"/>
  <c r="P1537" i="20"/>
  <c r="P1538" i="20"/>
  <c r="P1539" i="20"/>
  <c r="P1540" i="20"/>
  <c r="P1541" i="20"/>
  <c r="P1542" i="20"/>
  <c r="P1543" i="20"/>
  <c r="P1544" i="20"/>
  <c r="P1545" i="20"/>
  <c r="P1546" i="20"/>
  <c r="P1547" i="20"/>
  <c r="P1548" i="20"/>
  <c r="P1549" i="20"/>
  <c r="P1550" i="20"/>
  <c r="P1551" i="20"/>
  <c r="P1552" i="20"/>
  <c r="P1553" i="20"/>
  <c r="P1554" i="20"/>
  <c r="P1555" i="20"/>
  <c r="P1556" i="20"/>
  <c r="P1557" i="20"/>
  <c r="P1558" i="20"/>
  <c r="P1559" i="20"/>
  <c r="P1560" i="20"/>
  <c r="P1561" i="20"/>
  <c r="P1562" i="20"/>
  <c r="P1563" i="20"/>
  <c r="P1564" i="20"/>
  <c r="P1565" i="20"/>
  <c r="P1566" i="20"/>
  <c r="P1567" i="20"/>
  <c r="P1568" i="20"/>
  <c r="P1569" i="20"/>
  <c r="P1570" i="20"/>
  <c r="P1571" i="20"/>
  <c r="P1572" i="20"/>
  <c r="P1573" i="20"/>
  <c r="P1574" i="20"/>
  <c r="P1575" i="20"/>
  <c r="P1576" i="20"/>
  <c r="P1577" i="20"/>
  <c r="P1578" i="20"/>
  <c r="P1579" i="20"/>
  <c r="P1580" i="20"/>
  <c r="P1581" i="20"/>
  <c r="P1582" i="20"/>
  <c r="P1583" i="20"/>
  <c r="P1584" i="20"/>
  <c r="P1585" i="20"/>
  <c r="P1586" i="20"/>
  <c r="P1587" i="20"/>
  <c r="P1588" i="20"/>
  <c r="P1589" i="20"/>
  <c r="P1590" i="20"/>
  <c r="P1591" i="20"/>
  <c r="P1592" i="20"/>
  <c r="P1593" i="20"/>
  <c r="P1594" i="20"/>
  <c r="P1595" i="20"/>
  <c r="P1596" i="20"/>
  <c r="P1597" i="20"/>
  <c r="P1598" i="20"/>
  <c r="P1599" i="20"/>
  <c r="P1600" i="20"/>
  <c r="P1601" i="20"/>
  <c r="P1602" i="20"/>
  <c r="P1603" i="20"/>
  <c r="P1604" i="20"/>
  <c r="P1605" i="20"/>
  <c r="P1606" i="20"/>
  <c r="P1607" i="20"/>
  <c r="P1608" i="20"/>
  <c r="P1609" i="20"/>
  <c r="P1610" i="20"/>
  <c r="P1611" i="20"/>
  <c r="P1612" i="20"/>
  <c r="P1613" i="20"/>
  <c r="P1614" i="20"/>
  <c r="P1615" i="20"/>
  <c r="P1616" i="20"/>
  <c r="P1617" i="20"/>
  <c r="P1618" i="20"/>
  <c r="P1619" i="20"/>
  <c r="P1620" i="20"/>
  <c r="P1621" i="20"/>
  <c r="P1622" i="20"/>
  <c r="P1623" i="20"/>
  <c r="P1624" i="20"/>
  <c r="P1625" i="20"/>
  <c r="P1626" i="20"/>
  <c r="P1627" i="20"/>
  <c r="P1628" i="20"/>
  <c r="P1629" i="20"/>
  <c r="P1630" i="20"/>
  <c r="P1631" i="20"/>
  <c r="P1632" i="20"/>
  <c r="P1633" i="20"/>
  <c r="P1634" i="20"/>
  <c r="P1635" i="20"/>
  <c r="P1636" i="20"/>
  <c r="P1637" i="20"/>
  <c r="P1638" i="20"/>
  <c r="P1639" i="20"/>
  <c r="P1640" i="20"/>
  <c r="P1641" i="20"/>
  <c r="P1642" i="20"/>
  <c r="P1643" i="20"/>
  <c r="P1644" i="20"/>
  <c r="P1645" i="20"/>
  <c r="P1646" i="20"/>
  <c r="P1647" i="20"/>
  <c r="P1648" i="20"/>
  <c r="P1649" i="20"/>
  <c r="P1650" i="20"/>
  <c r="P1651" i="20"/>
  <c r="P1652" i="20"/>
  <c r="P1653" i="20"/>
  <c r="P1654" i="20"/>
  <c r="P1655" i="20"/>
  <c r="P1656" i="20"/>
  <c r="P1657" i="20"/>
  <c r="P1658" i="20"/>
  <c r="P1659" i="20"/>
  <c r="P1660" i="20"/>
  <c r="P1661" i="20"/>
  <c r="P1662" i="20"/>
  <c r="P1663" i="20"/>
  <c r="P1664" i="20"/>
  <c r="P1665" i="20"/>
  <c r="P1666" i="20"/>
  <c r="P1667" i="20"/>
  <c r="P1668" i="20"/>
  <c r="P1669" i="20"/>
  <c r="P1670" i="20"/>
  <c r="P1671" i="20"/>
  <c r="P1672" i="20"/>
  <c r="P1673" i="20"/>
  <c r="P1674" i="20"/>
  <c r="P1675" i="20"/>
  <c r="P1676" i="20"/>
  <c r="P1677" i="20"/>
  <c r="P1678" i="20"/>
  <c r="P1679" i="20"/>
  <c r="P1680" i="20"/>
  <c r="P1681" i="20"/>
  <c r="P1682" i="20"/>
  <c r="P1683" i="20"/>
  <c r="P1684" i="20"/>
  <c r="P1685" i="20"/>
  <c r="P1686" i="20"/>
  <c r="P1687" i="20"/>
  <c r="P1688" i="20"/>
  <c r="P1689" i="20"/>
  <c r="P1690" i="20"/>
  <c r="P1691" i="20"/>
  <c r="P1692" i="20"/>
  <c r="P1693" i="20"/>
  <c r="P1694" i="20"/>
  <c r="P1695" i="20"/>
  <c r="P1696" i="20"/>
  <c r="P1697" i="20"/>
  <c r="P1698" i="20"/>
  <c r="P1699" i="20"/>
  <c r="P1700" i="20"/>
  <c r="P1701" i="20"/>
  <c r="P1702" i="20"/>
  <c r="P1703" i="20"/>
  <c r="P1704" i="20"/>
  <c r="P1705" i="20"/>
  <c r="P1706" i="20"/>
  <c r="P1707" i="20"/>
  <c r="P1708" i="20"/>
  <c r="P1709" i="20"/>
  <c r="P1710" i="20"/>
  <c r="P1711" i="20"/>
  <c r="P1712" i="20"/>
  <c r="P1713" i="20"/>
  <c r="P1714" i="20"/>
  <c r="P1715" i="20"/>
  <c r="P1716" i="20"/>
  <c r="P1717" i="20"/>
  <c r="P1718" i="20"/>
  <c r="P1719" i="20"/>
  <c r="P1720" i="20"/>
  <c r="P1721" i="20"/>
  <c r="P1722" i="20"/>
  <c r="P1723" i="20"/>
  <c r="P1724" i="20"/>
  <c r="P1725" i="20"/>
  <c r="P1726" i="20"/>
  <c r="P1727" i="20"/>
  <c r="P1728" i="20"/>
  <c r="P1729" i="20"/>
  <c r="P1730" i="20"/>
  <c r="P1731" i="20"/>
  <c r="P1732" i="20"/>
  <c r="P1733" i="20"/>
  <c r="P1734" i="20"/>
  <c r="P1735" i="20"/>
  <c r="P1736" i="20"/>
  <c r="P1737" i="20"/>
  <c r="P1738" i="20"/>
  <c r="P1739" i="20"/>
  <c r="P1740" i="20"/>
  <c r="P1741" i="20"/>
  <c r="P1742" i="20"/>
  <c r="P1743" i="20"/>
  <c r="P1744" i="20"/>
  <c r="P1745" i="20"/>
  <c r="P1746" i="20"/>
  <c r="P1747" i="20"/>
  <c r="P1748" i="20"/>
  <c r="P1749" i="20"/>
  <c r="P1750" i="20"/>
  <c r="P1751" i="20"/>
  <c r="P1752" i="20"/>
  <c r="P1753" i="20"/>
  <c r="P1754" i="20"/>
  <c r="P1755" i="20"/>
  <c r="P1756" i="20"/>
  <c r="P1757" i="20"/>
  <c r="P1758" i="20"/>
  <c r="P1759" i="20"/>
  <c r="P1760" i="20"/>
  <c r="P1761" i="20"/>
  <c r="P1762" i="20"/>
  <c r="P1763" i="20"/>
  <c r="P1764" i="20"/>
  <c r="P1765" i="20"/>
  <c r="P1766" i="20"/>
  <c r="P1767" i="20"/>
  <c r="P1768" i="20"/>
  <c r="P1769" i="20"/>
  <c r="P1770" i="20"/>
  <c r="P1771" i="20"/>
  <c r="P1772" i="20"/>
  <c r="P1773" i="20"/>
  <c r="P1774" i="20"/>
  <c r="P1775" i="20"/>
  <c r="P1776" i="20"/>
  <c r="P1777" i="20"/>
  <c r="P1778" i="20"/>
  <c r="P1779" i="20"/>
  <c r="P1780" i="20"/>
  <c r="P1781" i="20"/>
  <c r="P1782" i="20"/>
  <c r="P1783" i="20"/>
  <c r="P1784" i="20"/>
  <c r="P1785" i="20"/>
  <c r="P1786" i="20"/>
  <c r="P1787" i="20"/>
  <c r="P1788" i="20"/>
  <c r="P1789" i="20"/>
  <c r="P1790" i="20"/>
  <c r="P1791" i="20"/>
  <c r="P1792" i="20"/>
  <c r="P1793" i="20"/>
  <c r="P1794" i="20"/>
  <c r="P1795" i="20"/>
  <c r="P1796" i="20"/>
  <c r="P1797" i="20"/>
  <c r="P1798" i="20"/>
  <c r="P1799" i="20"/>
  <c r="P1800" i="20"/>
  <c r="P1801" i="20"/>
  <c r="P1802" i="20"/>
  <c r="P1803" i="20"/>
  <c r="P1804" i="20"/>
  <c r="P1805" i="20"/>
  <c r="P1806" i="20"/>
  <c r="P1807" i="20"/>
  <c r="P1808" i="20"/>
  <c r="P1809" i="20"/>
  <c r="P1810" i="20"/>
  <c r="P1811" i="20"/>
  <c r="P1812" i="20"/>
  <c r="P1813" i="20"/>
  <c r="P1814" i="20"/>
  <c r="P1815" i="20"/>
  <c r="P1816" i="20"/>
  <c r="P1817" i="20"/>
  <c r="P1818" i="20"/>
  <c r="P1819" i="20"/>
  <c r="P1820" i="20"/>
  <c r="P1821" i="20"/>
  <c r="P1822" i="20"/>
  <c r="P1823" i="20"/>
  <c r="P1824" i="20"/>
  <c r="P1825" i="20"/>
  <c r="P1826" i="20"/>
  <c r="P1827" i="20"/>
  <c r="P1828" i="20"/>
  <c r="P1829" i="20"/>
  <c r="P1830" i="20"/>
  <c r="P1831" i="20"/>
  <c r="P1832" i="20"/>
  <c r="P1833" i="20"/>
  <c r="P1834" i="20"/>
  <c r="P1835" i="20"/>
  <c r="P1836" i="20"/>
  <c r="P1837" i="20"/>
  <c r="P1838" i="20"/>
  <c r="P1839" i="20"/>
  <c r="P1840" i="20"/>
  <c r="P1841" i="20"/>
  <c r="P1842" i="20"/>
  <c r="P1843" i="20"/>
  <c r="P1844" i="20"/>
  <c r="P1845" i="20"/>
  <c r="P1846" i="20"/>
  <c r="P1847" i="20"/>
  <c r="P1848" i="20"/>
  <c r="P1849" i="20"/>
  <c r="P1850" i="20"/>
  <c r="P1851" i="20"/>
  <c r="P1852" i="20"/>
  <c r="P1853" i="20"/>
  <c r="P1854" i="20"/>
  <c r="P1855" i="20"/>
  <c r="P1856" i="20"/>
  <c r="P1857" i="20"/>
  <c r="P1858" i="20"/>
  <c r="P1859" i="20"/>
  <c r="P1860" i="20"/>
  <c r="P1861" i="20"/>
  <c r="P1862" i="20"/>
  <c r="P1863" i="20"/>
  <c r="P1864" i="20"/>
  <c r="P1865" i="20"/>
  <c r="P1866" i="20"/>
  <c r="P1867" i="20"/>
  <c r="P1868" i="20"/>
  <c r="P1869" i="20"/>
  <c r="P1870" i="20"/>
  <c r="P1871" i="20"/>
  <c r="P1872" i="20"/>
  <c r="P1873" i="20"/>
  <c r="P1874" i="20"/>
  <c r="P1875" i="20"/>
  <c r="P1876" i="20"/>
  <c r="P1877" i="20"/>
  <c r="P1878" i="20"/>
  <c r="P1879" i="20"/>
  <c r="P1880" i="20"/>
  <c r="P1881" i="20"/>
  <c r="P1882" i="20"/>
  <c r="P1883" i="20"/>
  <c r="P1884" i="20"/>
  <c r="P1885" i="20"/>
  <c r="P1886" i="20"/>
  <c r="P1887" i="20"/>
  <c r="P1888" i="20"/>
  <c r="P1889" i="20"/>
  <c r="P1890" i="20"/>
  <c r="P1891" i="20"/>
  <c r="P1892" i="20"/>
  <c r="P1893" i="20"/>
  <c r="P1894" i="20"/>
  <c r="P1895" i="20"/>
  <c r="P1896" i="20"/>
  <c r="P1897" i="20"/>
  <c r="P1898" i="20"/>
  <c r="P1899" i="20"/>
  <c r="P1900" i="20"/>
  <c r="P1901" i="20"/>
  <c r="P1902" i="20"/>
  <c r="P1903" i="20"/>
  <c r="P1904" i="20"/>
  <c r="P1905" i="20"/>
  <c r="P1906" i="20"/>
  <c r="P1907" i="20"/>
  <c r="P1908" i="20"/>
  <c r="P1909" i="20"/>
  <c r="P1910" i="20"/>
  <c r="P1911" i="20"/>
  <c r="P1912" i="20"/>
  <c r="P1913" i="20"/>
  <c r="P1914" i="20"/>
  <c r="P1915" i="20"/>
  <c r="P1916" i="20"/>
  <c r="P1917" i="20"/>
  <c r="P1918" i="20"/>
  <c r="P1919" i="20"/>
  <c r="P1920" i="20"/>
  <c r="P1921" i="20"/>
  <c r="P1922" i="20"/>
  <c r="P1923" i="20"/>
  <c r="P1924" i="20"/>
  <c r="P1925" i="20"/>
  <c r="P1926" i="20"/>
  <c r="P1927" i="20"/>
  <c r="P1928" i="20"/>
  <c r="P1929" i="20"/>
  <c r="P1930" i="20"/>
  <c r="P1931" i="20"/>
  <c r="P1932" i="20"/>
  <c r="P1933" i="20"/>
  <c r="P1934" i="20"/>
  <c r="P1935" i="20"/>
  <c r="P1936" i="20"/>
  <c r="P1937" i="20"/>
  <c r="P1938" i="20"/>
  <c r="P1939" i="20"/>
  <c r="P1940" i="20"/>
  <c r="P1941" i="20"/>
  <c r="P1942" i="20"/>
  <c r="P1943" i="20"/>
  <c r="P1944" i="20"/>
  <c r="P1945" i="20"/>
  <c r="P1946" i="20"/>
  <c r="P1947" i="20"/>
  <c r="P1948" i="20"/>
  <c r="P1949" i="20"/>
  <c r="P1950" i="20"/>
  <c r="P1951" i="20"/>
  <c r="P1952" i="20"/>
  <c r="P1953" i="20"/>
  <c r="P1954" i="20"/>
  <c r="P1955" i="20"/>
  <c r="P1956" i="20"/>
  <c r="P1957" i="20"/>
  <c r="P1958" i="20"/>
  <c r="P1959" i="20"/>
  <c r="P1960" i="20"/>
  <c r="P1961" i="20"/>
  <c r="P1962" i="20"/>
  <c r="P1963" i="20"/>
  <c r="P1964" i="20"/>
  <c r="P1965" i="20"/>
  <c r="P1966" i="20"/>
  <c r="P1967" i="20"/>
  <c r="P1968" i="20"/>
  <c r="P1969" i="20"/>
  <c r="P1970" i="20"/>
  <c r="P1971" i="20"/>
  <c r="P1972" i="20"/>
  <c r="P1973" i="20"/>
  <c r="P1974" i="20"/>
  <c r="P1975" i="20"/>
  <c r="P1976" i="20"/>
  <c r="P1977" i="20"/>
  <c r="P1978" i="20"/>
  <c r="P1979" i="20"/>
  <c r="P1980" i="20"/>
  <c r="P1981" i="20"/>
  <c r="P1982" i="20"/>
  <c r="P1983" i="20"/>
  <c r="P1984" i="20"/>
  <c r="P1985" i="20"/>
  <c r="P1986" i="20"/>
  <c r="P1987" i="20"/>
  <c r="P1988" i="20"/>
  <c r="P1989" i="20"/>
  <c r="P1990" i="20"/>
  <c r="P1991" i="20"/>
  <c r="P1992" i="20"/>
  <c r="P1993" i="20"/>
  <c r="P1994" i="20"/>
  <c r="P1995" i="20"/>
  <c r="P1996" i="20"/>
  <c r="P1997" i="20"/>
  <c r="P1998" i="20"/>
  <c r="P1999" i="20"/>
  <c r="P2000" i="20"/>
  <c r="P2001" i="20"/>
  <c r="P2002" i="20"/>
  <c r="P2003" i="20"/>
  <c r="P2004" i="20"/>
  <c r="P2005" i="20"/>
  <c r="P2006" i="20"/>
  <c r="P2007" i="20"/>
  <c r="P2008" i="20"/>
  <c r="P2009" i="20"/>
  <c r="P2010" i="20"/>
  <c r="P2011" i="20"/>
  <c r="P2012" i="20"/>
  <c r="P2013" i="20"/>
  <c r="P2014" i="20"/>
  <c r="P2015" i="20"/>
  <c r="P2016" i="20"/>
  <c r="P2017" i="20"/>
  <c r="P2018" i="20"/>
  <c r="P2019" i="20"/>
  <c r="P2020" i="20"/>
  <c r="P2021" i="20"/>
  <c r="P2022" i="20"/>
  <c r="P2023" i="20"/>
  <c r="P2024" i="20"/>
  <c r="P2025" i="20"/>
  <c r="P2026" i="20"/>
  <c r="P2027" i="20"/>
  <c r="P2028" i="20"/>
  <c r="P2029" i="20"/>
  <c r="P2030" i="20"/>
  <c r="P2031" i="20"/>
  <c r="P2032" i="20"/>
  <c r="P2033" i="20"/>
  <c r="P2034" i="20"/>
  <c r="P2035" i="20"/>
  <c r="P2036" i="20"/>
  <c r="P2037" i="20"/>
  <c r="P2038" i="20"/>
  <c r="P2039" i="20"/>
  <c r="P2040" i="20"/>
  <c r="P2041" i="20"/>
  <c r="P2042" i="20"/>
  <c r="P2043" i="20"/>
  <c r="P2044" i="20"/>
  <c r="P2045" i="20"/>
  <c r="P2046" i="20"/>
  <c r="P2047" i="20"/>
  <c r="P2048" i="20"/>
  <c r="P2049" i="20"/>
  <c r="P2050" i="20"/>
  <c r="P2051" i="20"/>
  <c r="P2052" i="20"/>
  <c r="P2053" i="20"/>
  <c r="P2054" i="20"/>
  <c r="P2055" i="20"/>
  <c r="P2056" i="20"/>
  <c r="P2057" i="20"/>
  <c r="P2058" i="20"/>
  <c r="P2059" i="20"/>
  <c r="P2060" i="20"/>
  <c r="P2061" i="20"/>
  <c r="P2062" i="20"/>
  <c r="P2063" i="20"/>
  <c r="P2064" i="20"/>
  <c r="P2065" i="20"/>
  <c r="P2066" i="20"/>
  <c r="P2067" i="20"/>
  <c r="P2068" i="20"/>
  <c r="P2069" i="20"/>
  <c r="P2070" i="20"/>
  <c r="P2071" i="20"/>
  <c r="P2072" i="20"/>
  <c r="P2073" i="20"/>
  <c r="P2074" i="20"/>
  <c r="P2075" i="20"/>
  <c r="P2076" i="20"/>
  <c r="P2077" i="20"/>
  <c r="P2078" i="20"/>
  <c r="P2079" i="20"/>
  <c r="P2080" i="20"/>
  <c r="P2081" i="20"/>
  <c r="P2082" i="20"/>
  <c r="P2083" i="20"/>
  <c r="P2084" i="20"/>
  <c r="P2085" i="20"/>
  <c r="P2086" i="20"/>
  <c r="P2087" i="20"/>
  <c r="P2088" i="20"/>
  <c r="P2089" i="20"/>
  <c r="P2090" i="20"/>
  <c r="P2091" i="20"/>
  <c r="P2092" i="20"/>
  <c r="P2093" i="20"/>
  <c r="P2094" i="20"/>
  <c r="P2095" i="20"/>
  <c r="P2096" i="20"/>
  <c r="P2097" i="20"/>
  <c r="P2098" i="20"/>
  <c r="P2099" i="20"/>
  <c r="P2100" i="20"/>
  <c r="P2101" i="20"/>
  <c r="P2102" i="20"/>
  <c r="P2103" i="20"/>
  <c r="P2104" i="20"/>
  <c r="P2105" i="20"/>
  <c r="P2106" i="20"/>
  <c r="P2107" i="20"/>
  <c r="P2108" i="20"/>
  <c r="P2109" i="20"/>
  <c r="P2110" i="20"/>
  <c r="P2111" i="20"/>
  <c r="P2112" i="20"/>
  <c r="P2113" i="20"/>
  <c r="P2114" i="20"/>
  <c r="P2115" i="20"/>
  <c r="P2116" i="20"/>
  <c r="P2117" i="20"/>
  <c r="P2118" i="20"/>
  <c r="P2119" i="20"/>
  <c r="P2120" i="20"/>
  <c r="P2121" i="20"/>
  <c r="P2122" i="20"/>
  <c r="P2123" i="20"/>
  <c r="P2124" i="20"/>
  <c r="P2125" i="20"/>
  <c r="P2126" i="20"/>
  <c r="P2127" i="20"/>
  <c r="P2128" i="20"/>
  <c r="P2129" i="20"/>
  <c r="P2130" i="20"/>
  <c r="P2131" i="20"/>
  <c r="P2132" i="20"/>
  <c r="P2133" i="20"/>
  <c r="P2134" i="20"/>
  <c r="P2135" i="20"/>
  <c r="P2136" i="20"/>
  <c r="P2137" i="20"/>
  <c r="P2138" i="20"/>
  <c r="P2139" i="20"/>
  <c r="P2140" i="20"/>
  <c r="P2141" i="20"/>
  <c r="P2142" i="20"/>
  <c r="P2143" i="20"/>
  <c r="P2144" i="20"/>
  <c r="P2145" i="20"/>
  <c r="P2146" i="20"/>
  <c r="P2147" i="20"/>
  <c r="P2148" i="20"/>
  <c r="P2149" i="20"/>
  <c r="P2150" i="20"/>
  <c r="P2151" i="20"/>
  <c r="P2152" i="20"/>
  <c r="P2153" i="20"/>
  <c r="P2154" i="20"/>
  <c r="P2155" i="20"/>
  <c r="P2156" i="20"/>
  <c r="P2157" i="20"/>
  <c r="P2158" i="20"/>
  <c r="P2159" i="20"/>
  <c r="P2160" i="20"/>
  <c r="P2161" i="20"/>
  <c r="P2162" i="20"/>
  <c r="P2163" i="20"/>
  <c r="P2164" i="20"/>
  <c r="P2165" i="20"/>
  <c r="P2166" i="20"/>
  <c r="P2167" i="20"/>
  <c r="P2168" i="20"/>
  <c r="P2169" i="20"/>
  <c r="P2170" i="20"/>
  <c r="P2171" i="20"/>
  <c r="P2172" i="20"/>
  <c r="P2173" i="20"/>
  <c r="P2174" i="20"/>
  <c r="P2175" i="20"/>
  <c r="P2176" i="20"/>
  <c r="P2177" i="20"/>
  <c r="P2178" i="20"/>
  <c r="P2179" i="20"/>
  <c r="P2180" i="20"/>
  <c r="P2181" i="20"/>
  <c r="P2182" i="20"/>
  <c r="P2183" i="20"/>
  <c r="P2184" i="20"/>
  <c r="P2185" i="20"/>
  <c r="P2186" i="20"/>
  <c r="P2187" i="20"/>
  <c r="P2188" i="20"/>
  <c r="P2189" i="20"/>
  <c r="P2190" i="20"/>
  <c r="P2191" i="20"/>
  <c r="P2192" i="20"/>
  <c r="P2193" i="20"/>
  <c r="P2194" i="20"/>
  <c r="P2195" i="20"/>
  <c r="P2196" i="20"/>
  <c r="P2197" i="20"/>
  <c r="P2198" i="20"/>
  <c r="P2199" i="20"/>
  <c r="P2200" i="20"/>
  <c r="P2201" i="20"/>
  <c r="P2202" i="20"/>
  <c r="P2203" i="20"/>
  <c r="P2204" i="20"/>
  <c r="P2205" i="20"/>
  <c r="P2206" i="20"/>
  <c r="P2207" i="20"/>
  <c r="P2208" i="20"/>
  <c r="P2209" i="20"/>
  <c r="P2210" i="20"/>
  <c r="P2211" i="20"/>
  <c r="P2212" i="20"/>
  <c r="P2213" i="20"/>
  <c r="P2214" i="20"/>
  <c r="P2215" i="20"/>
  <c r="P2216" i="20"/>
  <c r="P2217" i="20"/>
  <c r="P2218" i="20"/>
  <c r="P2219" i="20"/>
  <c r="P2220" i="20"/>
  <c r="P2221" i="20"/>
  <c r="P2222" i="20"/>
  <c r="P2223" i="20"/>
  <c r="P2224" i="20"/>
  <c r="P2225" i="20"/>
  <c r="P2226" i="20"/>
  <c r="P2227" i="20"/>
  <c r="P2228" i="20"/>
  <c r="P2229" i="20"/>
  <c r="P2230" i="20"/>
  <c r="P2231" i="20"/>
  <c r="P2232" i="20"/>
  <c r="P2233" i="20"/>
  <c r="P2234" i="20"/>
  <c r="P2235" i="20"/>
  <c r="P2236" i="20"/>
  <c r="P2237" i="20"/>
  <c r="P2238" i="20"/>
  <c r="P2239" i="20"/>
  <c r="P2240" i="20"/>
  <c r="P2241" i="20"/>
  <c r="P2242" i="20"/>
  <c r="P2243" i="20"/>
  <c r="P2244" i="20"/>
  <c r="P2245" i="20"/>
  <c r="P2246" i="20"/>
  <c r="P2247" i="20"/>
  <c r="P2248" i="20"/>
  <c r="P2249" i="20"/>
  <c r="P2250" i="20"/>
  <c r="P2251" i="20"/>
  <c r="P2252" i="20"/>
  <c r="P2253" i="20"/>
  <c r="P2254" i="20"/>
  <c r="P2255" i="20"/>
  <c r="P2256" i="20"/>
  <c r="P2257" i="20"/>
  <c r="P2258" i="20"/>
  <c r="P2259" i="20"/>
  <c r="P2260" i="20"/>
  <c r="P2261" i="20"/>
  <c r="P2262" i="20"/>
  <c r="P2263" i="20"/>
  <c r="P2264" i="20"/>
  <c r="P2265" i="20"/>
  <c r="P2266" i="20"/>
  <c r="P2267" i="20"/>
  <c r="P2268" i="20"/>
  <c r="P2269" i="20"/>
  <c r="P2270" i="20"/>
  <c r="P2271" i="20"/>
  <c r="P2272" i="20"/>
  <c r="P2273" i="20"/>
  <c r="P2274" i="20"/>
  <c r="P2275" i="20"/>
  <c r="P2276" i="20"/>
  <c r="P2277" i="20"/>
  <c r="P2278" i="20"/>
  <c r="P2279" i="20"/>
  <c r="P2280" i="20"/>
  <c r="P2281" i="20"/>
  <c r="P2282" i="20"/>
  <c r="P2283" i="20"/>
  <c r="P2284" i="20"/>
  <c r="P2285" i="20"/>
  <c r="P2286" i="20"/>
  <c r="P2287" i="20"/>
  <c r="P2288" i="20"/>
  <c r="P2289" i="20"/>
  <c r="P2290" i="20"/>
  <c r="P2291" i="20"/>
  <c r="P2292" i="20"/>
  <c r="P2293" i="20"/>
  <c r="P2294" i="20"/>
  <c r="P2295" i="20"/>
  <c r="P2296" i="20"/>
  <c r="P2297" i="20"/>
  <c r="P2298" i="20"/>
  <c r="P2299" i="20"/>
  <c r="P2300" i="20"/>
  <c r="P2301" i="20"/>
  <c r="P2302" i="20"/>
  <c r="P2303" i="20"/>
  <c r="P2304" i="20"/>
  <c r="P2305" i="20"/>
  <c r="P2306" i="20"/>
  <c r="P2307" i="20"/>
  <c r="P2308" i="20"/>
  <c r="P2309" i="20"/>
  <c r="P2310" i="20"/>
  <c r="P2311" i="20"/>
  <c r="P2312" i="20"/>
  <c r="P2313" i="20"/>
  <c r="P2314" i="20"/>
  <c r="P2315" i="20"/>
  <c r="P2316" i="20"/>
  <c r="P2317" i="20"/>
  <c r="P2318" i="20"/>
  <c r="P2319" i="20"/>
  <c r="P2320" i="20"/>
  <c r="P2321" i="20"/>
  <c r="P2322" i="20"/>
  <c r="P2323" i="20"/>
  <c r="P2324" i="20"/>
  <c r="P2325" i="20"/>
  <c r="P2326" i="20"/>
  <c r="P2327" i="20"/>
  <c r="P2328" i="20"/>
  <c r="P2329" i="20"/>
  <c r="P2330" i="20"/>
  <c r="P2331" i="20"/>
  <c r="P2332" i="20"/>
  <c r="P2333" i="20"/>
  <c r="P2334" i="20"/>
  <c r="P2335" i="20"/>
  <c r="P2336" i="20"/>
  <c r="P2337" i="20"/>
  <c r="P2338" i="20"/>
  <c r="P2339" i="20"/>
  <c r="P2340" i="20"/>
  <c r="P2341" i="20"/>
  <c r="P2342" i="20"/>
  <c r="P2343" i="20"/>
  <c r="P2344" i="20"/>
  <c r="P2345" i="20"/>
  <c r="P2346" i="20"/>
  <c r="P2347" i="20"/>
  <c r="P2348" i="20"/>
  <c r="P2349" i="20"/>
  <c r="P2350" i="20"/>
  <c r="P2351" i="20"/>
  <c r="P2352" i="20"/>
  <c r="P2353" i="20"/>
  <c r="P2354" i="20"/>
  <c r="P2355" i="20"/>
  <c r="P2356" i="20"/>
  <c r="P2357" i="20"/>
  <c r="P2358" i="20"/>
  <c r="P2359" i="20"/>
  <c r="P2360" i="20"/>
  <c r="P2361" i="20"/>
  <c r="P2362" i="20"/>
  <c r="P2363" i="20"/>
  <c r="P2364" i="20"/>
  <c r="P2365" i="20"/>
  <c r="P2366" i="20"/>
  <c r="P2367" i="20"/>
  <c r="P2368" i="20"/>
  <c r="P2369" i="20"/>
  <c r="P2370" i="20"/>
  <c r="P2371" i="20"/>
  <c r="P2372" i="20"/>
  <c r="P2373" i="20"/>
  <c r="P2374" i="20"/>
  <c r="P2375" i="20"/>
  <c r="P2376" i="20"/>
  <c r="P2377" i="20"/>
  <c r="P2378" i="20"/>
  <c r="P2379" i="20"/>
  <c r="P2380" i="20"/>
  <c r="P2381" i="20"/>
  <c r="P2382" i="20"/>
  <c r="P2383" i="20"/>
  <c r="P2384" i="20"/>
  <c r="P2385" i="20"/>
  <c r="P2386" i="20"/>
  <c r="P2387" i="20"/>
  <c r="P2388" i="20"/>
  <c r="P2389" i="20"/>
  <c r="P2390" i="20"/>
  <c r="P2391" i="20"/>
  <c r="P2392" i="20"/>
  <c r="P2393" i="20"/>
  <c r="P2394" i="20"/>
  <c r="P2395" i="20"/>
  <c r="P2396" i="20"/>
  <c r="P2397" i="20"/>
  <c r="P2398" i="20"/>
  <c r="P2399" i="20"/>
  <c r="P2400" i="20"/>
  <c r="P2401" i="20"/>
  <c r="P2402" i="20"/>
  <c r="P2403" i="20"/>
  <c r="P2404" i="20"/>
  <c r="P2405" i="20"/>
  <c r="P2406" i="20"/>
  <c r="P2407" i="20"/>
  <c r="P2408" i="20"/>
  <c r="P2409" i="20"/>
  <c r="P2410" i="20"/>
  <c r="P2411" i="20"/>
  <c r="P2412" i="20"/>
  <c r="P2413" i="20"/>
  <c r="P2414" i="20"/>
  <c r="P2415" i="20"/>
  <c r="P2416" i="20"/>
  <c r="P2417" i="20"/>
  <c r="P2418" i="20"/>
  <c r="P2419" i="20"/>
  <c r="P2420" i="20"/>
  <c r="P2421" i="20"/>
  <c r="P2422" i="20"/>
  <c r="P2423" i="20"/>
  <c r="P2424" i="20"/>
  <c r="P2425" i="20"/>
  <c r="P2426" i="20"/>
  <c r="P2427" i="20"/>
  <c r="P2428" i="20"/>
  <c r="P2429" i="20"/>
  <c r="P2430" i="20"/>
  <c r="P2431" i="20"/>
  <c r="P2432" i="20"/>
  <c r="P2433" i="20"/>
  <c r="P2434" i="20"/>
  <c r="P2435" i="20"/>
  <c r="P2436" i="20"/>
  <c r="P2437" i="20"/>
  <c r="P2438" i="20"/>
  <c r="P2439" i="20"/>
  <c r="P2440" i="20"/>
  <c r="P2441" i="20"/>
  <c r="P2442" i="20"/>
  <c r="P2443" i="20"/>
  <c r="P2444" i="20"/>
  <c r="P2445" i="20"/>
  <c r="P2446" i="20"/>
  <c r="P2447" i="20"/>
  <c r="P2448" i="20"/>
  <c r="P2449" i="20"/>
  <c r="P2450" i="20"/>
  <c r="P2451" i="20"/>
  <c r="P2452" i="20"/>
  <c r="P2453" i="20"/>
  <c r="P2454" i="20"/>
  <c r="P2455" i="20"/>
  <c r="P2456" i="20"/>
  <c r="P2457" i="20"/>
  <c r="P2458" i="20"/>
  <c r="P2459" i="20"/>
  <c r="P2460" i="20"/>
  <c r="P2461" i="20"/>
  <c r="P2462" i="20"/>
  <c r="P2463" i="20"/>
  <c r="P2464" i="20"/>
  <c r="P2465" i="20"/>
  <c r="P2466" i="20"/>
  <c r="P2467" i="20"/>
  <c r="P2468" i="20"/>
  <c r="P2469" i="20"/>
  <c r="P2470" i="20"/>
  <c r="P2471" i="20"/>
  <c r="P2472" i="20"/>
  <c r="P2473" i="20"/>
  <c r="P2474" i="20"/>
  <c r="P2475" i="20"/>
  <c r="P2476" i="20"/>
  <c r="P2477" i="20"/>
  <c r="P2478" i="20"/>
  <c r="P2479" i="20"/>
  <c r="P2480" i="20"/>
  <c r="P2481" i="20"/>
  <c r="P2482" i="20"/>
  <c r="P2483" i="20"/>
  <c r="P2484" i="20"/>
  <c r="P2485" i="20"/>
  <c r="P2486" i="20"/>
  <c r="P2487" i="20"/>
  <c r="P2488" i="20"/>
  <c r="P2489" i="20"/>
  <c r="P2490" i="20"/>
  <c r="P2491" i="20"/>
  <c r="P2492" i="20"/>
  <c r="P2493" i="20"/>
  <c r="P2494" i="20"/>
  <c r="P2495" i="20"/>
  <c r="P2496" i="20"/>
  <c r="P2497" i="20"/>
  <c r="P2498" i="20"/>
  <c r="P2499" i="20"/>
  <c r="P2500" i="20"/>
  <c r="P2501" i="20"/>
  <c r="P2502" i="20"/>
  <c r="P2503" i="20"/>
  <c r="P2504" i="20"/>
  <c r="P2505" i="20"/>
  <c r="P2506" i="20"/>
  <c r="P2507" i="20"/>
  <c r="P2508" i="20"/>
  <c r="P2509" i="20"/>
  <c r="P2510" i="20"/>
  <c r="P2511" i="20"/>
  <c r="P2512" i="20"/>
  <c r="P2513" i="20"/>
  <c r="P2514" i="20"/>
  <c r="P2515" i="20"/>
  <c r="P2516" i="20"/>
  <c r="P2517" i="20"/>
  <c r="P2518" i="20"/>
  <c r="P2519" i="20"/>
  <c r="P2520" i="20"/>
  <c r="P2521" i="20"/>
  <c r="P2522" i="20"/>
  <c r="P2523" i="20"/>
  <c r="P2524" i="20"/>
  <c r="P2525" i="20"/>
  <c r="P2526" i="20"/>
  <c r="P2527" i="20"/>
  <c r="P2528" i="20"/>
  <c r="P2529" i="20"/>
  <c r="P2530" i="20"/>
  <c r="P2531" i="20"/>
  <c r="P2532" i="20"/>
  <c r="P2533" i="20"/>
  <c r="P2534" i="20"/>
  <c r="P2535" i="20"/>
  <c r="P2536" i="20"/>
  <c r="P2537" i="20"/>
  <c r="P2538" i="20"/>
  <c r="P2539" i="20"/>
  <c r="P2540" i="20"/>
  <c r="P2541" i="20"/>
  <c r="P2542" i="20"/>
  <c r="P2543" i="20"/>
  <c r="P2544" i="20"/>
  <c r="P2545" i="20"/>
  <c r="P2546" i="20"/>
  <c r="P2547" i="20"/>
  <c r="P2548" i="20"/>
  <c r="P2549" i="20"/>
  <c r="P2550" i="20"/>
  <c r="P2551" i="20"/>
  <c r="P2552" i="20"/>
  <c r="P2553" i="20"/>
  <c r="P2554" i="20"/>
  <c r="P2555" i="20"/>
  <c r="P2556" i="20"/>
  <c r="P2557" i="20"/>
  <c r="P2558" i="20"/>
  <c r="P2559" i="20"/>
  <c r="P2560" i="20"/>
  <c r="P2561" i="20"/>
  <c r="P2562" i="20"/>
  <c r="P2563" i="20"/>
  <c r="P2564" i="20"/>
  <c r="P2565" i="20"/>
  <c r="P2566" i="20"/>
  <c r="P2567" i="20"/>
  <c r="P2568" i="20"/>
  <c r="P2569" i="20"/>
  <c r="P2570" i="20"/>
  <c r="P2571" i="20"/>
  <c r="P2572" i="20"/>
  <c r="P2573" i="20"/>
  <c r="P2574" i="20"/>
  <c r="P2575" i="20"/>
  <c r="P2576" i="20"/>
  <c r="P2577" i="20"/>
  <c r="P2578" i="20"/>
  <c r="P2579" i="20"/>
  <c r="P2580" i="20"/>
  <c r="P2581" i="20"/>
  <c r="P2582" i="20"/>
  <c r="P2583" i="20"/>
  <c r="P2584" i="20"/>
  <c r="P2585" i="20"/>
  <c r="P2586" i="20"/>
  <c r="P2587" i="20"/>
  <c r="P2588" i="20"/>
  <c r="P2589" i="20"/>
  <c r="P2590" i="20"/>
  <c r="P2591" i="20"/>
  <c r="P2592" i="20"/>
  <c r="P2593" i="20"/>
  <c r="P2594" i="20"/>
  <c r="P2595" i="20"/>
  <c r="P2596" i="20"/>
  <c r="P2597" i="20"/>
  <c r="P2598" i="20"/>
  <c r="P2599" i="20"/>
  <c r="P2600" i="20"/>
  <c r="P2601" i="20"/>
  <c r="P2602" i="20"/>
  <c r="P2603" i="20"/>
  <c r="P2604" i="20"/>
  <c r="P2605" i="20"/>
  <c r="P2606" i="20"/>
  <c r="P2607" i="20"/>
  <c r="P2608" i="20"/>
  <c r="P2609" i="20"/>
  <c r="P2610" i="20"/>
  <c r="P2611" i="20"/>
  <c r="P2612" i="20"/>
  <c r="P2613" i="20"/>
  <c r="P2614" i="20"/>
  <c r="P2615" i="20"/>
  <c r="P2616" i="20"/>
  <c r="P2617" i="20"/>
  <c r="P2618" i="20"/>
  <c r="P2619" i="20"/>
  <c r="P2620" i="20"/>
  <c r="P2621" i="20"/>
  <c r="P2622" i="20"/>
  <c r="P2623" i="20"/>
  <c r="P2624" i="20"/>
  <c r="P2625" i="20"/>
  <c r="P2626" i="20"/>
  <c r="P2627" i="20"/>
  <c r="P2628" i="20"/>
  <c r="P2629" i="20"/>
  <c r="P2630" i="20"/>
  <c r="P2631" i="20"/>
  <c r="P2632" i="20"/>
  <c r="P2633" i="20"/>
  <c r="P2634" i="20"/>
  <c r="P2635" i="20"/>
  <c r="P2636" i="20"/>
  <c r="P2637" i="20"/>
  <c r="P2638" i="20"/>
  <c r="P2639" i="20"/>
  <c r="P2640" i="20"/>
  <c r="P2641" i="20"/>
  <c r="P2642" i="20"/>
  <c r="P2643" i="20"/>
  <c r="P2644" i="20"/>
  <c r="P2645" i="20"/>
  <c r="P2646" i="20"/>
  <c r="P2647" i="20"/>
  <c r="P2648" i="20"/>
  <c r="P2649" i="20"/>
  <c r="P2650" i="20"/>
  <c r="P2651" i="20"/>
  <c r="P2652" i="20"/>
  <c r="P2653" i="20"/>
  <c r="P2654" i="20"/>
  <c r="P2655" i="20"/>
  <c r="P2656" i="20"/>
  <c r="P2657" i="20"/>
  <c r="P2658" i="20"/>
  <c r="P2659" i="20"/>
  <c r="P2660" i="20"/>
  <c r="P2661" i="20"/>
  <c r="P2662" i="20"/>
  <c r="P2663" i="20"/>
  <c r="P2664" i="20"/>
  <c r="P2665" i="20"/>
  <c r="P2666" i="20"/>
  <c r="P2667" i="20"/>
  <c r="P2668" i="20"/>
  <c r="P2669" i="20"/>
  <c r="P2670" i="20"/>
  <c r="P2671" i="20"/>
  <c r="P2672" i="20"/>
  <c r="P2673" i="20"/>
  <c r="P2674" i="20"/>
  <c r="P2675" i="20"/>
  <c r="P2676" i="20"/>
  <c r="P2677" i="20"/>
  <c r="P2678" i="20"/>
  <c r="P2679" i="20"/>
  <c r="P2680" i="20"/>
  <c r="P2681" i="20"/>
  <c r="P2682" i="20"/>
  <c r="P2683" i="20"/>
  <c r="P2684" i="20"/>
  <c r="P2685" i="20"/>
  <c r="P2686" i="20"/>
  <c r="P2687" i="20"/>
  <c r="P2688" i="20"/>
  <c r="P2689" i="20"/>
  <c r="P2690" i="20"/>
  <c r="P2691" i="20"/>
  <c r="P2692" i="20"/>
  <c r="P2693" i="20"/>
  <c r="P2694" i="20"/>
  <c r="P2695" i="20"/>
  <c r="P2696" i="20"/>
  <c r="P2697" i="20"/>
  <c r="P2698" i="20"/>
  <c r="P2699" i="20"/>
  <c r="P2700" i="20"/>
  <c r="P2701" i="20"/>
  <c r="P2702" i="20"/>
  <c r="P2703" i="20"/>
  <c r="P2704" i="20"/>
  <c r="P2705" i="20"/>
  <c r="P2706" i="20"/>
  <c r="P2707" i="20"/>
  <c r="P2708" i="20"/>
  <c r="P2709" i="20"/>
  <c r="P2710" i="20"/>
  <c r="P2711" i="20"/>
  <c r="P2712" i="20"/>
  <c r="P2713" i="20"/>
  <c r="P2714" i="20"/>
  <c r="P2715" i="20"/>
  <c r="P2716" i="20"/>
  <c r="P2717" i="20"/>
  <c r="P2718" i="20"/>
  <c r="P2719" i="20"/>
  <c r="P2720" i="20"/>
  <c r="P2721" i="20"/>
  <c r="P2722" i="20"/>
  <c r="P2723" i="20"/>
  <c r="P2724" i="20"/>
  <c r="P2725" i="20"/>
  <c r="P2726" i="20"/>
  <c r="P2727" i="20"/>
  <c r="P2728" i="20"/>
  <c r="P2729" i="20"/>
  <c r="P2730" i="20"/>
  <c r="P2731" i="20"/>
  <c r="P2732" i="20"/>
  <c r="P2733" i="20"/>
  <c r="P2734" i="20"/>
  <c r="P2735" i="20"/>
  <c r="P2736" i="20"/>
  <c r="P2737" i="20"/>
  <c r="P2738" i="20"/>
  <c r="P2739" i="20"/>
  <c r="P2740" i="20"/>
  <c r="P2741" i="20"/>
  <c r="P2742" i="20"/>
  <c r="P2743" i="20"/>
  <c r="P2744" i="20"/>
  <c r="P2745" i="20"/>
  <c r="P2746" i="20"/>
  <c r="P2747" i="20"/>
  <c r="P2748" i="20"/>
  <c r="P2749" i="20"/>
  <c r="P2750" i="20"/>
  <c r="P2751" i="20"/>
  <c r="P2752" i="20"/>
  <c r="P2753" i="20"/>
  <c r="P2754" i="20"/>
  <c r="P2755" i="20"/>
  <c r="P2756" i="20"/>
  <c r="P2757" i="20"/>
  <c r="P2758" i="20"/>
  <c r="P2759" i="20"/>
  <c r="P2760" i="20"/>
  <c r="P2761" i="20"/>
  <c r="P2762" i="20"/>
  <c r="P2763" i="20"/>
  <c r="P2764" i="20"/>
  <c r="P2765" i="20"/>
  <c r="P2766" i="20"/>
  <c r="P2767" i="20"/>
  <c r="P2768" i="20"/>
  <c r="P2769" i="20"/>
  <c r="P2770" i="20"/>
  <c r="P2771" i="20"/>
  <c r="P2772" i="20"/>
  <c r="P2773" i="20"/>
  <c r="P2774" i="20"/>
  <c r="P2775" i="20"/>
  <c r="P2776" i="20"/>
  <c r="P2777" i="20"/>
  <c r="P2778" i="20"/>
  <c r="P2779" i="20"/>
  <c r="P2780" i="20"/>
  <c r="P2781" i="20"/>
  <c r="P2782" i="20"/>
  <c r="P2783" i="20"/>
  <c r="P2784" i="20"/>
  <c r="P2785" i="20"/>
  <c r="P2786" i="20"/>
  <c r="P2787" i="20"/>
  <c r="P2788" i="20"/>
  <c r="P2789" i="20"/>
  <c r="P2790" i="20"/>
  <c r="P2791" i="20"/>
  <c r="P2792" i="20"/>
  <c r="P2793" i="20"/>
  <c r="P2794" i="20"/>
  <c r="P2795" i="20"/>
  <c r="P2796" i="20"/>
  <c r="P2797" i="20"/>
  <c r="P2798" i="20"/>
  <c r="P2799" i="20"/>
  <c r="P2800" i="20"/>
  <c r="P2801" i="20"/>
  <c r="P2802" i="20"/>
  <c r="P2803" i="20"/>
  <c r="P2804" i="20"/>
  <c r="P2805" i="20"/>
  <c r="P2806" i="20"/>
  <c r="P2807" i="20"/>
  <c r="P2808" i="20"/>
  <c r="P2809" i="20"/>
  <c r="P2810" i="20"/>
  <c r="P2811" i="20"/>
  <c r="P2812" i="20"/>
  <c r="P2813" i="20"/>
  <c r="P2814" i="20"/>
  <c r="P2815" i="20"/>
  <c r="P2816" i="20"/>
  <c r="P2817" i="20"/>
  <c r="P2818" i="20"/>
  <c r="P2819" i="20"/>
  <c r="P2820" i="20"/>
  <c r="P2821" i="20"/>
  <c r="P2822" i="20"/>
  <c r="P2823" i="20"/>
  <c r="P2824" i="20"/>
  <c r="P2825" i="20"/>
  <c r="P2826" i="20"/>
  <c r="P2827" i="20"/>
  <c r="P2828" i="20"/>
  <c r="P2829" i="20"/>
  <c r="P2830" i="20"/>
  <c r="P2831" i="20"/>
  <c r="P2832" i="20"/>
  <c r="P2833" i="20"/>
  <c r="P2834" i="20"/>
  <c r="P2835" i="20"/>
  <c r="P2836" i="20"/>
  <c r="P2837" i="20"/>
  <c r="P2838" i="20"/>
  <c r="P2839" i="20"/>
  <c r="P2840" i="20"/>
  <c r="P2841" i="20"/>
  <c r="P2842" i="20"/>
  <c r="P2843" i="20"/>
  <c r="P2844" i="20"/>
  <c r="P2845" i="20"/>
  <c r="P2846" i="20"/>
  <c r="P2847" i="20"/>
  <c r="P2848" i="20"/>
  <c r="P2849" i="20"/>
  <c r="P2850" i="20"/>
  <c r="P2851" i="20"/>
  <c r="P2852" i="20"/>
  <c r="P2853" i="20"/>
  <c r="P2854" i="20"/>
  <c r="P2855" i="20"/>
  <c r="P2856" i="20"/>
  <c r="P2857" i="20"/>
  <c r="P2858" i="20"/>
  <c r="P2859" i="20"/>
  <c r="P2860" i="20"/>
  <c r="P2861" i="20"/>
  <c r="P2862" i="20"/>
  <c r="P2863" i="20"/>
  <c r="P2864" i="20"/>
  <c r="P2865" i="20"/>
  <c r="P2866" i="20"/>
  <c r="P2867" i="20"/>
  <c r="P2868" i="20"/>
  <c r="P2869" i="20"/>
  <c r="P2870" i="20"/>
  <c r="P2871" i="20"/>
  <c r="P2872" i="20"/>
  <c r="P2873" i="20"/>
  <c r="P2874" i="20"/>
  <c r="P2875" i="20"/>
  <c r="P2876" i="20"/>
  <c r="P2877" i="20"/>
  <c r="P2878" i="20"/>
  <c r="P2879" i="20"/>
  <c r="P2880" i="20"/>
  <c r="P2881" i="20"/>
  <c r="P2882" i="20"/>
  <c r="P2883" i="20"/>
  <c r="P2884" i="20"/>
  <c r="P2885" i="20"/>
  <c r="P2886" i="20"/>
  <c r="P2887" i="20"/>
  <c r="P2888" i="20"/>
  <c r="P2889" i="20"/>
  <c r="P2890" i="20"/>
  <c r="P2891" i="20"/>
  <c r="P2892" i="20"/>
  <c r="P2893" i="20"/>
  <c r="P2894" i="20"/>
  <c r="P2895" i="20"/>
  <c r="P2896" i="20"/>
  <c r="P2897" i="20"/>
  <c r="P2898" i="20"/>
  <c r="P2899" i="20"/>
  <c r="P2900" i="20"/>
  <c r="P2901" i="20"/>
  <c r="P2902" i="20"/>
  <c r="P2903" i="20"/>
  <c r="P2904" i="20"/>
  <c r="P2905" i="20"/>
  <c r="P2906" i="20"/>
  <c r="P2907" i="20"/>
  <c r="P3" i="20"/>
  <c r="N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456" i="20"/>
  <c r="O457" i="20"/>
  <c r="O458" i="20"/>
  <c r="O459" i="20"/>
  <c r="O460" i="20"/>
  <c r="O461" i="20"/>
  <c r="O462" i="20"/>
  <c r="O463" i="20"/>
  <c r="O464" i="20"/>
  <c r="O465" i="20"/>
  <c r="O466" i="20"/>
  <c r="O467" i="20"/>
  <c r="O468" i="20"/>
  <c r="O469" i="20"/>
  <c r="O470" i="20"/>
  <c r="O471" i="20"/>
  <c r="O472" i="20"/>
  <c r="O473" i="20"/>
  <c r="O474" i="20"/>
  <c r="O475" i="20"/>
  <c r="O476" i="20"/>
  <c r="O477" i="20"/>
  <c r="O478" i="20"/>
  <c r="O479" i="20"/>
  <c r="O480" i="20"/>
  <c r="O481" i="20"/>
  <c r="O482" i="20"/>
  <c r="O483" i="20"/>
  <c r="O484" i="20"/>
  <c r="O485" i="20"/>
  <c r="O486" i="20"/>
  <c r="O487" i="20"/>
  <c r="O488" i="20"/>
  <c r="O489" i="20"/>
  <c r="O490" i="20"/>
  <c r="O491" i="20"/>
  <c r="O492" i="20"/>
  <c r="O493" i="20"/>
  <c r="O494" i="20"/>
  <c r="O495" i="20"/>
  <c r="O496" i="20"/>
  <c r="O497" i="20"/>
  <c r="O498" i="20"/>
  <c r="O499" i="20"/>
  <c r="O500" i="20"/>
  <c r="O501" i="20"/>
  <c r="O502" i="20"/>
  <c r="O503" i="20"/>
  <c r="O504" i="20"/>
  <c r="O505" i="20"/>
  <c r="O506" i="20"/>
  <c r="O507" i="20"/>
  <c r="O508" i="20"/>
  <c r="O509" i="20"/>
  <c r="O510" i="20"/>
  <c r="O511" i="20"/>
  <c r="O512" i="20"/>
  <c r="O513" i="20"/>
  <c r="O514" i="20"/>
  <c r="O515" i="20"/>
  <c r="O516" i="20"/>
  <c r="O517" i="20"/>
  <c r="O518" i="20"/>
  <c r="O519" i="20"/>
  <c r="O520" i="20"/>
  <c r="O521" i="20"/>
  <c r="O522" i="20"/>
  <c r="O523" i="20"/>
  <c r="O524" i="20"/>
  <c r="O525" i="20"/>
  <c r="O526" i="20"/>
  <c r="O527" i="20"/>
  <c r="O528" i="20"/>
  <c r="O529" i="20"/>
  <c r="O530" i="20"/>
  <c r="O531" i="20"/>
  <c r="O532" i="20"/>
  <c r="O533" i="20"/>
  <c r="O534" i="20"/>
  <c r="O535" i="20"/>
  <c r="O536" i="20"/>
  <c r="O537" i="20"/>
  <c r="O538" i="20"/>
  <c r="O539" i="20"/>
  <c r="O540" i="20"/>
  <c r="O541" i="20"/>
  <c r="O542" i="20"/>
  <c r="O543" i="20"/>
  <c r="O544" i="20"/>
  <c r="O545" i="20"/>
  <c r="O546" i="20"/>
  <c r="O547" i="20"/>
  <c r="O548" i="20"/>
  <c r="O549" i="20"/>
  <c r="O550" i="20"/>
  <c r="O551" i="20"/>
  <c r="O552" i="20"/>
  <c r="O553" i="20"/>
  <c r="O554" i="20"/>
  <c r="O555" i="20"/>
  <c r="O556" i="20"/>
  <c r="O557" i="20"/>
  <c r="O558" i="20"/>
  <c r="O559" i="20"/>
  <c r="O560" i="20"/>
  <c r="O561" i="20"/>
  <c r="O562" i="20"/>
  <c r="O563" i="20"/>
  <c r="O564" i="20"/>
  <c r="O565" i="20"/>
  <c r="O566" i="20"/>
  <c r="O567" i="20"/>
  <c r="O568" i="20"/>
  <c r="O569" i="20"/>
  <c r="O570" i="20"/>
  <c r="O571" i="20"/>
  <c r="O572" i="20"/>
  <c r="O573" i="20"/>
  <c r="O574" i="20"/>
  <c r="O575" i="20"/>
  <c r="O576" i="20"/>
  <c r="O577" i="20"/>
  <c r="O578" i="20"/>
  <c r="O579" i="20"/>
  <c r="O580" i="20"/>
  <c r="O581" i="20"/>
  <c r="O582" i="20"/>
  <c r="O583" i="20"/>
  <c r="O584" i="20"/>
  <c r="O585" i="20"/>
  <c r="O586" i="20"/>
  <c r="O587" i="20"/>
  <c r="O588" i="20"/>
  <c r="O589" i="20"/>
  <c r="O590" i="20"/>
  <c r="O591" i="20"/>
  <c r="O592" i="20"/>
  <c r="O593" i="20"/>
  <c r="O594" i="20"/>
  <c r="O595" i="20"/>
  <c r="O596" i="20"/>
  <c r="O597" i="20"/>
  <c r="O598" i="20"/>
  <c r="O599" i="20"/>
  <c r="O600" i="20"/>
  <c r="O601" i="20"/>
  <c r="O602" i="20"/>
  <c r="O603" i="20"/>
  <c r="O604" i="20"/>
  <c r="O605" i="20"/>
  <c r="O606" i="20"/>
  <c r="O607" i="20"/>
  <c r="O608" i="20"/>
  <c r="O609" i="20"/>
  <c r="O610" i="20"/>
  <c r="O611" i="20"/>
  <c r="O612" i="20"/>
  <c r="O613" i="20"/>
  <c r="O614" i="20"/>
  <c r="O615" i="20"/>
  <c r="O616" i="20"/>
  <c r="O617" i="20"/>
  <c r="O618" i="20"/>
  <c r="O619" i="20"/>
  <c r="O620" i="20"/>
  <c r="O621" i="20"/>
  <c r="O622" i="20"/>
  <c r="O623" i="20"/>
  <c r="O624" i="20"/>
  <c r="O625" i="20"/>
  <c r="O626" i="20"/>
  <c r="O627" i="20"/>
  <c r="O628" i="20"/>
  <c r="O629" i="20"/>
  <c r="O630" i="20"/>
  <c r="O631" i="20"/>
  <c r="O632" i="20"/>
  <c r="O633" i="20"/>
  <c r="O634" i="20"/>
  <c r="O635" i="20"/>
  <c r="O636" i="20"/>
  <c r="O637" i="20"/>
  <c r="O638" i="20"/>
  <c r="O639" i="20"/>
  <c r="O640" i="20"/>
  <c r="O641" i="20"/>
  <c r="O642" i="20"/>
  <c r="O643" i="20"/>
  <c r="O644" i="20"/>
  <c r="O645" i="20"/>
  <c r="O646" i="20"/>
  <c r="O647" i="20"/>
  <c r="O648" i="20"/>
  <c r="O649" i="20"/>
  <c r="O650" i="20"/>
  <c r="O651" i="20"/>
  <c r="O652" i="20"/>
  <c r="O653" i="20"/>
  <c r="O654" i="20"/>
  <c r="O655" i="20"/>
  <c r="O656" i="20"/>
  <c r="O657" i="20"/>
  <c r="O658" i="20"/>
  <c r="O659" i="20"/>
  <c r="O660" i="20"/>
  <c r="O661" i="20"/>
  <c r="O662" i="20"/>
  <c r="O663" i="20"/>
  <c r="O664" i="20"/>
  <c r="O665" i="20"/>
  <c r="O666" i="20"/>
  <c r="O667" i="20"/>
  <c r="O668" i="20"/>
  <c r="O669" i="20"/>
  <c r="O670" i="20"/>
  <c r="O671" i="20"/>
  <c r="O672" i="20"/>
  <c r="O673" i="20"/>
  <c r="O674" i="20"/>
  <c r="O675" i="20"/>
  <c r="O676" i="20"/>
  <c r="O677" i="20"/>
  <c r="O678" i="20"/>
  <c r="O679" i="20"/>
  <c r="O680" i="20"/>
  <c r="O681" i="20"/>
  <c r="O682" i="20"/>
  <c r="O683" i="20"/>
  <c r="O684" i="20"/>
  <c r="O685" i="20"/>
  <c r="O686" i="20"/>
  <c r="O687" i="20"/>
  <c r="O688" i="20"/>
  <c r="O689" i="20"/>
  <c r="O690" i="20"/>
  <c r="O691" i="20"/>
  <c r="O692" i="20"/>
  <c r="O693" i="20"/>
  <c r="O694" i="20"/>
  <c r="O695" i="20"/>
  <c r="O696" i="20"/>
  <c r="O697" i="20"/>
  <c r="O698" i="20"/>
  <c r="O699" i="20"/>
  <c r="O700" i="20"/>
  <c r="O701" i="20"/>
  <c r="O702" i="20"/>
  <c r="O703" i="20"/>
  <c r="O704" i="20"/>
  <c r="O705" i="20"/>
  <c r="O706" i="20"/>
  <c r="O707" i="20"/>
  <c r="O708" i="20"/>
  <c r="O709" i="20"/>
  <c r="O710" i="20"/>
  <c r="O711" i="20"/>
  <c r="O712" i="20"/>
  <c r="O713" i="20"/>
  <c r="O714" i="20"/>
  <c r="O715" i="20"/>
  <c r="O716" i="20"/>
  <c r="O717" i="20"/>
  <c r="O718" i="20"/>
  <c r="O719" i="20"/>
  <c r="O720" i="20"/>
  <c r="O721" i="20"/>
  <c r="O722" i="20"/>
  <c r="O723" i="20"/>
  <c r="O724" i="20"/>
  <c r="O725" i="20"/>
  <c r="O726" i="20"/>
  <c r="O727" i="20"/>
  <c r="O728" i="20"/>
  <c r="O729" i="20"/>
  <c r="O730" i="20"/>
  <c r="O731" i="20"/>
  <c r="O732" i="20"/>
  <c r="O733" i="20"/>
  <c r="O734" i="20"/>
  <c r="O735" i="20"/>
  <c r="O736" i="20"/>
  <c r="O737" i="20"/>
  <c r="O738" i="20"/>
  <c r="O739" i="20"/>
  <c r="O740" i="20"/>
  <c r="O741" i="20"/>
  <c r="O742" i="20"/>
  <c r="O743" i="20"/>
  <c r="O744" i="20"/>
  <c r="O745" i="20"/>
  <c r="O746" i="20"/>
  <c r="O747" i="20"/>
  <c r="O748" i="20"/>
  <c r="O749" i="20"/>
  <c r="O750" i="20"/>
  <c r="O751" i="20"/>
  <c r="O752" i="20"/>
  <c r="O753" i="20"/>
  <c r="O754" i="20"/>
  <c r="O755" i="20"/>
  <c r="O756" i="20"/>
  <c r="O757" i="20"/>
  <c r="O758" i="20"/>
  <c r="O759" i="20"/>
  <c r="O760" i="20"/>
  <c r="O761" i="20"/>
  <c r="O762" i="20"/>
  <c r="O763" i="20"/>
  <c r="O764" i="20"/>
  <c r="O765" i="20"/>
  <c r="O766" i="20"/>
  <c r="O767" i="20"/>
  <c r="O768" i="20"/>
  <c r="O769" i="20"/>
  <c r="O770" i="20"/>
  <c r="O771" i="20"/>
  <c r="O772" i="20"/>
  <c r="O773" i="20"/>
  <c r="O774" i="20"/>
  <c r="O775" i="20"/>
  <c r="O776" i="20"/>
  <c r="O777" i="20"/>
  <c r="O778" i="20"/>
  <c r="O779" i="20"/>
  <c r="O780" i="20"/>
  <c r="O781" i="20"/>
  <c r="O782" i="20"/>
  <c r="O783" i="20"/>
  <c r="O784" i="20"/>
  <c r="O785" i="20"/>
  <c r="O786" i="20"/>
  <c r="O787" i="20"/>
  <c r="O788" i="20"/>
  <c r="O789" i="20"/>
  <c r="O790" i="20"/>
  <c r="O791" i="20"/>
  <c r="O792" i="20"/>
  <c r="O793" i="20"/>
  <c r="O794" i="20"/>
  <c r="O795" i="20"/>
  <c r="O796" i="20"/>
  <c r="O797" i="20"/>
  <c r="O798" i="20"/>
  <c r="O799" i="20"/>
  <c r="O800" i="20"/>
  <c r="O801" i="20"/>
  <c r="O802" i="20"/>
  <c r="O803" i="20"/>
  <c r="O804" i="20"/>
  <c r="O805" i="20"/>
  <c r="O806" i="20"/>
  <c r="O807" i="20"/>
  <c r="O808" i="20"/>
  <c r="O809" i="20"/>
  <c r="O810" i="20"/>
  <c r="O811" i="20"/>
  <c r="O812" i="20"/>
  <c r="O813" i="20"/>
  <c r="O814" i="20"/>
  <c r="O815" i="20"/>
  <c r="O816" i="20"/>
  <c r="O817" i="20"/>
  <c r="O818" i="20"/>
  <c r="O819" i="20"/>
  <c r="O820" i="20"/>
  <c r="O821" i="20"/>
  <c r="O822" i="20"/>
  <c r="O823" i="20"/>
  <c r="O824" i="20"/>
  <c r="O825" i="20"/>
  <c r="O826" i="20"/>
  <c r="O827" i="20"/>
  <c r="O828" i="20"/>
  <c r="O829" i="20"/>
  <c r="O830" i="20"/>
  <c r="O831" i="20"/>
  <c r="O832" i="20"/>
  <c r="O833" i="20"/>
  <c r="O834" i="20"/>
  <c r="O835" i="20"/>
  <c r="O836" i="20"/>
  <c r="O837" i="20"/>
  <c r="O838" i="20"/>
  <c r="O839" i="20"/>
  <c r="O840" i="20"/>
  <c r="O841" i="20"/>
  <c r="O842" i="20"/>
  <c r="O843" i="20"/>
  <c r="O844" i="20"/>
  <c r="O845" i="20"/>
  <c r="O846" i="20"/>
  <c r="O847" i="20"/>
  <c r="O848" i="20"/>
  <c r="O849" i="20"/>
  <c r="O850" i="20"/>
  <c r="O851" i="20"/>
  <c r="O852" i="20"/>
  <c r="O853" i="20"/>
  <c r="O854" i="20"/>
  <c r="O855" i="20"/>
  <c r="O856" i="20"/>
  <c r="O857" i="20"/>
  <c r="O858" i="20"/>
  <c r="O859" i="20"/>
  <c r="O860" i="20"/>
  <c r="O861" i="20"/>
  <c r="O862" i="20"/>
  <c r="O863" i="20"/>
  <c r="O864" i="20"/>
  <c r="O865" i="20"/>
  <c r="O866" i="20"/>
  <c r="O867" i="20"/>
  <c r="O868" i="20"/>
  <c r="O869" i="20"/>
  <c r="O870" i="20"/>
  <c r="O871" i="20"/>
  <c r="O872" i="20"/>
  <c r="O873" i="20"/>
  <c r="O874" i="20"/>
  <c r="O875" i="20"/>
  <c r="O876" i="20"/>
  <c r="O877" i="20"/>
  <c r="O878" i="20"/>
  <c r="O879" i="20"/>
  <c r="O880" i="20"/>
  <c r="O881" i="20"/>
  <c r="O882" i="20"/>
  <c r="O883" i="20"/>
  <c r="O884" i="20"/>
  <c r="O885" i="20"/>
  <c r="O886" i="20"/>
  <c r="O887" i="20"/>
  <c r="O888" i="20"/>
  <c r="O889" i="20"/>
  <c r="O890" i="20"/>
  <c r="O891" i="20"/>
  <c r="O892" i="20"/>
  <c r="O893" i="20"/>
  <c r="O894" i="20"/>
  <c r="O895" i="20"/>
  <c r="O896" i="20"/>
  <c r="O897" i="20"/>
  <c r="O898" i="20"/>
  <c r="O899" i="20"/>
  <c r="O900" i="20"/>
  <c r="O901" i="20"/>
  <c r="O902" i="20"/>
  <c r="O903" i="20"/>
  <c r="O904" i="20"/>
  <c r="O905" i="20"/>
  <c r="O906" i="20"/>
  <c r="O907" i="20"/>
  <c r="O908" i="20"/>
  <c r="O909" i="20"/>
  <c r="O910" i="20"/>
  <c r="O911" i="20"/>
  <c r="O912" i="20"/>
  <c r="O913" i="20"/>
  <c r="O914" i="20"/>
  <c r="O915" i="20"/>
  <c r="O916" i="20"/>
  <c r="O917" i="20"/>
  <c r="O918" i="20"/>
  <c r="O919" i="20"/>
  <c r="O920" i="20"/>
  <c r="O921" i="20"/>
  <c r="O922" i="20"/>
  <c r="O923" i="20"/>
  <c r="O924" i="20"/>
  <c r="O925" i="20"/>
  <c r="O926" i="20"/>
  <c r="O927" i="20"/>
  <c r="O928" i="20"/>
  <c r="O929" i="20"/>
  <c r="O930" i="20"/>
  <c r="O931" i="20"/>
  <c r="O932" i="20"/>
  <c r="O933" i="20"/>
  <c r="O934" i="20"/>
  <c r="O935" i="20"/>
  <c r="O936" i="20"/>
  <c r="O937" i="20"/>
  <c r="O938" i="20"/>
  <c r="O939" i="20"/>
  <c r="O940" i="20"/>
  <c r="O941" i="20"/>
  <c r="O942" i="20"/>
  <c r="O943" i="20"/>
  <c r="O944" i="20"/>
  <c r="O945" i="20"/>
  <c r="O946" i="20"/>
  <c r="O947" i="20"/>
  <c r="O948" i="20"/>
  <c r="O949" i="20"/>
  <c r="O950" i="20"/>
  <c r="O951" i="20"/>
  <c r="O952" i="20"/>
  <c r="O953" i="20"/>
  <c r="O954" i="20"/>
  <c r="O955" i="20"/>
  <c r="O956" i="20"/>
  <c r="O957" i="20"/>
  <c r="O958" i="20"/>
  <c r="O959" i="20"/>
  <c r="O960" i="20"/>
  <c r="O961" i="20"/>
  <c r="O962" i="20"/>
  <c r="O963" i="20"/>
  <c r="O964" i="20"/>
  <c r="O965" i="20"/>
  <c r="O966" i="20"/>
  <c r="O967" i="20"/>
  <c r="O968" i="20"/>
  <c r="O969" i="20"/>
  <c r="O970" i="20"/>
  <c r="O971" i="20"/>
  <c r="O972" i="20"/>
  <c r="O973" i="20"/>
  <c r="O974" i="20"/>
  <c r="O975" i="20"/>
  <c r="O976" i="20"/>
  <c r="O977" i="20"/>
  <c r="O978" i="20"/>
  <c r="O979" i="20"/>
  <c r="O980" i="20"/>
  <c r="O981" i="20"/>
  <c r="O982" i="20"/>
  <c r="O983" i="20"/>
  <c r="O984" i="20"/>
  <c r="O985" i="20"/>
  <c r="O986" i="20"/>
  <c r="O987" i="20"/>
  <c r="O988" i="20"/>
  <c r="O989" i="20"/>
  <c r="O990" i="20"/>
  <c r="O991" i="20"/>
  <c r="O992" i="20"/>
  <c r="O993" i="20"/>
  <c r="O994" i="20"/>
  <c r="O995" i="20"/>
  <c r="O996" i="20"/>
  <c r="O997" i="20"/>
  <c r="O998" i="20"/>
  <c r="O999" i="20"/>
  <c r="O1000" i="20"/>
  <c r="O1001" i="20"/>
  <c r="O1002" i="20"/>
  <c r="O1003" i="20"/>
  <c r="O1004" i="20"/>
  <c r="O1005" i="20"/>
  <c r="O1006" i="20"/>
  <c r="O1007" i="20"/>
  <c r="O1008" i="20"/>
  <c r="O1009" i="20"/>
  <c r="O1010" i="20"/>
  <c r="O1011" i="20"/>
  <c r="O1012" i="20"/>
  <c r="O1013" i="20"/>
  <c r="O1014" i="20"/>
  <c r="O1015" i="20"/>
  <c r="O1016" i="20"/>
  <c r="O1017" i="20"/>
  <c r="O1018" i="20"/>
  <c r="O1019" i="20"/>
  <c r="O1020" i="20"/>
  <c r="O1021" i="20"/>
  <c r="O1022" i="20"/>
  <c r="O1023" i="20"/>
  <c r="O1024" i="20"/>
  <c r="O1025" i="20"/>
  <c r="O1026" i="20"/>
  <c r="O1027" i="20"/>
  <c r="O1028" i="20"/>
  <c r="O1029" i="20"/>
  <c r="O1030" i="20"/>
  <c r="O1031" i="20"/>
  <c r="O1032" i="20"/>
  <c r="O1033" i="20"/>
  <c r="O1034" i="20"/>
  <c r="O1035" i="20"/>
  <c r="O1036" i="20"/>
  <c r="O1037" i="20"/>
  <c r="O1038" i="20"/>
  <c r="O1039" i="20"/>
  <c r="O1040" i="20"/>
  <c r="O1041" i="20"/>
  <c r="O1042" i="20"/>
  <c r="O1043" i="20"/>
  <c r="O1044" i="20"/>
  <c r="O1045" i="20"/>
  <c r="O1046" i="20"/>
  <c r="O1047" i="20"/>
  <c r="O1048" i="20"/>
  <c r="O1049" i="20"/>
  <c r="O1050" i="20"/>
  <c r="O1051" i="20"/>
  <c r="O1052" i="20"/>
  <c r="O1053" i="20"/>
  <c r="O1054" i="20"/>
  <c r="O1055" i="20"/>
  <c r="O1056" i="20"/>
  <c r="O1057" i="20"/>
  <c r="O1058" i="20"/>
  <c r="O1059" i="20"/>
  <c r="O1060" i="20"/>
  <c r="O1061" i="20"/>
  <c r="O1062" i="20"/>
  <c r="O1063" i="20"/>
  <c r="O1064" i="20"/>
  <c r="O1065" i="20"/>
  <c r="O1066" i="20"/>
  <c r="O1067" i="20"/>
  <c r="O1068" i="20"/>
  <c r="O1069" i="20"/>
  <c r="O1070" i="20"/>
  <c r="O1071" i="20"/>
  <c r="O1072" i="20"/>
  <c r="O1073" i="20"/>
  <c r="O1074" i="20"/>
  <c r="O1075" i="20"/>
  <c r="O1076" i="20"/>
  <c r="O1077" i="20"/>
  <c r="O1078" i="20"/>
  <c r="O1079" i="20"/>
  <c r="O1080" i="20"/>
  <c r="O1081" i="20"/>
  <c r="O1082" i="20"/>
  <c r="O1083" i="20"/>
  <c r="O1084" i="20"/>
  <c r="O1085" i="20"/>
  <c r="O1086" i="20"/>
  <c r="O1087" i="20"/>
  <c r="O1088" i="20"/>
  <c r="O1089" i="20"/>
  <c r="O1090" i="20"/>
  <c r="O1091" i="20"/>
  <c r="O1092" i="20"/>
  <c r="O1093" i="20"/>
  <c r="O1094" i="20"/>
  <c r="O1095" i="20"/>
  <c r="O1096" i="20"/>
  <c r="O1097" i="20"/>
  <c r="O1098" i="20"/>
  <c r="O1099" i="20"/>
  <c r="O1100" i="20"/>
  <c r="O1101" i="20"/>
  <c r="O1102" i="20"/>
  <c r="O1103" i="20"/>
  <c r="O1104" i="20"/>
  <c r="O1105" i="20"/>
  <c r="O1106" i="20"/>
  <c r="O1107" i="20"/>
  <c r="O1108" i="20"/>
  <c r="O1109" i="20"/>
  <c r="O1110" i="20"/>
  <c r="O1111" i="20"/>
  <c r="O1112" i="20"/>
  <c r="O1113" i="20"/>
  <c r="O1114" i="20"/>
  <c r="O1115" i="20"/>
  <c r="O1116" i="20"/>
  <c r="O1117" i="20"/>
  <c r="O1118" i="20"/>
  <c r="O1119" i="20"/>
  <c r="O1120" i="20"/>
  <c r="O1121" i="20"/>
  <c r="O1122" i="20"/>
  <c r="O1123" i="20"/>
  <c r="O1124" i="20"/>
  <c r="O1125" i="20"/>
  <c r="O1126" i="20"/>
  <c r="O1127" i="20"/>
  <c r="O1128" i="20"/>
  <c r="O1129" i="20"/>
  <c r="O1130" i="20"/>
  <c r="O1131" i="20"/>
  <c r="O1132" i="20"/>
  <c r="O1133" i="20"/>
  <c r="O1134" i="20"/>
  <c r="O1135" i="20"/>
  <c r="O1136" i="20"/>
  <c r="O1137" i="20"/>
  <c r="O1138" i="20"/>
  <c r="O1139" i="20"/>
  <c r="O1140" i="20"/>
  <c r="O1141" i="20"/>
  <c r="O1142" i="20"/>
  <c r="O1143" i="20"/>
  <c r="O1144" i="20"/>
  <c r="O1145" i="20"/>
  <c r="O1146" i="20"/>
  <c r="O1147" i="20"/>
  <c r="O1148" i="20"/>
  <c r="O1149" i="20"/>
  <c r="O1150" i="20"/>
  <c r="O1151" i="20"/>
  <c r="O1152" i="20"/>
  <c r="O1153" i="20"/>
  <c r="O1154" i="20"/>
  <c r="O1155" i="20"/>
  <c r="O1156" i="20"/>
  <c r="O1157" i="20"/>
  <c r="O1158" i="20"/>
  <c r="O1159" i="20"/>
  <c r="O1160" i="20"/>
  <c r="O1161" i="20"/>
  <c r="O1162" i="20"/>
  <c r="O1163" i="20"/>
  <c r="O1164" i="20"/>
  <c r="O1165" i="20"/>
  <c r="O1166" i="20"/>
  <c r="O1167" i="20"/>
  <c r="O1168" i="20"/>
  <c r="O1169" i="20"/>
  <c r="O1170" i="20"/>
  <c r="O1171" i="20"/>
  <c r="O1172" i="20"/>
  <c r="O1173" i="20"/>
  <c r="O1174" i="20"/>
  <c r="O1175" i="20"/>
  <c r="O1176" i="20"/>
  <c r="O1177" i="20"/>
  <c r="O1178" i="20"/>
  <c r="O1179" i="20"/>
  <c r="O1180" i="20"/>
  <c r="O1181" i="20"/>
  <c r="O1182" i="20"/>
  <c r="O1183" i="20"/>
  <c r="O1184" i="20"/>
  <c r="O1185" i="20"/>
  <c r="O1186" i="20"/>
  <c r="O1187" i="20"/>
  <c r="O1188" i="20"/>
  <c r="O1189" i="20"/>
  <c r="O1190" i="20"/>
  <c r="O1191" i="20"/>
  <c r="O1192" i="20"/>
  <c r="O1193" i="20"/>
  <c r="O1194" i="20"/>
  <c r="O1195" i="20"/>
  <c r="O1196" i="20"/>
  <c r="O1197" i="20"/>
  <c r="O1198" i="20"/>
  <c r="O1199" i="20"/>
  <c r="O1200" i="20"/>
  <c r="O1201" i="20"/>
  <c r="O1202" i="20"/>
  <c r="O1203" i="20"/>
  <c r="O1204" i="20"/>
  <c r="O1205" i="20"/>
  <c r="O1206" i="20"/>
  <c r="O1207" i="20"/>
  <c r="O1208" i="20"/>
  <c r="O1209" i="20"/>
  <c r="O1210" i="20"/>
  <c r="O1211" i="20"/>
  <c r="O1212" i="20"/>
  <c r="O1213" i="20"/>
  <c r="O1214" i="20"/>
  <c r="O1215" i="20"/>
  <c r="O1216" i="20"/>
  <c r="O1217" i="20"/>
  <c r="O1218" i="20"/>
  <c r="O1219" i="20"/>
  <c r="O1220" i="20"/>
  <c r="O1221" i="20"/>
  <c r="O1222" i="20"/>
  <c r="O1223" i="20"/>
  <c r="O1224" i="20"/>
  <c r="O1225" i="20"/>
  <c r="O1226" i="20"/>
  <c r="O1227" i="20"/>
  <c r="O1228" i="20"/>
  <c r="O1229" i="20"/>
  <c r="O1230" i="20"/>
  <c r="O1231" i="20"/>
  <c r="O1232" i="20"/>
  <c r="O1233" i="20"/>
  <c r="O1234" i="20"/>
  <c r="O1235" i="20"/>
  <c r="O1236" i="20"/>
  <c r="O1237" i="20"/>
  <c r="O1238" i="20"/>
  <c r="O1239" i="20"/>
  <c r="O1240" i="20"/>
  <c r="O1241" i="20"/>
  <c r="O1242" i="20"/>
  <c r="O1243" i="20"/>
  <c r="O1244" i="20"/>
  <c r="O1245" i="20"/>
  <c r="O1246" i="20"/>
  <c r="O1247" i="20"/>
  <c r="O1248" i="20"/>
  <c r="O1249" i="20"/>
  <c r="O1250" i="20"/>
  <c r="O1251" i="20"/>
  <c r="O1252" i="20"/>
  <c r="O1253" i="20"/>
  <c r="O1254" i="20"/>
  <c r="O1255" i="20"/>
  <c r="O1256" i="20"/>
  <c r="O1257" i="20"/>
  <c r="O1258" i="20"/>
  <c r="O1259" i="20"/>
  <c r="O1260" i="20"/>
  <c r="O1261" i="20"/>
  <c r="O1262" i="20"/>
  <c r="O1263" i="20"/>
  <c r="O1264" i="20"/>
  <c r="O1265" i="20"/>
  <c r="O1266" i="20"/>
  <c r="O1267" i="20"/>
  <c r="O1268" i="20"/>
  <c r="O1269" i="20"/>
  <c r="O1270" i="20"/>
  <c r="O1271" i="20"/>
  <c r="O1272" i="20"/>
  <c r="O1273" i="20"/>
  <c r="O1274" i="20"/>
  <c r="O1275" i="20"/>
  <c r="O1276" i="20"/>
  <c r="O1277" i="20"/>
  <c r="O1278" i="20"/>
  <c r="O1279" i="20"/>
  <c r="O1280" i="20"/>
  <c r="O1281" i="20"/>
  <c r="O1282" i="20"/>
  <c r="O1283" i="20"/>
  <c r="O1284" i="20"/>
  <c r="O1285" i="20"/>
  <c r="O1286" i="20"/>
  <c r="O1287" i="20"/>
  <c r="O1288" i="20"/>
  <c r="O1289" i="20"/>
  <c r="O1290" i="20"/>
  <c r="O1291" i="20"/>
  <c r="O1292" i="20"/>
  <c r="O1293" i="20"/>
  <c r="O1294" i="20"/>
  <c r="O1295" i="20"/>
  <c r="O1296" i="20"/>
  <c r="O1297" i="20"/>
  <c r="O1298" i="20"/>
  <c r="O1299" i="20"/>
  <c r="O1300" i="20"/>
  <c r="O1301" i="20"/>
  <c r="O1302" i="20"/>
  <c r="O1303" i="20"/>
  <c r="O1304" i="20"/>
  <c r="O1305" i="20"/>
  <c r="O1306" i="20"/>
  <c r="O1307" i="20"/>
  <c r="O1308" i="20"/>
  <c r="O1309" i="20"/>
  <c r="O1310" i="20"/>
  <c r="O1311" i="20"/>
  <c r="O1312" i="20"/>
  <c r="O1313" i="20"/>
  <c r="O1314" i="20"/>
  <c r="O1315" i="20"/>
  <c r="O1316" i="20"/>
  <c r="O1317" i="20"/>
  <c r="O1318" i="20"/>
  <c r="O1319" i="20"/>
  <c r="O1320" i="20"/>
  <c r="O1321" i="20"/>
  <c r="O1322" i="20"/>
  <c r="O1323" i="20"/>
  <c r="O1324" i="20"/>
  <c r="O1325" i="20"/>
  <c r="O1326" i="20"/>
  <c r="O1327" i="20"/>
  <c r="O1328" i="20"/>
  <c r="O1329" i="20"/>
  <c r="O1330" i="20"/>
  <c r="O1331" i="20"/>
  <c r="O1332" i="20"/>
  <c r="O1333" i="20"/>
  <c r="O1334" i="20"/>
  <c r="O1335" i="20"/>
  <c r="O1336" i="20"/>
  <c r="O1337" i="20"/>
  <c r="O1338" i="20"/>
  <c r="O1339" i="20"/>
  <c r="O1340" i="20"/>
  <c r="O1341" i="20"/>
  <c r="O1342" i="20"/>
  <c r="O1343" i="20"/>
  <c r="O1344" i="20"/>
  <c r="O1345" i="20"/>
  <c r="O1346" i="20"/>
  <c r="O1347" i="20"/>
  <c r="O1348" i="20"/>
  <c r="O1349" i="20"/>
  <c r="O1350" i="20"/>
  <c r="O1351" i="20"/>
  <c r="O1352" i="20"/>
  <c r="O1353" i="20"/>
  <c r="O1354" i="20"/>
  <c r="O1355" i="20"/>
  <c r="O1356" i="20"/>
  <c r="O1357" i="20"/>
  <c r="O1358" i="20"/>
  <c r="O1359" i="20"/>
  <c r="O1360" i="20"/>
  <c r="O1361" i="20"/>
  <c r="O1362" i="20"/>
  <c r="O1363" i="20"/>
  <c r="O1364" i="20"/>
  <c r="O1365" i="20"/>
  <c r="O1366" i="20"/>
  <c r="O1367" i="20"/>
  <c r="O1368" i="20"/>
  <c r="O1369" i="20"/>
  <c r="O1370" i="20"/>
  <c r="O1371" i="20"/>
  <c r="O1372" i="20"/>
  <c r="O1373" i="20"/>
  <c r="O1374" i="20"/>
  <c r="O1375" i="20"/>
  <c r="O1376" i="20"/>
  <c r="O1377" i="20"/>
  <c r="O1378" i="20"/>
  <c r="O1379" i="20"/>
  <c r="O1380" i="20"/>
  <c r="O1381" i="20"/>
  <c r="O1382" i="20"/>
  <c r="O1383" i="20"/>
  <c r="O1384" i="20"/>
  <c r="O1385" i="20"/>
  <c r="O1386" i="20"/>
  <c r="O1387" i="20"/>
  <c r="O1388" i="20"/>
  <c r="O1389" i="20"/>
  <c r="O1390" i="20"/>
  <c r="O1391" i="20"/>
  <c r="O1392" i="20"/>
  <c r="O1393" i="20"/>
  <c r="O1394" i="20"/>
  <c r="O1395" i="20"/>
  <c r="O1396" i="20"/>
  <c r="O1397" i="20"/>
  <c r="O1398" i="20"/>
  <c r="O1399" i="20"/>
  <c r="O1400" i="20"/>
  <c r="O1401" i="20"/>
  <c r="O1402" i="20"/>
  <c r="O1403" i="20"/>
  <c r="O1404" i="20"/>
  <c r="O1405" i="20"/>
  <c r="O1406" i="20"/>
  <c r="O1407" i="20"/>
  <c r="O1408" i="20"/>
  <c r="O1409" i="20"/>
  <c r="O1410" i="20"/>
  <c r="O1411" i="20"/>
  <c r="O1412" i="20"/>
  <c r="O1413" i="20"/>
  <c r="O1414" i="20"/>
  <c r="O1415" i="20"/>
  <c r="O1416" i="20"/>
  <c r="O1417" i="20"/>
  <c r="O1418" i="20"/>
  <c r="O1419" i="20"/>
  <c r="O1420" i="20"/>
  <c r="O1421" i="20"/>
  <c r="O1422" i="20"/>
  <c r="O1423" i="20"/>
  <c r="O1424" i="20"/>
  <c r="O1425" i="20"/>
  <c r="O1426" i="20"/>
  <c r="O1427" i="20"/>
  <c r="O1428" i="20"/>
  <c r="O1429" i="20"/>
  <c r="O1430" i="20"/>
  <c r="O1431" i="20"/>
  <c r="O1432" i="20"/>
  <c r="O1433" i="20"/>
  <c r="O1434" i="20"/>
  <c r="O1435" i="20"/>
  <c r="O1436" i="20"/>
  <c r="O1437" i="20"/>
  <c r="O1438" i="20"/>
  <c r="O1439" i="20"/>
  <c r="O1440" i="20"/>
  <c r="O1441" i="20"/>
  <c r="O1442" i="20"/>
  <c r="O1443" i="20"/>
  <c r="O1444" i="20"/>
  <c r="O1445" i="20"/>
  <c r="O1446" i="20"/>
  <c r="O1447" i="20"/>
  <c r="O1448" i="20"/>
  <c r="O1449" i="20"/>
  <c r="O1450" i="20"/>
  <c r="O1451" i="20"/>
  <c r="O1452" i="20"/>
  <c r="O1453" i="20"/>
  <c r="O1454" i="20"/>
  <c r="O1455" i="20"/>
  <c r="O1456" i="20"/>
  <c r="O1457" i="20"/>
  <c r="O1458" i="20"/>
  <c r="O1459" i="20"/>
  <c r="O1460" i="20"/>
  <c r="O1461" i="20"/>
  <c r="O1462" i="20"/>
  <c r="O1463" i="20"/>
  <c r="O1464" i="20"/>
  <c r="O1465" i="20"/>
  <c r="O1466" i="20"/>
  <c r="O1467" i="20"/>
  <c r="O1468" i="20"/>
  <c r="O1469" i="20"/>
  <c r="O1470" i="20"/>
  <c r="O1471" i="20"/>
  <c r="O1472" i="20"/>
  <c r="O1473" i="20"/>
  <c r="O1474" i="20"/>
  <c r="O1475" i="20"/>
  <c r="O1476" i="20"/>
  <c r="O1477" i="20"/>
  <c r="O1478" i="20"/>
  <c r="O1479" i="20"/>
  <c r="O1480" i="20"/>
  <c r="O1481" i="20"/>
  <c r="O1482" i="20"/>
  <c r="O1483" i="20"/>
  <c r="O1484" i="20"/>
  <c r="O1485" i="20"/>
  <c r="O1486" i="20"/>
  <c r="O1487" i="20"/>
  <c r="O1488" i="20"/>
  <c r="O1489" i="20"/>
  <c r="O1490" i="20"/>
  <c r="O1491" i="20"/>
  <c r="O1492" i="20"/>
  <c r="O1493" i="20"/>
  <c r="O1494" i="20"/>
  <c r="O1495" i="20"/>
  <c r="O1496" i="20"/>
  <c r="O1497" i="20"/>
  <c r="O1498" i="20"/>
  <c r="O1499" i="20"/>
  <c r="O1500" i="20"/>
  <c r="O1501" i="20"/>
  <c r="O1502" i="20"/>
  <c r="O1503" i="20"/>
  <c r="O1504" i="20"/>
  <c r="O1505" i="20"/>
  <c r="O1506" i="20"/>
  <c r="O1507" i="20"/>
  <c r="O1508" i="20"/>
  <c r="O1509" i="20"/>
  <c r="O1510" i="20"/>
  <c r="O1511" i="20"/>
  <c r="O1512" i="20"/>
  <c r="O1513" i="20"/>
  <c r="O1514" i="20"/>
  <c r="O1515" i="20"/>
  <c r="O1516" i="20"/>
  <c r="O1517" i="20"/>
  <c r="O1518" i="20"/>
  <c r="O1519" i="20"/>
  <c r="O1520" i="20"/>
  <c r="O1521" i="20"/>
  <c r="O1522" i="20"/>
  <c r="O1523" i="20"/>
  <c r="O1524" i="20"/>
  <c r="O1525" i="20"/>
  <c r="O1526" i="20"/>
  <c r="O1527" i="20"/>
  <c r="O1528" i="20"/>
  <c r="O1529" i="20"/>
  <c r="O1530" i="20"/>
  <c r="O1531" i="20"/>
  <c r="O1532" i="20"/>
  <c r="O1533" i="20"/>
  <c r="O1534" i="20"/>
  <c r="O1535" i="20"/>
  <c r="O1536" i="20"/>
  <c r="O1537" i="20"/>
  <c r="O1538" i="20"/>
  <c r="O1539" i="20"/>
  <c r="O1540" i="20"/>
  <c r="O1541" i="20"/>
  <c r="O1542" i="20"/>
  <c r="O1543" i="20"/>
  <c r="O1544" i="20"/>
  <c r="O1545" i="20"/>
  <c r="O1546" i="20"/>
  <c r="O1547" i="20"/>
  <c r="O1548" i="20"/>
  <c r="O1549" i="20"/>
  <c r="O1550" i="20"/>
  <c r="O1551" i="20"/>
  <c r="O1552" i="20"/>
  <c r="O1553" i="20"/>
  <c r="O1554" i="20"/>
  <c r="O1555" i="20"/>
  <c r="O1556" i="20"/>
  <c r="O1557" i="20"/>
  <c r="O1558" i="20"/>
  <c r="O1559" i="20"/>
  <c r="O1560" i="20"/>
  <c r="O1561" i="20"/>
  <c r="O1562" i="20"/>
  <c r="O1563" i="20"/>
  <c r="O1564" i="20"/>
  <c r="O1565" i="20"/>
  <c r="O1566" i="20"/>
  <c r="O1567" i="20"/>
  <c r="O1568" i="20"/>
  <c r="O1569" i="20"/>
  <c r="O1570" i="20"/>
  <c r="O1571" i="20"/>
  <c r="O1572" i="20"/>
  <c r="O1573" i="20"/>
  <c r="O1574" i="20"/>
  <c r="O1575" i="20"/>
  <c r="O1576" i="20"/>
  <c r="O1577" i="20"/>
  <c r="O1578" i="20"/>
  <c r="O1579" i="20"/>
  <c r="O1580" i="20"/>
  <c r="O1581" i="20"/>
  <c r="O1582" i="20"/>
  <c r="O1583" i="20"/>
  <c r="O1584" i="20"/>
  <c r="O1585" i="20"/>
  <c r="O1586" i="20"/>
  <c r="O1587" i="20"/>
  <c r="O1588" i="20"/>
  <c r="O1589" i="20"/>
  <c r="O1590" i="20"/>
  <c r="O1591" i="20"/>
  <c r="O1592" i="20"/>
  <c r="O1593" i="20"/>
  <c r="O1594" i="20"/>
  <c r="O1595" i="20"/>
  <c r="O1596" i="20"/>
  <c r="O1597" i="20"/>
  <c r="O1598" i="20"/>
  <c r="O1599" i="20"/>
  <c r="O1600" i="20"/>
  <c r="O1601" i="20"/>
  <c r="O1602" i="20"/>
  <c r="O1603" i="20"/>
  <c r="O1604" i="20"/>
  <c r="O1605" i="20"/>
  <c r="O1606" i="20"/>
  <c r="O1607" i="20"/>
  <c r="O1608" i="20"/>
  <c r="O1609" i="20"/>
  <c r="O1610" i="20"/>
  <c r="O1611" i="20"/>
  <c r="O1612" i="20"/>
  <c r="O1613" i="20"/>
  <c r="O1614" i="20"/>
  <c r="O1615" i="20"/>
  <c r="O1616" i="20"/>
  <c r="O1617" i="20"/>
  <c r="O1618" i="20"/>
  <c r="O1619" i="20"/>
  <c r="O1620" i="20"/>
  <c r="O1621" i="20"/>
  <c r="O1622" i="20"/>
  <c r="O1623" i="20"/>
  <c r="O1624" i="20"/>
  <c r="O1625" i="20"/>
  <c r="O1626" i="20"/>
  <c r="O1627" i="20"/>
  <c r="O1628" i="20"/>
  <c r="O1629" i="20"/>
  <c r="O1630" i="20"/>
  <c r="O1631" i="20"/>
  <c r="O1632" i="20"/>
  <c r="O1633" i="20"/>
  <c r="O1634" i="20"/>
  <c r="O1635" i="20"/>
  <c r="O1636" i="20"/>
  <c r="O1637" i="20"/>
  <c r="O1638" i="20"/>
  <c r="O1639" i="20"/>
  <c r="O1640" i="20"/>
  <c r="O1641" i="20"/>
  <c r="O1642" i="20"/>
  <c r="O1643" i="20"/>
  <c r="O1644" i="20"/>
  <c r="O1645" i="20"/>
  <c r="O1646" i="20"/>
  <c r="O1647" i="20"/>
  <c r="O1648" i="20"/>
  <c r="O1649" i="20"/>
  <c r="O1650" i="20"/>
  <c r="O1651" i="20"/>
  <c r="O1652" i="20"/>
  <c r="O1653" i="20"/>
  <c r="O1654" i="20"/>
  <c r="O1655" i="20"/>
  <c r="O1656" i="20"/>
  <c r="O1657" i="20"/>
  <c r="O1658" i="20"/>
  <c r="O1659" i="20"/>
  <c r="O1660" i="20"/>
  <c r="O1661" i="20"/>
  <c r="O1662" i="20"/>
  <c r="O1663" i="20"/>
  <c r="O1664" i="20"/>
  <c r="O1665" i="20"/>
  <c r="O1666" i="20"/>
  <c r="O1667" i="20"/>
  <c r="O1668" i="20"/>
  <c r="O1669" i="20"/>
  <c r="O1670" i="20"/>
  <c r="O1671" i="20"/>
  <c r="O1672" i="20"/>
  <c r="O1673" i="20"/>
  <c r="O1674" i="20"/>
  <c r="O1675" i="20"/>
  <c r="O1676" i="20"/>
  <c r="O1677" i="20"/>
  <c r="O1678" i="20"/>
  <c r="O1679" i="20"/>
  <c r="O1680" i="20"/>
  <c r="O1681" i="20"/>
  <c r="O1682" i="20"/>
  <c r="O1683" i="20"/>
  <c r="O1684" i="20"/>
  <c r="O1685" i="20"/>
  <c r="O1686" i="20"/>
  <c r="O1687" i="20"/>
  <c r="O1688" i="20"/>
  <c r="O1689" i="20"/>
  <c r="O1690" i="20"/>
  <c r="O1691" i="20"/>
  <c r="O1692" i="20"/>
  <c r="O1693" i="20"/>
  <c r="O1694" i="20"/>
  <c r="O1695" i="20"/>
  <c r="O1696" i="20"/>
  <c r="O1697" i="20"/>
  <c r="O1698" i="20"/>
  <c r="O1699" i="20"/>
  <c r="O1700" i="20"/>
  <c r="O1701" i="20"/>
  <c r="O1702" i="20"/>
  <c r="O1703" i="20"/>
  <c r="O1704" i="20"/>
  <c r="O1705" i="20"/>
  <c r="O1706" i="20"/>
  <c r="O1707" i="20"/>
  <c r="O1708" i="20"/>
  <c r="O1709" i="20"/>
  <c r="O1710" i="20"/>
  <c r="O1711" i="20"/>
  <c r="O1712" i="20"/>
  <c r="O1713" i="20"/>
  <c r="O1714" i="20"/>
  <c r="O1715" i="20"/>
  <c r="O1716" i="20"/>
  <c r="O1717" i="20"/>
  <c r="O1718" i="20"/>
  <c r="O1719" i="20"/>
  <c r="O1720" i="20"/>
  <c r="O1721" i="20"/>
  <c r="O1722" i="20"/>
  <c r="O1723" i="20"/>
  <c r="O1724" i="20"/>
  <c r="O1725" i="20"/>
  <c r="O1726" i="20"/>
  <c r="O1727" i="20"/>
  <c r="O1728" i="20"/>
  <c r="O1729" i="20"/>
  <c r="O1730" i="20"/>
  <c r="O1731" i="20"/>
  <c r="O1732" i="20"/>
  <c r="O1733" i="20"/>
  <c r="O1734" i="20"/>
  <c r="O1735" i="20"/>
  <c r="O1736" i="20"/>
  <c r="O1737" i="20"/>
  <c r="O1738" i="20"/>
  <c r="O1739" i="20"/>
  <c r="O1740" i="20"/>
  <c r="O1741" i="20"/>
  <c r="O1742" i="20"/>
  <c r="O1743" i="20"/>
  <c r="O1744" i="20"/>
  <c r="O1745" i="20"/>
  <c r="O1746" i="20"/>
  <c r="O1747" i="20"/>
  <c r="O1748" i="20"/>
  <c r="O1749" i="20"/>
  <c r="O1750" i="20"/>
  <c r="O1751" i="20"/>
  <c r="O1752" i="20"/>
  <c r="O1753" i="20"/>
  <c r="O1754" i="20"/>
  <c r="O1755" i="20"/>
  <c r="O1756" i="20"/>
  <c r="O1757" i="20"/>
  <c r="O1758" i="20"/>
  <c r="O1759" i="20"/>
  <c r="O1760" i="20"/>
  <c r="O1761" i="20"/>
  <c r="O1762" i="20"/>
  <c r="O1763" i="20"/>
  <c r="O1764" i="20"/>
  <c r="O1765" i="20"/>
  <c r="O1766" i="20"/>
  <c r="O1767" i="20"/>
  <c r="O1768" i="20"/>
  <c r="O1769" i="20"/>
  <c r="O1770" i="20"/>
  <c r="O1771" i="20"/>
  <c r="O1772" i="20"/>
  <c r="O1773" i="20"/>
  <c r="O1774" i="20"/>
  <c r="O1775" i="20"/>
  <c r="O1776" i="20"/>
  <c r="O1777" i="20"/>
  <c r="O1778" i="20"/>
  <c r="O1779" i="20"/>
  <c r="O1780" i="20"/>
  <c r="O1781" i="20"/>
  <c r="O1782" i="20"/>
  <c r="O1783" i="20"/>
  <c r="O1784" i="20"/>
  <c r="O1785" i="20"/>
  <c r="O1786" i="20"/>
  <c r="O1787" i="20"/>
  <c r="O1788" i="20"/>
  <c r="O1789" i="20"/>
  <c r="O1790" i="20"/>
  <c r="O1791" i="20"/>
  <c r="O1792" i="20"/>
  <c r="O1793" i="20"/>
  <c r="O1794" i="20"/>
  <c r="O1795" i="20"/>
  <c r="O1796" i="20"/>
  <c r="O1797" i="20"/>
  <c r="O1798" i="20"/>
  <c r="O1799" i="20"/>
  <c r="O1800" i="20"/>
  <c r="O1801" i="20"/>
  <c r="O1802" i="20"/>
  <c r="O1803" i="20"/>
  <c r="O1804" i="20"/>
  <c r="O1805" i="20"/>
  <c r="O1806" i="20"/>
  <c r="O1807" i="20"/>
  <c r="O1808" i="20"/>
  <c r="O1809" i="20"/>
  <c r="O1810" i="20"/>
  <c r="O1811" i="20"/>
  <c r="O1812" i="20"/>
  <c r="O1813" i="20"/>
  <c r="O1814" i="20"/>
  <c r="O1815" i="20"/>
  <c r="O1816" i="20"/>
  <c r="O1817" i="20"/>
  <c r="O1818" i="20"/>
  <c r="O1819" i="20"/>
  <c r="O1820" i="20"/>
  <c r="O1821" i="20"/>
  <c r="O1822" i="20"/>
  <c r="O1823" i="20"/>
  <c r="O1824" i="20"/>
  <c r="O1825" i="20"/>
  <c r="O1826" i="20"/>
  <c r="O1827" i="20"/>
  <c r="O1828" i="20"/>
  <c r="O1829" i="20"/>
  <c r="O1830" i="20"/>
  <c r="O1831" i="20"/>
  <c r="O1832" i="20"/>
  <c r="O1833" i="20"/>
  <c r="O1834" i="20"/>
  <c r="O1835" i="20"/>
  <c r="O1836" i="20"/>
  <c r="O1837" i="20"/>
  <c r="O1838" i="20"/>
  <c r="O1839" i="20"/>
  <c r="O1840" i="20"/>
  <c r="O1841" i="20"/>
  <c r="O1842" i="20"/>
  <c r="O1843" i="20"/>
  <c r="O1844" i="20"/>
  <c r="O1845" i="20"/>
  <c r="O1846" i="20"/>
  <c r="O1847" i="20"/>
  <c r="O1848" i="20"/>
  <c r="O1849" i="20"/>
  <c r="O1850" i="20"/>
  <c r="O1851" i="20"/>
  <c r="O1852" i="20"/>
  <c r="O1853" i="20"/>
  <c r="O1854" i="20"/>
  <c r="O1855" i="20"/>
  <c r="O1856" i="20"/>
  <c r="O1857" i="20"/>
  <c r="O1858" i="20"/>
  <c r="O1859" i="20"/>
  <c r="O1860" i="20"/>
  <c r="O1861" i="20"/>
  <c r="O1862" i="20"/>
  <c r="O1863" i="20"/>
  <c r="O1864" i="20"/>
  <c r="O1865" i="20"/>
  <c r="O1866" i="20"/>
  <c r="O1867" i="20"/>
  <c r="O1868" i="20"/>
  <c r="O1869" i="20"/>
  <c r="O1870" i="20"/>
  <c r="O1871" i="20"/>
  <c r="O1872" i="20"/>
  <c r="O1873" i="20"/>
  <c r="O1874" i="20"/>
  <c r="O1875" i="20"/>
  <c r="O1876" i="20"/>
  <c r="O1877" i="20"/>
  <c r="O1878" i="20"/>
  <c r="O1879" i="20"/>
  <c r="O1880" i="20"/>
  <c r="O1881" i="20"/>
  <c r="O1882" i="20"/>
  <c r="O1883" i="20"/>
  <c r="O1884" i="20"/>
  <c r="O1885" i="20"/>
  <c r="O1886" i="20"/>
  <c r="O1887" i="20"/>
  <c r="O1888" i="20"/>
  <c r="O1889" i="20"/>
  <c r="O1890" i="20"/>
  <c r="O1891" i="20"/>
  <c r="O1892" i="20"/>
  <c r="O1893" i="20"/>
  <c r="O1894" i="20"/>
  <c r="O1895" i="20"/>
  <c r="O1896" i="20"/>
  <c r="O1897" i="20"/>
  <c r="O1898" i="20"/>
  <c r="O1899" i="20"/>
  <c r="O1900" i="20"/>
  <c r="O1901" i="20"/>
  <c r="O1902" i="20"/>
  <c r="O1903" i="20"/>
  <c r="O1904" i="20"/>
  <c r="O1905" i="20"/>
  <c r="O1906" i="20"/>
  <c r="O1907" i="20"/>
  <c r="O1908" i="20"/>
  <c r="O1909" i="20"/>
  <c r="O1910" i="20"/>
  <c r="O1911" i="20"/>
  <c r="O1912" i="20"/>
  <c r="O1913" i="20"/>
  <c r="O1914" i="20"/>
  <c r="O1915" i="20"/>
  <c r="O1916" i="20"/>
  <c r="O1917" i="20"/>
  <c r="O1918" i="20"/>
  <c r="O1919" i="20"/>
  <c r="O1920" i="20"/>
  <c r="O1921" i="20"/>
  <c r="O1922" i="20"/>
  <c r="O1923" i="20"/>
  <c r="O1924" i="20"/>
  <c r="O1925" i="20"/>
  <c r="O1926" i="20"/>
  <c r="O1927" i="20"/>
  <c r="O1928" i="20"/>
  <c r="O1929" i="20"/>
  <c r="O1930" i="20"/>
  <c r="O1931" i="20"/>
  <c r="O1932" i="20"/>
  <c r="O1933" i="20"/>
  <c r="O1934" i="20"/>
  <c r="O1935" i="20"/>
  <c r="O1936" i="20"/>
  <c r="O1937" i="20"/>
  <c r="O1938" i="20"/>
  <c r="O1939" i="20"/>
  <c r="O1940" i="20"/>
  <c r="O1941" i="20"/>
  <c r="O1942" i="20"/>
  <c r="O1943" i="20"/>
  <c r="O1944" i="20"/>
  <c r="O1945" i="20"/>
  <c r="O1946" i="20"/>
  <c r="O1947" i="20"/>
  <c r="O1948" i="20"/>
  <c r="O1949" i="20"/>
  <c r="O1950" i="20"/>
  <c r="O1951" i="20"/>
  <c r="O1952" i="20"/>
  <c r="O1953" i="20"/>
  <c r="O1954" i="20"/>
  <c r="O1955" i="20"/>
  <c r="O1956" i="20"/>
  <c r="O1957" i="20"/>
  <c r="O1958" i="20"/>
  <c r="O1959" i="20"/>
  <c r="O1960" i="20"/>
  <c r="O1961" i="20"/>
  <c r="O1962" i="20"/>
  <c r="O1963" i="20"/>
  <c r="O1964" i="20"/>
  <c r="O1965" i="20"/>
  <c r="O1966" i="20"/>
  <c r="O1967" i="20"/>
  <c r="O1968" i="20"/>
  <c r="O1969" i="20"/>
  <c r="O1970" i="20"/>
  <c r="O1971" i="20"/>
  <c r="O1972" i="20"/>
  <c r="O1973" i="20"/>
  <c r="O1974" i="20"/>
  <c r="O1975" i="20"/>
  <c r="O1976" i="20"/>
  <c r="O1977" i="20"/>
  <c r="O1978" i="20"/>
  <c r="O1979" i="20"/>
  <c r="O1980" i="20"/>
  <c r="O1981" i="20"/>
  <c r="O1982" i="20"/>
  <c r="O1983" i="20"/>
  <c r="O1984" i="20"/>
  <c r="O1985" i="20"/>
  <c r="O1986" i="20"/>
  <c r="O1987" i="20"/>
  <c r="O1988" i="20"/>
  <c r="O1989" i="20"/>
  <c r="O1990" i="20"/>
  <c r="O1991" i="20"/>
  <c r="O1992" i="20"/>
  <c r="O1993" i="20"/>
  <c r="O1994" i="20"/>
  <c r="O1995" i="20"/>
  <c r="O1996" i="20"/>
  <c r="O1997" i="20"/>
  <c r="O1998" i="20"/>
  <c r="O1999" i="20"/>
  <c r="O2000" i="20"/>
  <c r="O2001" i="20"/>
  <c r="O2002" i="20"/>
  <c r="O2003" i="20"/>
  <c r="O2004" i="20"/>
  <c r="O2005" i="20"/>
  <c r="O2006" i="20"/>
  <c r="O2007" i="20"/>
  <c r="O2008" i="20"/>
  <c r="O2009" i="20"/>
  <c r="O2010" i="20"/>
  <c r="O2011" i="20"/>
  <c r="O2012" i="20"/>
  <c r="O2013" i="20"/>
  <c r="O2014" i="20"/>
  <c r="O2015" i="20"/>
  <c r="O2016" i="20"/>
  <c r="O2017" i="20"/>
  <c r="O2018" i="20"/>
  <c r="O2019" i="20"/>
  <c r="O2020" i="20"/>
  <c r="O2021" i="20"/>
  <c r="O2022" i="20"/>
  <c r="O2023" i="20"/>
  <c r="O2024" i="20"/>
  <c r="O2025" i="20"/>
  <c r="O2026" i="20"/>
  <c r="O2027" i="20"/>
  <c r="O2028" i="20"/>
  <c r="O2029" i="20"/>
  <c r="O2030" i="20"/>
  <c r="O2031" i="20"/>
  <c r="O2032" i="20"/>
  <c r="O2033" i="20"/>
  <c r="O2034" i="20"/>
  <c r="O2035" i="20"/>
  <c r="O2036" i="20"/>
  <c r="O2037" i="20"/>
  <c r="O2038" i="20"/>
  <c r="O2039" i="20"/>
  <c r="O2040" i="20"/>
  <c r="O2041" i="20"/>
  <c r="O2042" i="20"/>
  <c r="O2043" i="20"/>
  <c r="O2044" i="20"/>
  <c r="O2045" i="20"/>
  <c r="O2046" i="20"/>
  <c r="O2047" i="20"/>
  <c r="O2048" i="20"/>
  <c r="O2049" i="20"/>
  <c r="O2050" i="20"/>
  <c r="O2051" i="20"/>
  <c r="O2052" i="20"/>
  <c r="O2053" i="20"/>
  <c r="O2054" i="20"/>
  <c r="O2055" i="20"/>
  <c r="O2056" i="20"/>
  <c r="O2057" i="20"/>
  <c r="O2058" i="20"/>
  <c r="O2059" i="20"/>
  <c r="O2060" i="20"/>
  <c r="O2061" i="20"/>
  <c r="O2062" i="20"/>
  <c r="O2063" i="20"/>
  <c r="O2064" i="20"/>
  <c r="O2065" i="20"/>
  <c r="O2066" i="20"/>
  <c r="O2067" i="20"/>
  <c r="O2068" i="20"/>
  <c r="O2069" i="20"/>
  <c r="O2070" i="20"/>
  <c r="O2071" i="20"/>
  <c r="O2072" i="20"/>
  <c r="O2073" i="20"/>
  <c r="O2074" i="20"/>
  <c r="O2075" i="20"/>
  <c r="O2076" i="20"/>
  <c r="O2077" i="20"/>
  <c r="O2078" i="20"/>
  <c r="O2079" i="20"/>
  <c r="O2080" i="20"/>
  <c r="O2081" i="20"/>
  <c r="O2082" i="20"/>
  <c r="O2083" i="20"/>
  <c r="O2084" i="20"/>
  <c r="O2085" i="20"/>
  <c r="O2086" i="20"/>
  <c r="O2087" i="20"/>
  <c r="O2088" i="20"/>
  <c r="O2089" i="20"/>
  <c r="O2090" i="20"/>
  <c r="O2091" i="20"/>
  <c r="O2092" i="20"/>
  <c r="O2093" i="20"/>
  <c r="O2094" i="20"/>
  <c r="O2095" i="20"/>
  <c r="O2096" i="20"/>
  <c r="O2097" i="20"/>
  <c r="O2098" i="20"/>
  <c r="O2099" i="20"/>
  <c r="O2100" i="20"/>
  <c r="O2101" i="20"/>
  <c r="O2102" i="20"/>
  <c r="O2103" i="20"/>
  <c r="O2104" i="20"/>
  <c r="O2105" i="20"/>
  <c r="O2106" i="20"/>
  <c r="O2107" i="20"/>
  <c r="O2108" i="20"/>
  <c r="O2109" i="20"/>
  <c r="O2110" i="20"/>
  <c r="O2111" i="20"/>
  <c r="O2112" i="20"/>
  <c r="O2113" i="20"/>
  <c r="O2114" i="20"/>
  <c r="O2115" i="20"/>
  <c r="O2116" i="20"/>
  <c r="O2117" i="20"/>
  <c r="O2118" i="20"/>
  <c r="O2119" i="20"/>
  <c r="O2120" i="20"/>
  <c r="O2121" i="20"/>
  <c r="O2122" i="20"/>
  <c r="O2123" i="20"/>
  <c r="O2124" i="20"/>
  <c r="O2125" i="20"/>
  <c r="O2126" i="20"/>
  <c r="O2127" i="20"/>
  <c r="O2128" i="20"/>
  <c r="O2129" i="20"/>
  <c r="O2130" i="20"/>
  <c r="O2131" i="20"/>
  <c r="O2132" i="20"/>
  <c r="O2133" i="20"/>
  <c r="O2134" i="20"/>
  <c r="O2135" i="20"/>
  <c r="O2136" i="20"/>
  <c r="O2137" i="20"/>
  <c r="O2138" i="20"/>
  <c r="O2139" i="20"/>
  <c r="O2140" i="20"/>
  <c r="O2141" i="20"/>
  <c r="O2142" i="20"/>
  <c r="O2143" i="20"/>
  <c r="O2144" i="20"/>
  <c r="O2145" i="20"/>
  <c r="O2146" i="20"/>
  <c r="O2147" i="20"/>
  <c r="O2148" i="20"/>
  <c r="O2149" i="20"/>
  <c r="O2150" i="20"/>
  <c r="O2151" i="20"/>
  <c r="O2152" i="20"/>
  <c r="O2153" i="20"/>
  <c r="O2154" i="20"/>
  <c r="O2155" i="20"/>
  <c r="O2156" i="20"/>
  <c r="O2157" i="20"/>
  <c r="O2158" i="20"/>
  <c r="O2159" i="20"/>
  <c r="O2160" i="20"/>
  <c r="O2161" i="20"/>
  <c r="O2162" i="20"/>
  <c r="O2163" i="20"/>
  <c r="O2164" i="20"/>
  <c r="O2165" i="20"/>
  <c r="O2166" i="20"/>
  <c r="O2167" i="20"/>
  <c r="O2168" i="20"/>
  <c r="O2169" i="20"/>
  <c r="O2170" i="20"/>
  <c r="O2171" i="20"/>
  <c r="O2172" i="20"/>
  <c r="O2173" i="20"/>
  <c r="O2174" i="20"/>
  <c r="O2175" i="20"/>
  <c r="O2176" i="20"/>
  <c r="O2177" i="20"/>
  <c r="O2178" i="20"/>
  <c r="O2179" i="20"/>
  <c r="O2180" i="20"/>
  <c r="O2181" i="20"/>
  <c r="O2182" i="20"/>
  <c r="O2183" i="20"/>
  <c r="O2184" i="20"/>
  <c r="O2185" i="20"/>
  <c r="O2186" i="20"/>
  <c r="O2187" i="20"/>
  <c r="O2188" i="20"/>
  <c r="O2189" i="20"/>
  <c r="O2190" i="20"/>
  <c r="O2191" i="20"/>
  <c r="O2192" i="20"/>
  <c r="O2193" i="20"/>
  <c r="O2194" i="20"/>
  <c r="O2195" i="20"/>
  <c r="O2196" i="20"/>
  <c r="O2197" i="20"/>
  <c r="O2198" i="20"/>
  <c r="O2199" i="20"/>
  <c r="O2200" i="20"/>
  <c r="O2201" i="20"/>
  <c r="O2202" i="20"/>
  <c r="O2203" i="20"/>
  <c r="O2204" i="20"/>
  <c r="O2205" i="20"/>
  <c r="O2206" i="20"/>
  <c r="O2207" i="20"/>
  <c r="O2208" i="20"/>
  <c r="O2209" i="20"/>
  <c r="O2210" i="20"/>
  <c r="O2211" i="20"/>
  <c r="O2212" i="20"/>
  <c r="O2213" i="20"/>
  <c r="O2214" i="20"/>
  <c r="O2215" i="20"/>
  <c r="O2216" i="20"/>
  <c r="O2217" i="20"/>
  <c r="O2218" i="20"/>
  <c r="O2219" i="20"/>
  <c r="O2220" i="20"/>
  <c r="O2221" i="20"/>
  <c r="O2222" i="20"/>
  <c r="O2223" i="20"/>
  <c r="O2224" i="20"/>
  <c r="O2225" i="20"/>
  <c r="O2226" i="20"/>
  <c r="O2227" i="20"/>
  <c r="O2228" i="20"/>
  <c r="O2229" i="20"/>
  <c r="O2230" i="20"/>
  <c r="O2231" i="20"/>
  <c r="O2232" i="20"/>
  <c r="O2233" i="20"/>
  <c r="O2234" i="20"/>
  <c r="O2235" i="20"/>
  <c r="O2236" i="20"/>
  <c r="O2237" i="20"/>
  <c r="O2238" i="20"/>
  <c r="O2239" i="20"/>
  <c r="O2240" i="20"/>
  <c r="O2241" i="20"/>
  <c r="O2242" i="20"/>
  <c r="O2243" i="20"/>
  <c r="O2244" i="20"/>
  <c r="O2245" i="20"/>
  <c r="O2246" i="20"/>
  <c r="O2247" i="20"/>
  <c r="O2248" i="20"/>
  <c r="O2249" i="20"/>
  <c r="O2250" i="20"/>
  <c r="O2251" i="20"/>
  <c r="O2252" i="20"/>
  <c r="O2253" i="20"/>
  <c r="O2254" i="20"/>
  <c r="O2255" i="20"/>
  <c r="O2256" i="20"/>
  <c r="O2257" i="20"/>
  <c r="O2258" i="20"/>
  <c r="O2259" i="20"/>
  <c r="O2260" i="20"/>
  <c r="O2261" i="20"/>
  <c r="O2262" i="20"/>
  <c r="O2263" i="20"/>
  <c r="O2264" i="20"/>
  <c r="O2265" i="20"/>
  <c r="O2266" i="20"/>
  <c r="O2267" i="20"/>
  <c r="O2268" i="20"/>
  <c r="O2269" i="20"/>
  <c r="O2270" i="20"/>
  <c r="O2271" i="20"/>
  <c r="O2272" i="20"/>
  <c r="O2273" i="20"/>
  <c r="O2274" i="20"/>
  <c r="O2275" i="20"/>
  <c r="O2276" i="20"/>
  <c r="O2277" i="20"/>
  <c r="O2278" i="20"/>
  <c r="O2279" i="20"/>
  <c r="O2280" i="20"/>
  <c r="O2281" i="20"/>
  <c r="O2282" i="20"/>
  <c r="O2283" i="20"/>
  <c r="O2284" i="20"/>
  <c r="O2285" i="20"/>
  <c r="O2286" i="20"/>
  <c r="O2287" i="20"/>
  <c r="O2288" i="20"/>
  <c r="O2289" i="20"/>
  <c r="O2290" i="20"/>
  <c r="O2291" i="20"/>
  <c r="O2292" i="20"/>
  <c r="O2293" i="20"/>
  <c r="O2294" i="20"/>
  <c r="O2295" i="20"/>
  <c r="O2296" i="20"/>
  <c r="O2297" i="20"/>
  <c r="O2298" i="20"/>
  <c r="O2299" i="20"/>
  <c r="O2300" i="20"/>
  <c r="O2301" i="20"/>
  <c r="O2302" i="20"/>
  <c r="O2303" i="20"/>
  <c r="O2304" i="20"/>
  <c r="O2305" i="20"/>
  <c r="O2306" i="20"/>
  <c r="O2307" i="20"/>
  <c r="O2308" i="20"/>
  <c r="O2309" i="20"/>
  <c r="O2310" i="20"/>
  <c r="O2311" i="20"/>
  <c r="O2312" i="20"/>
  <c r="O2313" i="20"/>
  <c r="O2314" i="20"/>
  <c r="O2315" i="20"/>
  <c r="O2316" i="20"/>
  <c r="O2317" i="20"/>
  <c r="O2318" i="20"/>
  <c r="O2319" i="20"/>
  <c r="O2320" i="20"/>
  <c r="O2321" i="20"/>
  <c r="O2322" i="20"/>
  <c r="O2323" i="20"/>
  <c r="O2324" i="20"/>
  <c r="O2325" i="20"/>
  <c r="O2326" i="20"/>
  <c r="O2327" i="20"/>
  <c r="O2328" i="20"/>
  <c r="O2329" i="20"/>
  <c r="O2330" i="20"/>
  <c r="O2331" i="20"/>
  <c r="O2332" i="20"/>
  <c r="O2333" i="20"/>
  <c r="O2334" i="20"/>
  <c r="O2335" i="20"/>
  <c r="O2336" i="20"/>
  <c r="O2337" i="20"/>
  <c r="O2338" i="20"/>
  <c r="O2339" i="20"/>
  <c r="O2340" i="20"/>
  <c r="O2341" i="20"/>
  <c r="O2342" i="20"/>
  <c r="O2343" i="20"/>
  <c r="O2344" i="20"/>
  <c r="O2345" i="20"/>
  <c r="O2346" i="20"/>
  <c r="O2347" i="20"/>
  <c r="O2348" i="20"/>
  <c r="O2349" i="20"/>
  <c r="O2350" i="20"/>
  <c r="O2351" i="20"/>
  <c r="O2352" i="20"/>
  <c r="O2353" i="20"/>
  <c r="O2354" i="20"/>
  <c r="O2355" i="20"/>
  <c r="O2356" i="20"/>
  <c r="O2357" i="20"/>
  <c r="O2358" i="20"/>
  <c r="O2359" i="20"/>
  <c r="O2360" i="20"/>
  <c r="O2361" i="20"/>
  <c r="O2362" i="20"/>
  <c r="O2363" i="20"/>
  <c r="O2364" i="20"/>
  <c r="O2365" i="20"/>
  <c r="O2366" i="20"/>
  <c r="O2367" i="20"/>
  <c r="O2368" i="20"/>
  <c r="O2369" i="20"/>
  <c r="O2370" i="20"/>
  <c r="O2371" i="20"/>
  <c r="O2372" i="20"/>
  <c r="O2373" i="20"/>
  <c r="O2374" i="20"/>
  <c r="O2375" i="20"/>
  <c r="O2376" i="20"/>
  <c r="O2377" i="20"/>
  <c r="O2378" i="20"/>
  <c r="O2379" i="20"/>
  <c r="O2380" i="20"/>
  <c r="O2381" i="20"/>
  <c r="O2382" i="20"/>
  <c r="O2383" i="20"/>
  <c r="O2384" i="20"/>
  <c r="O2385" i="20"/>
  <c r="O2386" i="20"/>
  <c r="O2387" i="20"/>
  <c r="O2388" i="20"/>
  <c r="O2389" i="20"/>
  <c r="O2390" i="20"/>
  <c r="O2391" i="20"/>
  <c r="O2392" i="20"/>
  <c r="O2393" i="20"/>
  <c r="O2394" i="20"/>
  <c r="O2395" i="20"/>
  <c r="O2396" i="20"/>
  <c r="O2397" i="20"/>
  <c r="O2398" i="20"/>
  <c r="O2399" i="20"/>
  <c r="O2400" i="20"/>
  <c r="O2401" i="20"/>
  <c r="O2402" i="20"/>
  <c r="O2403" i="20"/>
  <c r="O2404" i="20"/>
  <c r="O2405" i="20"/>
  <c r="O2406" i="20"/>
  <c r="O2407" i="20"/>
  <c r="O2408" i="20"/>
  <c r="O2409" i="20"/>
  <c r="O2410" i="20"/>
  <c r="O2411" i="20"/>
  <c r="O2412" i="20"/>
  <c r="O2413" i="20"/>
  <c r="O2414" i="20"/>
  <c r="O2415" i="20"/>
  <c r="O2416" i="20"/>
  <c r="O2417" i="20"/>
  <c r="O2418" i="20"/>
  <c r="O2419" i="20"/>
  <c r="O2420" i="20"/>
  <c r="O2421" i="20"/>
  <c r="O2422" i="20"/>
  <c r="O2423" i="20"/>
  <c r="O2424" i="20"/>
  <c r="O2425" i="20"/>
  <c r="O2426" i="20"/>
  <c r="O2427" i="20"/>
  <c r="O2428" i="20"/>
  <c r="O2429" i="20"/>
  <c r="O2430" i="20"/>
  <c r="O2431" i="20"/>
  <c r="O2432" i="20"/>
  <c r="O2433" i="20"/>
  <c r="O2434" i="20"/>
  <c r="O2435" i="20"/>
  <c r="O2436" i="20"/>
  <c r="O2437" i="20"/>
  <c r="O2438" i="20"/>
  <c r="O2439" i="20"/>
  <c r="O2440" i="20"/>
  <c r="O2441" i="20"/>
  <c r="O2442" i="20"/>
  <c r="O2443" i="20"/>
  <c r="O2444" i="20"/>
  <c r="O2445" i="20"/>
  <c r="O2446" i="20"/>
  <c r="O2447" i="20"/>
  <c r="O2448" i="20"/>
  <c r="O2449" i="20"/>
  <c r="O2450" i="20"/>
  <c r="O2451" i="20"/>
  <c r="O2452" i="20"/>
  <c r="O2453" i="20"/>
  <c r="O2454" i="20"/>
  <c r="O2455" i="20"/>
  <c r="O2456" i="20"/>
  <c r="O2457" i="20"/>
  <c r="O2458" i="20"/>
  <c r="O2459" i="20"/>
  <c r="O2460" i="20"/>
  <c r="O2461" i="20"/>
  <c r="O2462" i="20"/>
  <c r="O2463" i="20"/>
  <c r="O2464" i="20"/>
  <c r="O2465" i="20"/>
  <c r="O2466" i="20"/>
  <c r="O2467" i="20"/>
  <c r="O2468" i="20"/>
  <c r="O2469" i="20"/>
  <c r="O2470" i="20"/>
  <c r="O2471" i="20"/>
  <c r="O2472" i="20"/>
  <c r="O2473" i="20"/>
  <c r="O2474" i="20"/>
  <c r="O2475" i="20"/>
  <c r="O2476" i="20"/>
  <c r="O2477" i="20"/>
  <c r="O2478" i="20"/>
  <c r="O2479" i="20"/>
  <c r="O2480" i="20"/>
  <c r="O2481" i="20"/>
  <c r="O2482" i="20"/>
  <c r="O2483" i="20"/>
  <c r="O2484" i="20"/>
  <c r="O2485" i="20"/>
  <c r="O2486" i="20"/>
  <c r="O2487" i="20"/>
  <c r="O2488" i="20"/>
  <c r="O2489" i="20"/>
  <c r="O2490" i="20"/>
  <c r="O2491" i="20"/>
  <c r="O2492" i="20"/>
  <c r="O2493" i="20"/>
  <c r="O2494" i="20"/>
  <c r="O2495" i="20"/>
  <c r="O2496" i="20"/>
  <c r="O2497" i="20"/>
  <c r="O2498" i="20"/>
  <c r="O2499" i="20"/>
  <c r="O2500" i="20"/>
  <c r="O2501" i="20"/>
  <c r="O2502" i="20"/>
  <c r="O2503" i="20"/>
  <c r="O2504" i="20"/>
  <c r="O2505" i="20"/>
  <c r="O2506" i="20"/>
  <c r="O2507" i="20"/>
  <c r="O2508" i="20"/>
  <c r="O2509" i="20"/>
  <c r="O2510" i="20"/>
  <c r="O2511" i="20"/>
  <c r="O2512" i="20"/>
  <c r="O2513" i="20"/>
  <c r="O2514" i="20"/>
  <c r="O2515" i="20"/>
  <c r="O2516" i="20"/>
  <c r="O2517" i="20"/>
  <c r="O2518" i="20"/>
  <c r="O2519" i="20"/>
  <c r="O2520" i="20"/>
  <c r="O2521" i="20"/>
  <c r="O2522" i="20"/>
  <c r="O2523" i="20"/>
  <c r="O2524" i="20"/>
  <c r="O2525" i="20"/>
  <c r="O2526" i="20"/>
  <c r="O2527" i="20"/>
  <c r="O2528" i="20"/>
  <c r="O2529" i="20"/>
  <c r="O2530" i="20"/>
  <c r="O2531" i="20"/>
  <c r="O2532" i="20"/>
  <c r="O2533" i="20"/>
  <c r="O2534" i="20"/>
  <c r="O2535" i="20"/>
  <c r="O2536" i="20"/>
  <c r="O2537" i="20"/>
  <c r="O2538" i="20"/>
  <c r="O2539" i="20"/>
  <c r="O2540" i="20"/>
  <c r="O2541" i="20"/>
  <c r="O2542" i="20"/>
  <c r="O2543" i="20"/>
  <c r="O2544" i="20"/>
  <c r="O2545" i="20"/>
  <c r="O2546" i="20"/>
  <c r="O2547" i="20"/>
  <c r="O2548" i="20"/>
  <c r="O2549" i="20"/>
  <c r="O2550" i="20"/>
  <c r="O2551" i="20"/>
  <c r="O2552" i="20"/>
  <c r="O2553" i="20"/>
  <c r="O2554" i="20"/>
  <c r="O2555" i="20"/>
  <c r="O2556" i="20"/>
  <c r="O2557" i="20"/>
  <c r="O2558" i="20"/>
  <c r="O2559" i="20"/>
  <c r="O2560" i="20"/>
  <c r="O2561" i="20"/>
  <c r="O2562" i="20"/>
  <c r="O2563" i="20"/>
  <c r="O2564" i="20"/>
  <c r="O2565" i="20"/>
  <c r="O2566" i="20"/>
  <c r="O2567" i="20"/>
  <c r="O2568" i="20"/>
  <c r="O2569" i="20"/>
  <c r="O2570" i="20"/>
  <c r="O2571" i="20"/>
  <c r="O2572" i="20"/>
  <c r="O2573" i="20"/>
  <c r="O2574" i="20"/>
  <c r="O2575" i="20"/>
  <c r="O2576" i="20"/>
  <c r="O2577" i="20"/>
  <c r="O2578" i="20"/>
  <c r="O2579" i="20"/>
  <c r="O2580" i="20"/>
  <c r="O2581" i="20"/>
  <c r="O2582" i="20"/>
  <c r="O2583" i="20"/>
  <c r="O2584" i="20"/>
  <c r="O2585" i="20"/>
  <c r="O2586" i="20"/>
  <c r="O2587" i="20"/>
  <c r="O2588" i="20"/>
  <c r="O2589" i="20"/>
  <c r="O2590" i="20"/>
  <c r="O2591" i="20"/>
  <c r="O2592" i="20"/>
  <c r="O2593" i="20"/>
  <c r="O2594" i="20"/>
  <c r="O2595" i="20"/>
  <c r="O2596" i="20"/>
  <c r="O2597" i="20"/>
  <c r="O2598" i="20"/>
  <c r="O2599" i="20"/>
  <c r="O2600" i="20"/>
  <c r="O2601" i="20"/>
  <c r="O2602" i="20"/>
  <c r="O2603" i="20"/>
  <c r="O2604" i="20"/>
  <c r="O2605" i="20"/>
  <c r="O2606" i="20"/>
  <c r="O2607" i="20"/>
  <c r="O2608" i="20"/>
  <c r="O2609" i="20"/>
  <c r="O2610" i="20"/>
  <c r="O2611" i="20"/>
  <c r="O2612" i="20"/>
  <c r="O2613" i="20"/>
  <c r="O2614" i="20"/>
  <c r="O2615" i="20"/>
  <c r="O2616" i="20"/>
  <c r="O2617" i="20"/>
  <c r="O2618" i="20"/>
  <c r="O2619" i="20"/>
  <c r="O2620" i="20"/>
  <c r="O2621" i="20"/>
  <c r="O2622" i="20"/>
  <c r="O2623" i="20"/>
  <c r="O2624" i="20"/>
  <c r="O2625" i="20"/>
  <c r="O2626" i="20"/>
  <c r="O2627" i="20"/>
  <c r="O2628" i="20"/>
  <c r="O2629" i="20"/>
  <c r="O2630" i="20"/>
  <c r="O2631" i="20"/>
  <c r="O2632" i="20"/>
  <c r="O2633" i="20"/>
  <c r="O2634" i="20"/>
  <c r="O2635" i="20"/>
  <c r="O2636" i="20"/>
  <c r="O2637" i="20"/>
  <c r="O2638" i="20"/>
  <c r="O2639" i="20"/>
  <c r="O2640" i="20"/>
  <c r="O2641" i="20"/>
  <c r="O2642" i="20"/>
  <c r="O2643" i="20"/>
  <c r="O2644" i="20"/>
  <c r="O2645" i="20"/>
  <c r="O2646" i="20"/>
  <c r="O2647" i="20"/>
  <c r="O2648" i="20"/>
  <c r="O2649" i="20"/>
  <c r="O2650" i="20"/>
  <c r="O2651" i="20"/>
  <c r="O2652" i="20"/>
  <c r="O2653" i="20"/>
  <c r="O2654" i="20"/>
  <c r="O2655" i="20"/>
  <c r="O2656" i="20"/>
  <c r="O2657" i="20"/>
  <c r="O2658" i="20"/>
  <c r="O2659" i="20"/>
  <c r="O2660" i="20"/>
  <c r="O2661" i="20"/>
  <c r="O2662" i="20"/>
  <c r="O2663" i="20"/>
  <c r="O2664" i="20"/>
  <c r="O2665" i="20"/>
  <c r="O2666" i="20"/>
  <c r="O2667" i="20"/>
  <c r="O2668" i="20"/>
  <c r="O2669" i="20"/>
  <c r="O2670" i="20"/>
  <c r="O2671" i="20"/>
  <c r="O2672" i="20"/>
  <c r="O2673" i="20"/>
  <c r="O2674" i="20"/>
  <c r="O2675" i="20"/>
  <c r="O2676" i="20"/>
  <c r="O2677" i="20"/>
  <c r="O2678" i="20"/>
  <c r="O2679" i="20"/>
  <c r="O2680" i="20"/>
  <c r="O2681" i="20"/>
  <c r="O2682" i="20"/>
  <c r="O2683" i="20"/>
  <c r="O2684" i="20"/>
  <c r="O2685" i="20"/>
  <c r="O2686" i="20"/>
  <c r="O2687" i="20"/>
  <c r="O2688" i="20"/>
  <c r="O2689" i="20"/>
  <c r="O2690" i="20"/>
  <c r="O2691" i="20"/>
  <c r="O2692" i="20"/>
  <c r="O2693" i="20"/>
  <c r="O2694" i="20"/>
  <c r="O2695" i="20"/>
  <c r="O2696" i="20"/>
  <c r="O2697" i="20"/>
  <c r="O2698" i="20"/>
  <c r="O2699" i="20"/>
  <c r="O2700" i="20"/>
  <c r="O2701" i="20"/>
  <c r="O2702" i="20"/>
  <c r="O2703" i="20"/>
  <c r="O2704" i="20"/>
  <c r="O2705" i="20"/>
  <c r="O2706" i="20"/>
  <c r="O2707" i="20"/>
  <c r="O2708" i="20"/>
  <c r="O2709" i="20"/>
  <c r="O2710" i="20"/>
  <c r="O2711" i="20"/>
  <c r="O2712" i="20"/>
  <c r="O2713" i="20"/>
  <c r="O2714" i="20"/>
  <c r="O2715" i="20"/>
  <c r="O2716" i="20"/>
  <c r="O2717" i="20"/>
  <c r="O2718" i="20"/>
  <c r="O2719" i="20"/>
  <c r="O2720" i="20"/>
  <c r="O2721" i="20"/>
  <c r="O2722" i="20"/>
  <c r="O2723" i="20"/>
  <c r="O2724" i="20"/>
  <c r="O2725" i="20"/>
  <c r="O2726" i="20"/>
  <c r="O2727" i="20"/>
  <c r="O2728" i="20"/>
  <c r="O2729" i="20"/>
  <c r="O2730" i="20"/>
  <c r="O2731" i="20"/>
  <c r="O2732" i="20"/>
  <c r="O2733" i="20"/>
  <c r="O2734" i="20"/>
  <c r="O2735" i="20"/>
  <c r="O2736" i="20"/>
  <c r="O2737" i="20"/>
  <c r="O2738" i="20"/>
  <c r="O2739" i="20"/>
  <c r="O2740" i="20"/>
  <c r="O2741" i="20"/>
  <c r="O2742" i="20"/>
  <c r="O2743" i="20"/>
  <c r="O2744" i="20"/>
  <c r="O2745" i="20"/>
  <c r="O2746" i="20"/>
  <c r="O2747" i="20"/>
  <c r="O2748" i="20"/>
  <c r="O2749" i="20"/>
  <c r="O2750" i="20"/>
  <c r="O2751" i="20"/>
  <c r="O2752" i="20"/>
  <c r="O2753" i="20"/>
  <c r="O2754" i="20"/>
  <c r="O2755" i="20"/>
  <c r="O2756" i="20"/>
  <c r="O2757" i="20"/>
  <c r="O2758" i="20"/>
  <c r="O2759" i="20"/>
  <c r="O2760" i="20"/>
  <c r="O2761" i="20"/>
  <c r="O2762" i="20"/>
  <c r="O2763" i="20"/>
  <c r="O2764" i="20"/>
  <c r="O2765" i="20"/>
  <c r="O2766" i="20"/>
  <c r="O2767" i="20"/>
  <c r="O2768" i="20"/>
  <c r="O2769" i="20"/>
  <c r="O2770" i="20"/>
  <c r="O2771" i="20"/>
  <c r="O2772" i="20"/>
  <c r="O2773" i="20"/>
  <c r="O2774" i="20"/>
  <c r="O2775" i="20"/>
  <c r="O2776" i="20"/>
  <c r="O2777" i="20"/>
  <c r="O2778" i="20"/>
  <c r="O2779" i="20"/>
  <c r="O2780" i="20"/>
  <c r="O2781" i="20"/>
  <c r="O2782" i="20"/>
  <c r="O2783" i="20"/>
  <c r="O2784" i="20"/>
  <c r="O2785" i="20"/>
  <c r="O2786" i="20"/>
  <c r="O2787" i="20"/>
  <c r="O2788" i="20"/>
  <c r="O2789" i="20"/>
  <c r="O2790" i="20"/>
  <c r="O2791" i="20"/>
  <c r="O2792" i="20"/>
  <c r="O2793" i="20"/>
  <c r="O2794" i="20"/>
  <c r="O2795" i="20"/>
  <c r="O2796" i="20"/>
  <c r="O2797" i="20"/>
  <c r="O2798" i="20"/>
  <c r="O2799" i="20"/>
  <c r="O2800" i="20"/>
  <c r="O2801" i="20"/>
  <c r="O2802" i="20"/>
  <c r="O2803" i="20"/>
  <c r="O2804" i="20"/>
  <c r="O2805" i="20"/>
  <c r="O2806" i="20"/>
  <c r="O2807" i="20"/>
  <c r="O2808" i="20"/>
  <c r="O2809" i="20"/>
  <c r="O2810" i="20"/>
  <c r="O2811" i="20"/>
  <c r="O2812" i="20"/>
  <c r="O2813" i="20"/>
  <c r="O2814" i="20"/>
  <c r="O2815" i="20"/>
  <c r="O2816" i="20"/>
  <c r="O2817" i="20"/>
  <c r="O2818" i="20"/>
  <c r="O2819" i="20"/>
  <c r="O2820" i="20"/>
  <c r="O2821" i="20"/>
  <c r="O2822" i="20"/>
  <c r="O2823" i="20"/>
  <c r="O2824" i="20"/>
  <c r="O2825" i="20"/>
  <c r="O2826" i="20"/>
  <c r="O2827" i="20"/>
  <c r="O2828" i="20"/>
  <c r="O2829" i="20"/>
  <c r="O2830" i="20"/>
  <c r="O2831" i="20"/>
  <c r="O2832" i="20"/>
  <c r="O2833" i="20"/>
  <c r="O2834" i="20"/>
  <c r="O2835" i="20"/>
  <c r="O2836" i="20"/>
  <c r="O2837" i="20"/>
  <c r="O2838" i="20"/>
  <c r="O2839" i="20"/>
  <c r="O2840" i="20"/>
  <c r="O2841" i="20"/>
  <c r="O2842" i="20"/>
  <c r="O2843" i="20"/>
  <c r="O2844" i="20"/>
  <c r="O2845" i="20"/>
  <c r="O2846" i="20"/>
  <c r="O2847" i="20"/>
  <c r="O2848" i="20"/>
  <c r="O2849" i="20"/>
  <c r="O2850" i="20"/>
  <c r="O2851" i="20"/>
  <c r="O2852" i="20"/>
  <c r="O2853" i="20"/>
  <c r="O2854" i="20"/>
  <c r="O2855" i="20"/>
  <c r="O2856" i="20"/>
  <c r="O2857" i="20"/>
  <c r="O2858" i="20"/>
  <c r="O2859" i="20"/>
  <c r="O2860" i="20"/>
  <c r="O2861" i="20"/>
  <c r="O2862" i="20"/>
  <c r="O2863" i="20"/>
  <c r="O2864" i="20"/>
  <c r="O2865" i="20"/>
  <c r="O2866" i="20"/>
  <c r="O2867" i="20"/>
  <c r="O2868" i="20"/>
  <c r="O2869" i="20"/>
  <c r="O2870" i="20"/>
  <c r="O2871" i="20"/>
  <c r="O2872" i="20"/>
  <c r="O2873" i="20"/>
  <c r="O2874" i="20"/>
  <c r="O2875" i="20"/>
  <c r="O2876" i="20"/>
  <c r="O2877" i="20"/>
  <c r="O2878" i="20"/>
  <c r="O2879" i="20"/>
  <c r="O2880" i="20"/>
  <c r="O2881" i="20"/>
  <c r="O2882" i="20"/>
  <c r="O2883" i="20"/>
  <c r="O2884" i="20"/>
  <c r="O2885" i="20"/>
  <c r="O2886" i="20"/>
  <c r="O2887" i="20"/>
  <c r="O2888" i="20"/>
  <c r="O2889" i="20"/>
  <c r="O2890" i="20"/>
  <c r="O2891" i="20"/>
  <c r="O2892" i="20"/>
  <c r="O2893" i="20"/>
  <c r="O2894" i="20"/>
  <c r="O2895" i="20"/>
  <c r="O2896" i="20"/>
  <c r="O2897" i="20"/>
  <c r="O2898" i="20"/>
  <c r="O2899" i="20"/>
  <c r="O2900" i="20"/>
  <c r="O2901" i="20"/>
  <c r="O2902" i="20"/>
  <c r="O2903" i="20"/>
  <c r="O2904" i="20"/>
  <c r="O2905" i="20"/>
  <c r="O2906" i="20"/>
  <c r="O2907" i="20"/>
  <c r="O3" i="20"/>
  <c r="M3" i="20"/>
  <c r="N2728" i="20"/>
  <c r="N2729" i="20"/>
  <c r="N2730" i="20"/>
  <c r="N2731" i="20"/>
  <c r="N2732" i="20"/>
  <c r="N2733" i="20"/>
  <c r="N2734" i="20"/>
  <c r="N2735" i="20"/>
  <c r="N2736" i="20"/>
  <c r="N2737" i="20"/>
  <c r="N2738" i="20"/>
  <c r="N2739" i="20"/>
  <c r="N2740" i="20"/>
  <c r="N2741" i="20"/>
  <c r="N2742" i="20"/>
  <c r="N2743" i="20"/>
  <c r="N2744" i="20"/>
  <c r="N2745" i="20"/>
  <c r="N2746" i="20"/>
  <c r="N2747" i="20"/>
  <c r="N2748" i="20"/>
  <c r="N2749" i="20"/>
  <c r="N2750" i="20"/>
  <c r="N2751" i="20"/>
  <c r="N2752" i="20"/>
  <c r="N2753" i="20"/>
  <c r="N2754" i="20"/>
  <c r="N2755" i="20"/>
  <c r="N2756" i="20"/>
  <c r="N2757" i="20"/>
  <c r="N2758" i="20"/>
  <c r="N2759" i="20"/>
  <c r="N2760" i="20"/>
  <c r="N2761" i="20"/>
  <c r="N2762" i="20"/>
  <c r="N2763" i="20"/>
  <c r="N2764" i="20"/>
  <c r="N2765" i="20"/>
  <c r="N2766" i="20"/>
  <c r="N2767" i="20"/>
  <c r="N2768" i="20"/>
  <c r="N2769" i="20"/>
  <c r="N2770" i="20"/>
  <c r="N2771" i="20"/>
  <c r="N2772" i="20"/>
  <c r="N2773" i="20"/>
  <c r="N2774" i="20"/>
  <c r="N2775" i="20"/>
  <c r="N2776" i="20"/>
  <c r="N2777" i="20"/>
  <c r="N2778" i="20"/>
  <c r="N2779" i="20"/>
  <c r="N2780" i="20"/>
  <c r="N2781" i="20"/>
  <c r="N2782" i="20"/>
  <c r="N2783" i="20"/>
  <c r="N2784" i="20"/>
  <c r="N2785" i="20"/>
  <c r="N2786" i="20"/>
  <c r="N2787" i="20"/>
  <c r="N2788" i="20"/>
  <c r="N2789" i="20"/>
  <c r="N2790" i="20"/>
  <c r="N2791" i="20"/>
  <c r="N2792" i="20"/>
  <c r="N2793" i="20"/>
  <c r="N2794" i="20"/>
  <c r="N2795" i="20"/>
  <c r="N2796" i="20"/>
  <c r="N2797" i="20"/>
  <c r="N2798" i="20"/>
  <c r="N2799" i="20"/>
  <c r="N2800" i="20"/>
  <c r="N2801" i="20"/>
  <c r="N2802" i="20"/>
  <c r="N2803" i="20"/>
  <c r="N2804" i="20"/>
  <c r="N2805" i="20"/>
  <c r="N2806" i="20"/>
  <c r="N2807" i="20"/>
  <c r="N2808" i="20"/>
  <c r="N2809" i="20"/>
  <c r="N2810" i="20"/>
  <c r="N2811" i="20"/>
  <c r="N2812" i="20"/>
  <c r="N2813" i="20"/>
  <c r="N2814" i="20"/>
  <c r="N2815" i="20"/>
  <c r="N2816" i="20"/>
  <c r="N2817" i="20"/>
  <c r="N2818" i="20"/>
  <c r="N2819" i="20"/>
  <c r="N2820" i="20"/>
  <c r="N2821" i="20"/>
  <c r="N2822" i="20"/>
  <c r="N2823" i="20"/>
  <c r="N2824" i="20"/>
  <c r="N2825" i="20"/>
  <c r="N2826" i="20"/>
  <c r="N2827" i="20"/>
  <c r="N2828" i="20"/>
  <c r="N2829" i="20"/>
  <c r="N2830" i="20"/>
  <c r="N2831" i="20"/>
  <c r="N2832" i="20"/>
  <c r="N2833" i="20"/>
  <c r="N2834" i="20"/>
  <c r="N2835" i="20"/>
  <c r="N2836" i="20"/>
  <c r="N2837" i="20"/>
  <c r="N2838" i="20"/>
  <c r="N2839" i="20"/>
  <c r="N2840" i="20"/>
  <c r="N2841" i="20"/>
  <c r="N2842" i="20"/>
  <c r="N2843" i="20"/>
  <c r="N2844" i="20"/>
  <c r="N2845" i="20"/>
  <c r="N2846" i="20"/>
  <c r="N2847" i="20"/>
  <c r="N2848" i="20"/>
  <c r="N2849" i="20"/>
  <c r="N2850" i="20"/>
  <c r="N2851" i="20"/>
  <c r="N2852" i="20"/>
  <c r="N2853" i="20"/>
  <c r="N2854" i="20"/>
  <c r="N2855" i="20"/>
  <c r="N2856" i="20"/>
  <c r="N2857" i="20"/>
  <c r="N2858" i="20"/>
  <c r="N2859" i="20"/>
  <c r="N2860" i="20"/>
  <c r="N2861" i="20"/>
  <c r="N2862" i="20"/>
  <c r="N2863" i="20"/>
  <c r="N2864" i="20"/>
  <c r="N2865" i="20"/>
  <c r="N2866" i="20"/>
  <c r="N2867" i="20"/>
  <c r="N2868" i="20"/>
  <c r="N2869" i="20"/>
  <c r="N2870" i="20"/>
  <c r="N2871" i="20"/>
  <c r="N2872" i="20"/>
  <c r="N2873" i="20"/>
  <c r="N2874" i="20"/>
  <c r="N2875" i="20"/>
  <c r="N2876" i="20"/>
  <c r="N2877" i="20"/>
  <c r="N2878" i="20"/>
  <c r="N2879" i="20"/>
  <c r="N2880" i="20"/>
  <c r="N2881" i="20"/>
  <c r="N2882" i="20"/>
  <c r="N2883" i="20"/>
  <c r="N2884" i="20"/>
  <c r="N2885" i="20"/>
  <c r="N2886" i="20"/>
  <c r="N2887" i="20"/>
  <c r="N2888" i="20"/>
  <c r="N2889" i="20"/>
  <c r="N2890" i="20"/>
  <c r="N2891" i="20"/>
  <c r="N2892" i="20"/>
  <c r="N2893" i="20"/>
  <c r="N2894" i="20"/>
  <c r="N2895" i="20"/>
  <c r="N2896" i="20"/>
  <c r="N2897" i="20"/>
  <c r="N2898" i="20"/>
  <c r="N2899" i="20"/>
  <c r="N2900" i="20"/>
  <c r="N2901" i="20"/>
  <c r="N2902" i="20"/>
  <c r="N2903" i="20"/>
  <c r="N2904" i="20"/>
  <c r="N2905" i="20"/>
  <c r="N2906" i="20"/>
  <c r="N2907" i="20"/>
  <c r="N2593" i="20"/>
  <c r="N2594" i="20"/>
  <c r="N2595" i="20"/>
  <c r="N2596" i="20"/>
  <c r="N2597" i="20"/>
  <c r="N2598" i="20"/>
  <c r="N2599" i="20"/>
  <c r="N2600" i="20"/>
  <c r="N2601" i="20"/>
  <c r="N2602" i="20"/>
  <c r="N2603" i="20"/>
  <c r="N2604" i="20"/>
  <c r="N2605" i="20"/>
  <c r="N2606" i="20"/>
  <c r="N2607" i="20"/>
  <c r="N2608" i="20"/>
  <c r="N2609" i="20"/>
  <c r="N2610" i="20"/>
  <c r="N2611" i="20"/>
  <c r="N2612" i="20"/>
  <c r="N2613" i="20"/>
  <c r="N2614" i="20"/>
  <c r="N2615" i="20"/>
  <c r="N2616" i="20"/>
  <c r="N2617" i="20"/>
  <c r="N2618" i="20"/>
  <c r="N2619" i="20"/>
  <c r="N2620" i="20"/>
  <c r="N2621" i="20"/>
  <c r="N2622" i="20"/>
  <c r="N2623" i="20"/>
  <c r="N2624" i="20"/>
  <c r="N2625" i="20"/>
  <c r="N2626" i="20"/>
  <c r="N2627" i="20"/>
  <c r="N2628" i="20"/>
  <c r="N2629" i="20"/>
  <c r="N2630" i="20"/>
  <c r="N2631" i="20"/>
  <c r="N2632" i="20"/>
  <c r="N2633" i="20"/>
  <c r="N2634" i="20"/>
  <c r="N2635" i="20"/>
  <c r="N2636" i="20"/>
  <c r="N2637" i="20"/>
  <c r="N2638" i="20"/>
  <c r="N2639" i="20"/>
  <c r="N2640" i="20"/>
  <c r="N2641" i="20"/>
  <c r="N2642" i="20"/>
  <c r="N2643" i="20"/>
  <c r="N2644" i="20"/>
  <c r="N2645" i="20"/>
  <c r="N2646" i="20"/>
  <c r="N2647" i="20"/>
  <c r="N2648" i="20"/>
  <c r="N2649" i="20"/>
  <c r="N2650" i="20"/>
  <c r="N2651" i="20"/>
  <c r="N2652" i="20"/>
  <c r="N2653" i="20"/>
  <c r="N2654" i="20"/>
  <c r="N2655" i="20"/>
  <c r="N2656" i="20"/>
  <c r="N2657" i="20"/>
  <c r="N2658" i="20"/>
  <c r="N2659" i="20"/>
  <c r="N2660" i="20"/>
  <c r="N2661" i="20"/>
  <c r="N2662" i="20"/>
  <c r="N2663" i="20"/>
  <c r="N2664" i="20"/>
  <c r="N2665" i="20"/>
  <c r="N2666" i="20"/>
  <c r="N2667" i="20"/>
  <c r="N2668" i="20"/>
  <c r="N2669" i="20"/>
  <c r="N2670" i="20"/>
  <c r="N2671" i="20"/>
  <c r="N2672" i="20"/>
  <c r="N2673" i="20"/>
  <c r="N2674" i="20"/>
  <c r="N2675" i="20"/>
  <c r="N2676" i="20"/>
  <c r="N2677" i="20"/>
  <c r="N2678" i="20"/>
  <c r="N2679" i="20"/>
  <c r="N2680" i="20"/>
  <c r="N2681" i="20"/>
  <c r="N2682" i="20"/>
  <c r="N2683" i="20"/>
  <c r="N2684" i="20"/>
  <c r="N2685" i="20"/>
  <c r="N2686" i="20"/>
  <c r="N2687" i="20"/>
  <c r="N2688" i="20"/>
  <c r="N2689" i="20"/>
  <c r="N2690" i="20"/>
  <c r="N2691" i="20"/>
  <c r="N2692" i="20"/>
  <c r="N2693" i="20"/>
  <c r="N2694" i="20"/>
  <c r="N2695" i="20"/>
  <c r="N2696" i="20"/>
  <c r="N2697" i="20"/>
  <c r="N2698" i="20"/>
  <c r="N2699" i="20"/>
  <c r="N2700" i="20"/>
  <c r="N2701" i="20"/>
  <c r="N2702" i="20"/>
  <c r="N2703" i="20"/>
  <c r="N2704" i="20"/>
  <c r="N2705" i="20"/>
  <c r="N2706" i="20"/>
  <c r="N2707" i="20"/>
  <c r="N2708" i="20"/>
  <c r="N2709" i="20"/>
  <c r="N2710" i="20"/>
  <c r="N2711" i="20"/>
  <c r="N2712" i="20"/>
  <c r="N2713" i="20"/>
  <c r="N2714" i="20"/>
  <c r="N2715" i="20"/>
  <c r="N2716" i="20"/>
  <c r="N2717" i="20"/>
  <c r="N2718" i="20"/>
  <c r="N2719" i="20"/>
  <c r="N2720" i="20"/>
  <c r="N2383" i="20"/>
  <c r="N2384" i="20"/>
  <c r="N2385" i="20"/>
  <c r="N2386" i="20"/>
  <c r="N2387" i="20"/>
  <c r="N2388" i="20"/>
  <c r="N2389" i="20"/>
  <c r="N2390" i="20"/>
  <c r="N2391" i="20"/>
  <c r="N2392" i="20"/>
  <c r="N2393" i="20"/>
  <c r="N2394" i="20"/>
  <c r="N2395" i="20"/>
  <c r="N2396" i="20"/>
  <c r="N2397" i="20"/>
  <c r="N2398" i="20"/>
  <c r="N2399" i="20"/>
  <c r="N2400" i="20"/>
  <c r="N2401" i="20"/>
  <c r="N2402" i="20"/>
  <c r="N2403" i="20"/>
  <c r="N2404" i="20"/>
  <c r="N2405" i="20"/>
  <c r="N2406" i="20"/>
  <c r="N2407" i="20"/>
  <c r="N2408" i="20"/>
  <c r="N2409" i="20"/>
  <c r="N2410" i="20"/>
  <c r="N2411" i="20"/>
  <c r="N2412" i="20"/>
  <c r="N2413" i="20"/>
  <c r="N2414" i="20"/>
  <c r="N2415" i="20"/>
  <c r="N2416" i="20"/>
  <c r="N2417" i="20"/>
  <c r="N2418" i="20"/>
  <c r="N2419" i="20"/>
  <c r="N2420" i="20"/>
  <c r="N2421" i="20"/>
  <c r="N2422" i="20"/>
  <c r="N2423" i="20"/>
  <c r="N2424" i="20"/>
  <c r="N2425" i="20"/>
  <c r="N2426" i="20"/>
  <c r="N2427" i="20"/>
  <c r="N2428" i="20"/>
  <c r="N2429" i="20"/>
  <c r="N2430" i="20"/>
  <c r="N2431" i="20"/>
  <c r="N2432" i="20"/>
  <c r="N2433" i="20"/>
  <c r="N2434" i="20"/>
  <c r="N2435" i="20"/>
  <c r="N2436" i="20"/>
  <c r="N2437" i="20"/>
  <c r="N2438" i="20"/>
  <c r="N2439" i="20"/>
  <c r="N2440" i="20"/>
  <c r="N2441" i="20"/>
  <c r="N2442" i="20"/>
  <c r="N2443" i="20"/>
  <c r="N2444" i="20"/>
  <c r="N2445" i="20"/>
  <c r="N2446" i="20"/>
  <c r="N2447" i="20"/>
  <c r="N2448" i="20"/>
  <c r="N2449" i="20"/>
  <c r="N2450" i="20"/>
  <c r="N2451" i="20"/>
  <c r="N2452" i="20"/>
  <c r="N2453" i="20"/>
  <c r="N2454" i="20"/>
  <c r="N2455" i="20"/>
  <c r="N2456" i="20"/>
  <c r="N2457" i="20"/>
  <c r="N2458" i="20"/>
  <c r="N2459" i="20"/>
  <c r="N2460" i="20"/>
  <c r="N2461" i="20"/>
  <c r="N2462" i="20"/>
  <c r="N2463" i="20"/>
  <c r="N2464" i="20"/>
  <c r="N2465" i="20"/>
  <c r="N2466" i="20"/>
  <c r="N2467" i="20"/>
  <c r="N2468" i="20"/>
  <c r="N2469" i="20"/>
  <c r="N2470" i="20"/>
  <c r="N2471" i="20"/>
  <c r="N2472" i="20"/>
  <c r="N2473" i="20"/>
  <c r="N2474" i="20"/>
  <c r="N2475" i="20"/>
  <c r="N2476" i="20"/>
  <c r="N2477" i="20"/>
  <c r="N2478" i="20"/>
  <c r="N2479" i="20"/>
  <c r="N2480" i="20"/>
  <c r="N2481" i="20"/>
  <c r="N2482" i="20"/>
  <c r="N2483" i="20"/>
  <c r="N2484" i="20"/>
  <c r="N2485" i="20"/>
  <c r="N2486" i="20"/>
  <c r="N2487" i="20"/>
  <c r="N2488" i="20"/>
  <c r="N2489" i="20"/>
  <c r="N2490" i="20"/>
  <c r="N2491" i="20"/>
  <c r="N2492" i="20"/>
  <c r="N2493" i="20"/>
  <c r="N2494" i="20"/>
  <c r="N2495" i="20"/>
  <c r="N2496" i="20"/>
  <c r="N2497" i="20"/>
  <c r="N2498" i="20"/>
  <c r="N2499" i="20"/>
  <c r="N2500" i="20"/>
  <c r="N2501" i="20"/>
  <c r="N2502" i="20"/>
  <c r="N2503" i="20"/>
  <c r="N2504" i="20"/>
  <c r="N2505" i="20"/>
  <c r="N2506" i="20"/>
  <c r="N2507" i="20"/>
  <c r="N2508" i="20"/>
  <c r="N2509" i="20"/>
  <c r="N2510" i="20"/>
  <c r="N2511" i="20"/>
  <c r="N2512" i="20"/>
  <c r="N2513" i="20"/>
  <c r="N2514" i="20"/>
  <c r="N2515" i="20"/>
  <c r="N2516" i="20"/>
  <c r="N2517" i="20"/>
  <c r="N2518" i="20"/>
  <c r="N2519" i="20"/>
  <c r="N2520" i="20"/>
  <c r="N2521" i="20"/>
  <c r="N2522" i="20"/>
  <c r="N2523" i="20"/>
  <c r="N2524" i="20"/>
  <c r="N2525" i="20"/>
  <c r="N2526" i="20"/>
  <c r="N2527" i="20"/>
  <c r="N2528" i="20"/>
  <c r="N2529" i="20"/>
  <c r="N2530" i="20"/>
  <c r="N2531" i="20"/>
  <c r="N2532" i="20"/>
  <c r="N2533" i="20"/>
  <c r="N2534" i="20"/>
  <c r="N2535" i="20"/>
  <c r="N2536" i="20"/>
  <c r="N2537" i="20"/>
  <c r="N2538" i="20"/>
  <c r="N2539" i="20"/>
  <c r="N2540" i="20"/>
  <c r="N2541" i="20"/>
  <c r="N2542" i="20"/>
  <c r="N2543" i="20"/>
  <c r="N2544" i="20"/>
  <c r="N2545" i="20"/>
  <c r="N2546" i="20"/>
  <c r="N2547" i="20"/>
  <c r="N2548" i="20"/>
  <c r="N2549" i="20"/>
  <c r="N2550" i="20"/>
  <c r="N2551" i="20"/>
  <c r="N2552" i="20"/>
  <c r="N2553" i="20"/>
  <c r="N2554" i="20"/>
  <c r="N2555" i="20"/>
  <c r="N2556" i="20"/>
  <c r="N2557" i="20"/>
  <c r="N2558" i="20"/>
  <c r="N2559" i="20"/>
  <c r="N2560" i="20"/>
  <c r="N2561" i="20"/>
  <c r="N2562" i="20"/>
  <c r="N2563" i="20"/>
  <c r="N2564" i="20"/>
  <c r="N2565" i="20"/>
  <c r="N2566" i="20"/>
  <c r="N2567" i="20"/>
  <c r="N2568" i="20"/>
  <c r="N2569" i="20"/>
  <c r="N2570" i="20"/>
  <c r="N2571" i="20"/>
  <c r="N2572" i="20"/>
  <c r="N2573" i="20"/>
  <c r="N2574" i="20"/>
  <c r="N2575" i="20"/>
  <c r="N2576" i="20"/>
  <c r="N2577" i="20"/>
  <c r="N2578" i="20"/>
  <c r="N2579" i="20"/>
  <c r="N2580" i="20"/>
  <c r="N2581" i="20"/>
  <c r="N2582" i="20"/>
  <c r="N2583" i="20"/>
  <c r="N2584" i="20"/>
  <c r="N2585" i="20"/>
  <c r="N2586" i="20"/>
  <c r="N2587" i="20"/>
  <c r="N2588" i="20"/>
  <c r="N2342" i="20"/>
  <c r="N2343" i="20"/>
  <c r="N2344" i="20"/>
  <c r="N2345" i="20"/>
  <c r="N2346" i="20"/>
  <c r="N2347" i="20"/>
  <c r="N2348" i="20"/>
  <c r="N2349" i="20"/>
  <c r="N2350" i="20"/>
  <c r="N2351" i="20"/>
  <c r="N2352" i="20"/>
  <c r="N2353" i="20"/>
  <c r="N2354" i="20"/>
  <c r="N2355" i="20"/>
  <c r="N2356" i="20"/>
  <c r="N2357" i="20"/>
  <c r="N2358" i="20"/>
  <c r="N2359" i="20"/>
  <c r="N2360" i="20"/>
  <c r="N2361" i="20"/>
  <c r="N2362" i="20"/>
  <c r="N2363" i="20"/>
  <c r="N2364" i="20"/>
  <c r="N2365" i="20"/>
  <c r="N2366" i="20"/>
  <c r="N2367" i="20"/>
  <c r="N2368" i="20"/>
  <c r="N2369" i="20"/>
  <c r="N2234" i="20"/>
  <c r="N2235" i="20"/>
  <c r="N2236" i="20"/>
  <c r="N2237" i="20"/>
  <c r="N2238" i="20"/>
  <c r="N2239" i="20"/>
  <c r="N2240" i="20"/>
  <c r="N2241" i="20"/>
  <c r="N2242" i="20"/>
  <c r="N2243" i="20"/>
  <c r="N2244" i="20"/>
  <c r="N2245" i="20"/>
  <c r="N2246" i="20"/>
  <c r="N2247" i="20"/>
  <c r="N2248" i="20"/>
  <c r="N2249" i="20"/>
  <c r="N2250" i="20"/>
  <c r="N2251" i="20"/>
  <c r="N2252" i="20"/>
  <c r="N2253" i="20"/>
  <c r="N2254" i="20"/>
  <c r="N2255" i="20"/>
  <c r="N2072" i="20"/>
  <c r="N2073" i="20"/>
  <c r="N2074" i="20"/>
  <c r="N2075" i="20"/>
  <c r="N2076" i="20"/>
  <c r="N2077" i="20"/>
  <c r="N2078" i="20"/>
  <c r="N2079" i="20"/>
  <c r="N2080" i="20"/>
  <c r="N2081" i="20"/>
  <c r="N2082" i="20"/>
  <c r="N2083" i="20"/>
  <c r="N2084" i="20"/>
  <c r="N2085" i="20"/>
  <c r="N2086" i="20"/>
  <c r="N2087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795" i="20"/>
  <c r="N796" i="20"/>
  <c r="N797" i="20"/>
  <c r="N798" i="20"/>
  <c r="N799" i="20"/>
  <c r="N800" i="20"/>
  <c r="N801" i="20"/>
  <c r="N802" i="20"/>
  <c r="N803" i="20"/>
  <c r="N804" i="20"/>
  <c r="N805" i="20"/>
  <c r="N806" i="20"/>
  <c r="N807" i="20"/>
  <c r="N808" i="20"/>
  <c r="N809" i="20"/>
  <c r="N810" i="20"/>
  <c r="N811" i="20"/>
  <c r="N812" i="20"/>
  <c r="N813" i="20"/>
  <c r="N814" i="20"/>
  <c r="N815" i="20"/>
  <c r="N816" i="20"/>
  <c r="N817" i="20"/>
  <c r="N818" i="20"/>
  <c r="N819" i="20"/>
  <c r="N820" i="20"/>
  <c r="N821" i="20"/>
  <c r="N822" i="20"/>
  <c r="N823" i="20"/>
  <c r="N824" i="20"/>
  <c r="N825" i="20"/>
  <c r="N826" i="20"/>
  <c r="N827" i="20"/>
  <c r="N828" i="20"/>
  <c r="N829" i="20"/>
  <c r="N830" i="20"/>
  <c r="N831" i="20"/>
  <c r="N832" i="20"/>
  <c r="N833" i="20"/>
  <c r="N834" i="20"/>
  <c r="N835" i="20"/>
  <c r="N836" i="20"/>
  <c r="N837" i="20"/>
  <c r="N838" i="20"/>
  <c r="N839" i="20"/>
  <c r="N840" i="20"/>
  <c r="N841" i="20"/>
  <c r="N842" i="20"/>
  <c r="N843" i="20"/>
  <c r="N844" i="20"/>
  <c r="N845" i="20"/>
  <c r="N846" i="20"/>
  <c r="N847" i="20"/>
  <c r="N848" i="20"/>
  <c r="N849" i="20"/>
  <c r="N850" i="20"/>
  <c r="N851" i="20"/>
  <c r="N852" i="20"/>
  <c r="N853" i="20"/>
  <c r="N854" i="20"/>
  <c r="N855" i="20"/>
  <c r="N856" i="20"/>
  <c r="N857" i="20"/>
  <c r="N858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727" i="20"/>
  <c r="N2726" i="20"/>
  <c r="N2725" i="20"/>
  <c r="N2724" i="20"/>
  <c r="N2723" i="20"/>
  <c r="N2722" i="20"/>
  <c r="N2721" i="20"/>
  <c r="N2592" i="20"/>
  <c r="N2591" i="20"/>
  <c r="N2590" i="20"/>
  <c r="N2589" i="20"/>
  <c r="N2382" i="20"/>
  <c r="N2381" i="20"/>
  <c r="N2380" i="20"/>
  <c r="N2379" i="20"/>
  <c r="N2378" i="20"/>
  <c r="N2377" i="20"/>
  <c r="N2376" i="20"/>
  <c r="N2375" i="20"/>
  <c r="N2374" i="20"/>
  <c r="N2373" i="20"/>
  <c r="N2372" i="20"/>
  <c r="N2371" i="20"/>
  <c r="N2370" i="20"/>
  <c r="N2341" i="20"/>
  <c r="N2340" i="20"/>
  <c r="N2339" i="20"/>
  <c r="N2338" i="20"/>
  <c r="N2337" i="20"/>
  <c r="N2336" i="20"/>
  <c r="N2335" i="20"/>
  <c r="N2334" i="20"/>
  <c r="N2333" i="20"/>
  <c r="N2332" i="20"/>
  <c r="N2331" i="20"/>
  <c r="N2330" i="20"/>
  <c r="N2329" i="20"/>
  <c r="N2328" i="20"/>
  <c r="N2327" i="20"/>
  <c r="N2326" i="20"/>
  <c r="N2325" i="20"/>
  <c r="N2324" i="20"/>
  <c r="N2323" i="20"/>
  <c r="N2322" i="20"/>
  <c r="N2321" i="20"/>
  <c r="N2320" i="20"/>
  <c r="N2319" i="20"/>
  <c r="N2318" i="20"/>
  <c r="N2317" i="20"/>
  <c r="N2316" i="20"/>
  <c r="N2315" i="20"/>
  <c r="N2314" i="20"/>
  <c r="N2313" i="20"/>
  <c r="N2312" i="20"/>
  <c r="N2311" i="20"/>
  <c r="N2310" i="20"/>
  <c r="N2309" i="20"/>
  <c r="N2308" i="20"/>
  <c r="N2307" i="20"/>
  <c r="N2306" i="20"/>
  <c r="N2305" i="20"/>
  <c r="N2304" i="20"/>
  <c r="N2303" i="20"/>
  <c r="N2302" i="20"/>
  <c r="N2301" i="20"/>
  <c r="N2300" i="20"/>
  <c r="N2299" i="20"/>
  <c r="N2298" i="20"/>
  <c r="N2297" i="20"/>
  <c r="N2296" i="20"/>
  <c r="N2295" i="20"/>
  <c r="N2294" i="20"/>
  <c r="N2293" i="20"/>
  <c r="N2292" i="20"/>
  <c r="N2291" i="20"/>
  <c r="N2290" i="20"/>
  <c r="N2289" i="20"/>
  <c r="N2288" i="20"/>
  <c r="N2287" i="20"/>
  <c r="N2286" i="20"/>
  <c r="N2285" i="20"/>
  <c r="N2284" i="20"/>
  <c r="N2283" i="20"/>
  <c r="N2282" i="20"/>
  <c r="N2281" i="20"/>
  <c r="N2280" i="20"/>
  <c r="N2279" i="20"/>
  <c r="N2278" i="20"/>
  <c r="N2277" i="20"/>
  <c r="N2276" i="20"/>
  <c r="N2275" i="20"/>
  <c r="N2274" i="20"/>
  <c r="N2273" i="20"/>
  <c r="N2272" i="20"/>
  <c r="N2271" i="20"/>
  <c r="N2270" i="20"/>
  <c r="N2269" i="20"/>
  <c r="N2268" i="20"/>
  <c r="N2267" i="20"/>
  <c r="N2266" i="20"/>
  <c r="N2265" i="20"/>
  <c r="N2264" i="20"/>
  <c r="N2263" i="20"/>
  <c r="N2262" i="20"/>
  <c r="N2261" i="20"/>
  <c r="N2260" i="20"/>
  <c r="N2259" i="20"/>
  <c r="N2258" i="20"/>
  <c r="N2257" i="20"/>
  <c r="N2256" i="20"/>
  <c r="N2233" i="20"/>
  <c r="N2232" i="20"/>
  <c r="N2231" i="20"/>
  <c r="N2230" i="20"/>
  <c r="N2229" i="20"/>
  <c r="N2228" i="20"/>
  <c r="N2227" i="20"/>
  <c r="N2226" i="20"/>
  <c r="N2225" i="20"/>
  <c r="N2224" i="20"/>
  <c r="N2223" i="20"/>
  <c r="N2222" i="20"/>
  <c r="N2221" i="20"/>
  <c r="N2220" i="20"/>
  <c r="N2219" i="20"/>
  <c r="N2218" i="20"/>
  <c r="N2217" i="20"/>
  <c r="N2216" i="20"/>
  <c r="N2215" i="20"/>
  <c r="N2214" i="20"/>
  <c r="N2213" i="20"/>
  <c r="N2212" i="20"/>
  <c r="N2211" i="20"/>
  <c r="N2210" i="20"/>
  <c r="N2209" i="20"/>
  <c r="N2208" i="20"/>
  <c r="N2207" i="20"/>
  <c r="N2206" i="20"/>
  <c r="N2205" i="20"/>
  <c r="N2204" i="20"/>
  <c r="N2203" i="20"/>
  <c r="N2202" i="20"/>
  <c r="N2201" i="20"/>
  <c r="N2200" i="20"/>
  <c r="N2199" i="20"/>
  <c r="N2198" i="20"/>
  <c r="N2197" i="20"/>
  <c r="N2196" i="20"/>
  <c r="N2195" i="20"/>
  <c r="N2194" i="20"/>
  <c r="N2193" i="20"/>
  <c r="N2192" i="20"/>
  <c r="N2191" i="20"/>
  <c r="N2190" i="20"/>
  <c r="N2189" i="20"/>
  <c r="N2188" i="20"/>
  <c r="N2187" i="20"/>
  <c r="N2186" i="20"/>
  <c r="N2185" i="20"/>
  <c r="N2184" i="20"/>
  <c r="N2183" i="20"/>
  <c r="N2182" i="20"/>
  <c r="N2181" i="20"/>
  <c r="N2180" i="20"/>
  <c r="N2179" i="20"/>
  <c r="N2178" i="20"/>
  <c r="N2177" i="20"/>
  <c r="N2176" i="20"/>
  <c r="N2175" i="20"/>
  <c r="N2174" i="20"/>
  <c r="N2173" i="20"/>
  <c r="N2172" i="20"/>
  <c r="N2171" i="20"/>
  <c r="N2170" i="20"/>
  <c r="N2169" i="20"/>
  <c r="N2168" i="20"/>
  <c r="N2167" i="20"/>
  <c r="N2166" i="20"/>
  <c r="N2165" i="20"/>
  <c r="N2164" i="20"/>
  <c r="N2163" i="20"/>
  <c r="N2162" i="20"/>
  <c r="N2161" i="20"/>
  <c r="N2160" i="20"/>
  <c r="N2159" i="20"/>
  <c r="N2158" i="20"/>
  <c r="N2157" i="20"/>
  <c r="N2156" i="20"/>
  <c r="N2155" i="20"/>
  <c r="N2154" i="20"/>
  <c r="N2153" i="20"/>
  <c r="N2152" i="20"/>
  <c r="N2151" i="20"/>
  <c r="N2150" i="20"/>
  <c r="N2149" i="20"/>
  <c r="N2148" i="20"/>
  <c r="N2147" i="20"/>
  <c r="N2146" i="20"/>
  <c r="N2145" i="20"/>
  <c r="N2144" i="20"/>
  <c r="N2143" i="20"/>
  <c r="N2142" i="20"/>
  <c r="N2141" i="20"/>
  <c r="N2140" i="20"/>
  <c r="N2139" i="20"/>
  <c r="N2138" i="20"/>
  <c r="N2137" i="20"/>
  <c r="N2136" i="20"/>
  <c r="N2135" i="20"/>
  <c r="N2134" i="20"/>
  <c r="N2133" i="20"/>
  <c r="N2132" i="20"/>
  <c r="N2131" i="20"/>
  <c r="N2130" i="20"/>
  <c r="N2129" i="20"/>
  <c r="N2128" i="20"/>
  <c r="N2127" i="20"/>
  <c r="N2126" i="20"/>
  <c r="N2125" i="20"/>
  <c r="N2124" i="20"/>
  <c r="N2123" i="20"/>
  <c r="N2122" i="20"/>
  <c r="N2121" i="20"/>
  <c r="N2120" i="20"/>
  <c r="N2119" i="20"/>
  <c r="N2118" i="20"/>
  <c r="N2117" i="20"/>
  <c r="N2116" i="20"/>
  <c r="N2115" i="20"/>
  <c r="N2114" i="20"/>
  <c r="N2113" i="20"/>
  <c r="N2112" i="20"/>
  <c r="N2111" i="20"/>
  <c r="N2110" i="20"/>
  <c r="N2109" i="20"/>
  <c r="N2108" i="20"/>
  <c r="N2107" i="20"/>
  <c r="N2106" i="20"/>
  <c r="N2105" i="20"/>
  <c r="N2104" i="20"/>
  <c r="N2103" i="20"/>
  <c r="N2102" i="20"/>
  <c r="N2101" i="20"/>
  <c r="N2100" i="20"/>
  <c r="N2099" i="20"/>
  <c r="N2098" i="20"/>
  <c r="N2097" i="20"/>
  <c r="N2096" i="20"/>
  <c r="N2095" i="20"/>
  <c r="N2094" i="20"/>
  <c r="N2093" i="20"/>
  <c r="N2092" i="20"/>
  <c r="N2091" i="20"/>
  <c r="N2090" i="20"/>
  <c r="N2089" i="20"/>
  <c r="N2088" i="20"/>
  <c r="N2071" i="20"/>
  <c r="N2070" i="20"/>
  <c r="N2069" i="20"/>
  <c r="N2068" i="20"/>
  <c r="N2067" i="20"/>
  <c r="N2066" i="20"/>
  <c r="N2065" i="20"/>
  <c r="N2064" i="20"/>
  <c r="N2063" i="20"/>
  <c r="N2062" i="20"/>
  <c r="N2061" i="20"/>
  <c r="N2060" i="20"/>
  <c r="N2059" i="20"/>
  <c r="N2058" i="20"/>
  <c r="N2057" i="20"/>
  <c r="N2056" i="20"/>
  <c r="N2055" i="20"/>
  <c r="N2054" i="20"/>
  <c r="N2053" i="20"/>
  <c r="N2052" i="20"/>
  <c r="N2051" i="20"/>
  <c r="N2050" i="20"/>
  <c r="N2049" i="20"/>
  <c r="N2048" i="20"/>
  <c r="N2047" i="20"/>
  <c r="N2046" i="20"/>
  <c r="N2045" i="20"/>
  <c r="N2044" i="20"/>
  <c r="N2043" i="20"/>
  <c r="N2042" i="20"/>
  <c r="N2041" i="20"/>
  <c r="N2040" i="20"/>
  <c r="N2039" i="20"/>
  <c r="N2038" i="20"/>
  <c r="N2037" i="20"/>
  <c r="N2036" i="20"/>
  <c r="N2035" i="20"/>
  <c r="N2034" i="20"/>
  <c r="N2033" i="20"/>
  <c r="N2032" i="20"/>
  <c r="N2031" i="20"/>
  <c r="N2030" i="20"/>
  <c r="N2029" i="20"/>
  <c r="N2028" i="20"/>
  <c r="N2027" i="20"/>
  <c r="N2026" i="20"/>
  <c r="N2025" i="20"/>
  <c r="N2024" i="20"/>
  <c r="N2023" i="20"/>
  <c r="N2022" i="20"/>
  <c r="N2021" i="20"/>
  <c r="N2020" i="20"/>
  <c r="N2019" i="20"/>
  <c r="N2018" i="20"/>
  <c r="N2017" i="20"/>
  <c r="N2016" i="20"/>
  <c r="N2015" i="20"/>
  <c r="N2014" i="20"/>
  <c r="N2013" i="20"/>
  <c r="N2012" i="20"/>
  <c r="N2011" i="20"/>
  <c r="N2010" i="20"/>
  <c r="N2009" i="20"/>
  <c r="N2008" i="20"/>
  <c r="N2007" i="20"/>
  <c r="N2006" i="20"/>
  <c r="N2005" i="20"/>
  <c r="N2004" i="20"/>
  <c r="N2003" i="20"/>
  <c r="N2002" i="20"/>
  <c r="N2001" i="20"/>
  <c r="N2000" i="20"/>
  <c r="N1999" i="20"/>
  <c r="N1998" i="20"/>
  <c r="N1997" i="20"/>
  <c r="N1996" i="20"/>
  <c r="N1995" i="20"/>
  <c r="N1994" i="20"/>
  <c r="N1993" i="20"/>
  <c r="N1992" i="20"/>
  <c r="N1991" i="20"/>
  <c r="N1990" i="20"/>
  <c r="N1989" i="20"/>
  <c r="N1988" i="20"/>
  <c r="N1987" i="20"/>
  <c r="N1986" i="20"/>
  <c r="N1985" i="20"/>
  <c r="N1984" i="20"/>
  <c r="N1983" i="20"/>
  <c r="N1982" i="20"/>
  <c r="N1981" i="20"/>
  <c r="N1980" i="20"/>
  <c r="N1979" i="20"/>
  <c r="N1978" i="20"/>
  <c r="N1977" i="20"/>
  <c r="N1976" i="20"/>
  <c r="N1975" i="20"/>
  <c r="N1974" i="20"/>
  <c r="N1973" i="20"/>
  <c r="N1972" i="20"/>
  <c r="N1971" i="20"/>
  <c r="N1970" i="20"/>
  <c r="N1969" i="20"/>
  <c r="N1968" i="20"/>
  <c r="N1967" i="20"/>
  <c r="N1966" i="20"/>
  <c r="N1965" i="20"/>
  <c r="N1964" i="20"/>
  <c r="N1963" i="20"/>
  <c r="N1962" i="20"/>
  <c r="N1961" i="20"/>
  <c r="N1960" i="20"/>
  <c r="N1959" i="20"/>
  <c r="N1958" i="20"/>
  <c r="N1957" i="20"/>
  <c r="N1956" i="20"/>
  <c r="N1955" i="20"/>
  <c r="N1954" i="20"/>
  <c r="N1953" i="20"/>
  <c r="N1952" i="20"/>
  <c r="N1951" i="20"/>
  <c r="N1950" i="20"/>
  <c r="N1949" i="20"/>
  <c r="N1948" i="20"/>
  <c r="N1947" i="20"/>
  <c r="N1946" i="20"/>
  <c r="N1945" i="20"/>
  <c r="N1944" i="20"/>
  <c r="N1943" i="20"/>
  <c r="N1942" i="20"/>
  <c r="N1941" i="20"/>
  <c r="N1940" i="20"/>
  <c r="N1939" i="20"/>
  <c r="N1938" i="20"/>
  <c r="N1937" i="20"/>
  <c r="N1936" i="20"/>
  <c r="N1935" i="20"/>
  <c r="N1934" i="20"/>
  <c r="N1933" i="20"/>
  <c r="N1932" i="20"/>
  <c r="N1931" i="20"/>
  <c r="N1930" i="20"/>
  <c r="N1929" i="20"/>
  <c r="N1928" i="20"/>
  <c r="N1927" i="20"/>
  <c r="N1926" i="20"/>
  <c r="N1925" i="20"/>
  <c r="N1924" i="20"/>
  <c r="N1923" i="20"/>
  <c r="N1922" i="20"/>
  <c r="N1921" i="20"/>
  <c r="N1920" i="20"/>
  <c r="N1919" i="20"/>
  <c r="N1918" i="20"/>
  <c r="N1917" i="20"/>
  <c r="N1916" i="20"/>
  <c r="N1915" i="20"/>
  <c r="N1914" i="20"/>
  <c r="N1913" i="20"/>
  <c r="N1912" i="20"/>
  <c r="N1911" i="20"/>
  <c r="N1910" i="20"/>
  <c r="N1909" i="20"/>
  <c r="N1908" i="20"/>
  <c r="N1907" i="20"/>
  <c r="N1906" i="20"/>
  <c r="N1905" i="20"/>
  <c r="N1904" i="20"/>
  <c r="N1903" i="20"/>
  <c r="N1902" i="20"/>
  <c r="N1901" i="20"/>
  <c r="N1900" i="20"/>
  <c r="N1899" i="20"/>
  <c r="N1898" i="20"/>
  <c r="N1897" i="20"/>
  <c r="N1896" i="20"/>
  <c r="N1895" i="20"/>
  <c r="N1894" i="20"/>
  <c r="N1893" i="20"/>
  <c r="N1892" i="20"/>
  <c r="N1891" i="20"/>
  <c r="N1890" i="20"/>
  <c r="N1889" i="20"/>
  <c r="N1888" i="20"/>
  <c r="N1887" i="20"/>
  <c r="N1886" i="20"/>
  <c r="N1885" i="20"/>
  <c r="N1884" i="20"/>
  <c r="N1883" i="20"/>
  <c r="N1882" i="20"/>
  <c r="N1881" i="20"/>
  <c r="N1880" i="20"/>
  <c r="N1879" i="20"/>
  <c r="N1878" i="20"/>
  <c r="N1877" i="20"/>
  <c r="N1876" i="20"/>
  <c r="N1875" i="20"/>
  <c r="N1874" i="20"/>
  <c r="N1873" i="20"/>
  <c r="N1872" i="20"/>
  <c r="N1871" i="20"/>
  <c r="N1870" i="20"/>
  <c r="N1869" i="20"/>
  <c r="N1868" i="20"/>
  <c r="N1867" i="20"/>
  <c r="N1866" i="20"/>
  <c r="N1865" i="20"/>
  <c r="N1864" i="20"/>
  <c r="N1863" i="20"/>
  <c r="N1862" i="20"/>
  <c r="N1861" i="20"/>
  <c r="N1860" i="20"/>
  <c r="N1859" i="20"/>
  <c r="N1858" i="20"/>
  <c r="N1857" i="20"/>
  <c r="N1856" i="20"/>
  <c r="N1855" i="20"/>
  <c r="N1854" i="20"/>
  <c r="N1853" i="20"/>
  <c r="N1852" i="20"/>
  <c r="N1851" i="20"/>
  <c r="N1850" i="20"/>
  <c r="N1849" i="20"/>
  <c r="N1848" i="20"/>
  <c r="N1847" i="20"/>
  <c r="N1846" i="20"/>
  <c r="N1845" i="20"/>
  <c r="N1844" i="20"/>
  <c r="N1843" i="20"/>
  <c r="N1842" i="20"/>
  <c r="N1841" i="20"/>
  <c r="N1840" i="20"/>
  <c r="N1839" i="20"/>
  <c r="N1838" i="20"/>
  <c r="N1837" i="20"/>
  <c r="N1836" i="20"/>
  <c r="N1835" i="20"/>
  <c r="N1834" i="20"/>
  <c r="N1833" i="20"/>
  <c r="N1832" i="20"/>
  <c r="N1831" i="20"/>
  <c r="N1830" i="20"/>
  <c r="N1829" i="20"/>
  <c r="N1828" i="20"/>
  <c r="N1827" i="20"/>
  <c r="N1826" i="20"/>
  <c r="N1825" i="20"/>
  <c r="N1824" i="20"/>
  <c r="N1823" i="20"/>
  <c r="N1822" i="20"/>
  <c r="N1821" i="20"/>
  <c r="N1820" i="20"/>
  <c r="N1819" i="20"/>
  <c r="N1818" i="20"/>
  <c r="N1817" i="20"/>
  <c r="N1816" i="20"/>
  <c r="N1815" i="20"/>
  <c r="N1814" i="20"/>
  <c r="N1813" i="20"/>
  <c r="N1812" i="20"/>
  <c r="N1811" i="20"/>
  <c r="N1810" i="20"/>
  <c r="N1809" i="20"/>
  <c r="N1808" i="20"/>
  <c r="N1807" i="20"/>
  <c r="N1806" i="20"/>
  <c r="N1805" i="20"/>
  <c r="N1804" i="20"/>
  <c r="N1803" i="20"/>
  <c r="N1802" i="20"/>
  <c r="N1801" i="20"/>
  <c r="N1800" i="20"/>
  <c r="N1799" i="20"/>
  <c r="N1798" i="20"/>
  <c r="N1797" i="20"/>
  <c r="N1796" i="20"/>
  <c r="N1795" i="20"/>
  <c r="N1794" i="20"/>
  <c r="N1793" i="20"/>
  <c r="N1792" i="20"/>
  <c r="N1791" i="20"/>
  <c r="N1790" i="20"/>
  <c r="N1789" i="20"/>
  <c r="N1788" i="20"/>
  <c r="N1787" i="20"/>
  <c r="N1786" i="20"/>
  <c r="N1785" i="20"/>
  <c r="N1784" i="20"/>
  <c r="N1783" i="20"/>
  <c r="N1782" i="20"/>
  <c r="N1781" i="20"/>
  <c r="N1780" i="20"/>
  <c r="N1779" i="20"/>
  <c r="N1778" i="20"/>
  <c r="N1777" i="20"/>
  <c r="N1776" i="20"/>
  <c r="N1775" i="20"/>
  <c r="N1774" i="20"/>
  <c r="N1773" i="20"/>
  <c r="N1772" i="20"/>
  <c r="N1771" i="20"/>
  <c r="N1770" i="20"/>
  <c r="N1769" i="20"/>
  <c r="N1768" i="20"/>
  <c r="N1767" i="20"/>
  <c r="N1766" i="20"/>
  <c r="N1765" i="20"/>
  <c r="N1764" i="20"/>
  <c r="N1763" i="20"/>
  <c r="N1762" i="20"/>
  <c r="N1761" i="20"/>
  <c r="N1760" i="20"/>
  <c r="N1759" i="20"/>
  <c r="N1758" i="20"/>
  <c r="N1757" i="20"/>
  <c r="N1756" i="20"/>
  <c r="N1755" i="20"/>
  <c r="N1725" i="20"/>
  <c r="N1724" i="20"/>
  <c r="N1723" i="20"/>
  <c r="N1722" i="20"/>
  <c r="N1721" i="20"/>
  <c r="N1720" i="20"/>
  <c r="N1719" i="20"/>
  <c r="N1701" i="20"/>
  <c r="N1700" i="20"/>
  <c r="N1699" i="20"/>
  <c r="N1698" i="20"/>
  <c r="N1697" i="20"/>
  <c r="N1696" i="20"/>
  <c r="N1695" i="20"/>
  <c r="N1694" i="20"/>
  <c r="N1693" i="20"/>
  <c r="N1692" i="20"/>
  <c r="N1691" i="20"/>
  <c r="N1690" i="20"/>
  <c r="N1689" i="20"/>
  <c r="N1688" i="20"/>
  <c r="N1687" i="20"/>
  <c r="N1686" i="20"/>
  <c r="N1685" i="20"/>
  <c r="N1684" i="20"/>
  <c r="N1683" i="20"/>
  <c r="N1682" i="20"/>
  <c r="N1681" i="20"/>
  <c r="N1680" i="20"/>
  <c r="N1679" i="20"/>
  <c r="N1678" i="20"/>
  <c r="N1677" i="20"/>
  <c r="N1676" i="20"/>
  <c r="N1675" i="20"/>
  <c r="N1674" i="20"/>
  <c r="N1673" i="20"/>
  <c r="N1672" i="20"/>
  <c r="N1671" i="20"/>
  <c r="N1670" i="20"/>
  <c r="N1669" i="20"/>
  <c r="N1668" i="20"/>
  <c r="N1667" i="20"/>
  <c r="N1666" i="20"/>
  <c r="N1665" i="20"/>
  <c r="N1664" i="20"/>
  <c r="N1663" i="20"/>
  <c r="N1662" i="20"/>
  <c r="N1661" i="20"/>
  <c r="N1660" i="20"/>
  <c r="N1659" i="20"/>
  <c r="N1658" i="20"/>
  <c r="N1657" i="20"/>
  <c r="N1656" i="20"/>
  <c r="N1655" i="20"/>
  <c r="N1654" i="20"/>
  <c r="N1653" i="20"/>
  <c r="N1652" i="20"/>
  <c r="N1651" i="20"/>
  <c r="N1650" i="20"/>
  <c r="N1649" i="20"/>
  <c r="N1648" i="20"/>
  <c r="N1647" i="20"/>
  <c r="N1646" i="20"/>
  <c r="N1645" i="20"/>
  <c r="N1644" i="20"/>
  <c r="N1643" i="20"/>
  <c r="N1642" i="20"/>
  <c r="N1641" i="20"/>
  <c r="N1640" i="20"/>
  <c r="N1639" i="20"/>
  <c r="N1638" i="20"/>
  <c r="N1637" i="20"/>
  <c r="N1636" i="20"/>
  <c r="N1635" i="20"/>
  <c r="N1634" i="20"/>
  <c r="N1633" i="20"/>
  <c r="N1632" i="20"/>
  <c r="N1631" i="20"/>
  <c r="N1630" i="20"/>
  <c r="N1629" i="20"/>
  <c r="N1628" i="20"/>
  <c r="N1627" i="20"/>
  <c r="N1626" i="20"/>
  <c r="N1625" i="20"/>
  <c r="N1624" i="20"/>
  <c r="N1623" i="20"/>
  <c r="N1622" i="20"/>
  <c r="N1621" i="20"/>
  <c r="N1620" i="20"/>
  <c r="N1619" i="20"/>
  <c r="N1618" i="20"/>
  <c r="N1617" i="20"/>
  <c r="N1616" i="20"/>
  <c r="N1615" i="20"/>
  <c r="N1614" i="20"/>
  <c r="N1613" i="20"/>
  <c r="N1612" i="20"/>
  <c r="N1611" i="20"/>
  <c r="N1610" i="20"/>
  <c r="N1609" i="20"/>
  <c r="N1608" i="20"/>
  <c r="N1607" i="20"/>
  <c r="N1606" i="20"/>
  <c r="N1605" i="20"/>
  <c r="N1604" i="20"/>
  <c r="N1603" i="20"/>
  <c r="N1602" i="20"/>
  <c r="N1601" i="20"/>
  <c r="N1600" i="20"/>
  <c r="N1599" i="20"/>
  <c r="N1598" i="20"/>
  <c r="N1597" i="20"/>
  <c r="N1596" i="20"/>
  <c r="N1595" i="20"/>
  <c r="N1594" i="20"/>
  <c r="N1593" i="20"/>
  <c r="N1592" i="20"/>
  <c r="N1591" i="20"/>
  <c r="N1590" i="20"/>
  <c r="N1589" i="20"/>
  <c r="N1588" i="20"/>
  <c r="N1587" i="20"/>
  <c r="N1586" i="20"/>
  <c r="N1585" i="20"/>
  <c r="N1584" i="20"/>
  <c r="N1583" i="20"/>
  <c r="N1582" i="20"/>
  <c r="N1581" i="20"/>
  <c r="N1580" i="20"/>
  <c r="N1579" i="20"/>
  <c r="N1578" i="20"/>
  <c r="N1577" i="20"/>
  <c r="N1576" i="20"/>
  <c r="N1575" i="20"/>
  <c r="N1574" i="20"/>
  <c r="N1573" i="20"/>
  <c r="N1572" i="20"/>
  <c r="N1571" i="20"/>
  <c r="N1570" i="20"/>
  <c r="N1569" i="20"/>
  <c r="N1568" i="20"/>
  <c r="N1567" i="20"/>
  <c r="N1566" i="20"/>
  <c r="N1565" i="20"/>
  <c r="N1564" i="20"/>
  <c r="N1563" i="20"/>
  <c r="N1562" i="20"/>
  <c r="N1561" i="20"/>
  <c r="N1560" i="20"/>
  <c r="N1559" i="20"/>
  <c r="N1558" i="20"/>
  <c r="N1557" i="20"/>
  <c r="N1556" i="20"/>
  <c r="N1555" i="20"/>
  <c r="N1554" i="20"/>
  <c r="N1553" i="20"/>
  <c r="N1552" i="20"/>
  <c r="N1551" i="20"/>
  <c r="N1550" i="20"/>
  <c r="N1549" i="20"/>
  <c r="N1548" i="20"/>
  <c r="N1547" i="20"/>
  <c r="N1546" i="20"/>
  <c r="N1545" i="20"/>
  <c r="N1544" i="20"/>
  <c r="N1543" i="20"/>
  <c r="N1542" i="20"/>
  <c r="N1541" i="20"/>
  <c r="N1540" i="20"/>
  <c r="N1539" i="20"/>
  <c r="N1538" i="20"/>
  <c r="N1537" i="20"/>
  <c r="N1536" i="20"/>
  <c r="N1535" i="20"/>
  <c r="N1534" i="20"/>
  <c r="N1533" i="20"/>
  <c r="N1532" i="20"/>
  <c r="N1531" i="20"/>
  <c r="N1530" i="20"/>
  <c r="N1529" i="20"/>
  <c r="N1528" i="20"/>
  <c r="N1527" i="20"/>
  <c r="N1526" i="20"/>
  <c r="N1525" i="20"/>
  <c r="N1524" i="20"/>
  <c r="N1523" i="20"/>
  <c r="N1522" i="20"/>
  <c r="N1521" i="20"/>
  <c r="N1520" i="20"/>
  <c r="N1519" i="20"/>
  <c r="N1518" i="20"/>
  <c r="N1517" i="20"/>
  <c r="N1516" i="20"/>
  <c r="N1515" i="20"/>
  <c r="N1514" i="20"/>
  <c r="N1513" i="20"/>
  <c r="N1512" i="20"/>
  <c r="N1511" i="20"/>
  <c r="N1510" i="20"/>
  <c r="N1509" i="20"/>
  <c r="N1508" i="20"/>
  <c r="N1507" i="20"/>
  <c r="N1506" i="20"/>
  <c r="N1505" i="20"/>
  <c r="N1504" i="20"/>
  <c r="N1503" i="20"/>
  <c r="N1502" i="20"/>
  <c r="N1501" i="20"/>
  <c r="N1500" i="20"/>
  <c r="N1499" i="20"/>
  <c r="N1498" i="20"/>
  <c r="N1497" i="20"/>
  <c r="N1496" i="20"/>
  <c r="N1495" i="20"/>
  <c r="N1494" i="20"/>
  <c r="N1493" i="20"/>
  <c r="N1492" i="20"/>
  <c r="N1491" i="20"/>
  <c r="N1490" i="20"/>
  <c r="N1489" i="20"/>
  <c r="N1488" i="20"/>
  <c r="N1487" i="20"/>
  <c r="N1486" i="20"/>
  <c r="N1485" i="20"/>
  <c r="N1484" i="20"/>
  <c r="N1483" i="20"/>
  <c r="N1482" i="20"/>
  <c r="N1481" i="20"/>
  <c r="N1480" i="20"/>
  <c r="N1479" i="20"/>
  <c r="N1478" i="20"/>
  <c r="N1477" i="20"/>
  <c r="N1476" i="20"/>
  <c r="N1475" i="20"/>
  <c r="N1474" i="20"/>
  <c r="N1473" i="20"/>
  <c r="N1472" i="20"/>
  <c r="N1471" i="20"/>
  <c r="N1470" i="20"/>
  <c r="N1469" i="20"/>
  <c r="N1468" i="20"/>
  <c r="N1467" i="20"/>
  <c r="N1466" i="20"/>
  <c r="N1465" i="20"/>
  <c r="N1464" i="20"/>
  <c r="N1463" i="20"/>
  <c r="N1462" i="20"/>
  <c r="N1461" i="20"/>
  <c r="N1460" i="20"/>
  <c r="N1459" i="20"/>
  <c r="N1458" i="20"/>
  <c r="N1457" i="20"/>
  <c r="N1456" i="20"/>
  <c r="N1455" i="20"/>
  <c r="N1454" i="20"/>
  <c r="N1453" i="20"/>
  <c r="N1452" i="20"/>
  <c r="N1451" i="20"/>
  <c r="N1450" i="20"/>
  <c r="N1449" i="20"/>
  <c r="N1448" i="20"/>
  <c r="N1447" i="20"/>
  <c r="N1446" i="20"/>
  <c r="N1445" i="20"/>
  <c r="N1444" i="20"/>
  <c r="N1443" i="20"/>
  <c r="N1442" i="20"/>
  <c r="N1441" i="20"/>
  <c r="N1440" i="20"/>
  <c r="N1439" i="20"/>
  <c r="N1438" i="20"/>
  <c r="N1437" i="20"/>
  <c r="N1436" i="20"/>
  <c r="N1435" i="20"/>
  <c r="N1434" i="20"/>
  <c r="N1433" i="20"/>
  <c r="N1432" i="20"/>
  <c r="N1431" i="20"/>
  <c r="N1430" i="20"/>
  <c r="N1429" i="20"/>
  <c r="N1428" i="20"/>
  <c r="N1427" i="20"/>
  <c r="N1426" i="20"/>
  <c r="N1425" i="20"/>
  <c r="N1424" i="20"/>
  <c r="N1423" i="20"/>
  <c r="N1422" i="20"/>
  <c r="N1421" i="20"/>
  <c r="N1420" i="20"/>
  <c r="N1419" i="20"/>
  <c r="N1418" i="20"/>
  <c r="N1417" i="20"/>
  <c r="N1416" i="20"/>
  <c r="N1415" i="20"/>
  <c r="N1414" i="20"/>
  <c r="N1413" i="20"/>
  <c r="N1412" i="20"/>
  <c r="N1411" i="20"/>
  <c r="N1410" i="20"/>
  <c r="N1409" i="20"/>
  <c r="N1408" i="20"/>
  <c r="N1407" i="20"/>
  <c r="N1406" i="20"/>
  <c r="N1405" i="20"/>
  <c r="N1404" i="20"/>
  <c r="N1403" i="20"/>
  <c r="N1402" i="20"/>
  <c r="N1401" i="20"/>
  <c r="N1400" i="20"/>
  <c r="N1399" i="20"/>
  <c r="N1398" i="20"/>
  <c r="N1397" i="20"/>
  <c r="N1396" i="20"/>
  <c r="N1395" i="20"/>
  <c r="N1394" i="20"/>
  <c r="N1393" i="20"/>
  <c r="N1392" i="20"/>
  <c r="N1391" i="20"/>
  <c r="N1390" i="20"/>
  <c r="N1389" i="20"/>
  <c r="N1388" i="20"/>
  <c r="N1387" i="20"/>
  <c r="N1386" i="20"/>
  <c r="N1385" i="20"/>
  <c r="N1384" i="20"/>
  <c r="N1383" i="20"/>
  <c r="N1382" i="20"/>
  <c r="N1381" i="20"/>
  <c r="N1380" i="20"/>
  <c r="N1379" i="20"/>
  <c r="N1378" i="20"/>
  <c r="N1377" i="20"/>
  <c r="N1376" i="20"/>
  <c r="N1375" i="20"/>
  <c r="N1374" i="20"/>
  <c r="N1373" i="20"/>
  <c r="N1372" i="20"/>
  <c r="N1371" i="20"/>
  <c r="N1370" i="20"/>
  <c r="N1369" i="20"/>
  <c r="N1368" i="20"/>
  <c r="N1367" i="20"/>
  <c r="N1366" i="20"/>
  <c r="N1365" i="20"/>
  <c r="N1364" i="20"/>
  <c r="N1363" i="20"/>
  <c r="N1362" i="20"/>
  <c r="N1361" i="20"/>
  <c r="N1360" i="20"/>
  <c r="N1359" i="20"/>
  <c r="N1358" i="20"/>
  <c r="N1357" i="20"/>
  <c r="N1356" i="20"/>
  <c r="N1355" i="20"/>
  <c r="N1354" i="20"/>
  <c r="N1353" i="20"/>
  <c r="N1352" i="20"/>
  <c r="N1351" i="20"/>
  <c r="N1350" i="20"/>
  <c r="N1349" i="20"/>
  <c r="N1348" i="20"/>
  <c r="N1347" i="20"/>
  <c r="N1346" i="20"/>
  <c r="N1345" i="20"/>
  <c r="N1344" i="20"/>
  <c r="N1343" i="20"/>
  <c r="N1342" i="20"/>
  <c r="N1341" i="20"/>
  <c r="N1340" i="20"/>
  <c r="N1339" i="20"/>
  <c r="N1338" i="20"/>
  <c r="N1337" i="20"/>
  <c r="N1336" i="20"/>
  <c r="N1335" i="20"/>
  <c r="N1334" i="20"/>
  <c r="N1333" i="20"/>
  <c r="N1332" i="20"/>
  <c r="N1331" i="20"/>
  <c r="N1330" i="20"/>
  <c r="N1329" i="20"/>
  <c r="N1328" i="20"/>
  <c r="N1327" i="20"/>
  <c r="N1326" i="20"/>
  <c r="N1325" i="20"/>
  <c r="N1324" i="20"/>
  <c r="N1323" i="20"/>
  <c r="N1322" i="20"/>
  <c r="N1321" i="20"/>
  <c r="N1320" i="20"/>
  <c r="N1319" i="20"/>
  <c r="N1318" i="20"/>
  <c r="N1317" i="20"/>
  <c r="N1316" i="20"/>
  <c r="N1315" i="20"/>
  <c r="N1314" i="20"/>
  <c r="N1313" i="20"/>
  <c r="N1312" i="20"/>
  <c r="N1311" i="20"/>
  <c r="N1310" i="20"/>
  <c r="N1309" i="20"/>
  <c r="N1308" i="20"/>
  <c r="N1307" i="20"/>
  <c r="N1306" i="20"/>
  <c r="N1305" i="20"/>
  <c r="N1304" i="20"/>
  <c r="N1303" i="20"/>
  <c r="N1302" i="20"/>
  <c r="N1301" i="20"/>
  <c r="N1300" i="20"/>
  <c r="N1299" i="20"/>
  <c r="N1298" i="20"/>
  <c r="N1297" i="20"/>
  <c r="N1296" i="20"/>
  <c r="N1295" i="20"/>
  <c r="N1294" i="20"/>
  <c r="N1293" i="20"/>
  <c r="N1292" i="20"/>
  <c r="N1291" i="20"/>
  <c r="N1290" i="20"/>
  <c r="N1289" i="20"/>
  <c r="N1288" i="20"/>
  <c r="N1287" i="20"/>
  <c r="N1286" i="20"/>
  <c r="N1285" i="20"/>
  <c r="N1284" i="20"/>
  <c r="N1283" i="20"/>
  <c r="N1282" i="20"/>
  <c r="N1281" i="20"/>
  <c r="N1280" i="20"/>
  <c r="N1279" i="20"/>
  <c r="N1278" i="20"/>
  <c r="N1277" i="20"/>
  <c r="N1276" i="20"/>
  <c r="N1275" i="20"/>
  <c r="N1274" i="20"/>
  <c r="N1273" i="20"/>
  <c r="N1272" i="20"/>
  <c r="N1271" i="20"/>
  <c r="N1270" i="20"/>
  <c r="N1269" i="20"/>
  <c r="N1268" i="20"/>
  <c r="N1267" i="20"/>
  <c r="N1266" i="20"/>
  <c r="N1265" i="20"/>
  <c r="N1264" i="20"/>
  <c r="N1263" i="20"/>
  <c r="N1262" i="20"/>
  <c r="N1261" i="20"/>
  <c r="N1260" i="20"/>
  <c r="N1259" i="20"/>
  <c r="N1258" i="20"/>
  <c r="N1257" i="20"/>
  <c r="N1256" i="20"/>
  <c r="N1255" i="20"/>
  <c r="N1254" i="20"/>
  <c r="N1253" i="20"/>
  <c r="N1252" i="20"/>
  <c r="N1251" i="20"/>
  <c r="N1250" i="20"/>
  <c r="N1249" i="20"/>
  <c r="N1248" i="20"/>
  <c r="N1247" i="20"/>
  <c r="N1246" i="20"/>
  <c r="N1245" i="20"/>
  <c r="N1244" i="20"/>
  <c r="N1243" i="20"/>
  <c r="N1242" i="20"/>
  <c r="N1241" i="20"/>
  <c r="N1240" i="20"/>
  <c r="N1239" i="20"/>
  <c r="N1238" i="20"/>
  <c r="N1237" i="20"/>
  <c r="N1236" i="20"/>
  <c r="N1235" i="20"/>
  <c r="N1234" i="20"/>
  <c r="N1233" i="20"/>
  <c r="N1232" i="20"/>
  <c r="N1231" i="20"/>
  <c r="N1230" i="20"/>
  <c r="N1229" i="20"/>
  <c r="N1228" i="20"/>
  <c r="N1227" i="20"/>
  <c r="N1226" i="20"/>
  <c r="N1225" i="20"/>
  <c r="N1224" i="20"/>
  <c r="N1223" i="20"/>
  <c r="N1222" i="20"/>
  <c r="N1221" i="20"/>
  <c r="N1220" i="20"/>
  <c r="N1219" i="20"/>
  <c r="N1218" i="20"/>
  <c r="N1217" i="20"/>
  <c r="N1216" i="20"/>
  <c r="N1215" i="20"/>
  <c r="N1214" i="20"/>
  <c r="N1213" i="20"/>
  <c r="N1212" i="20"/>
  <c r="N1211" i="20"/>
  <c r="N1210" i="20"/>
  <c r="N1209" i="20"/>
  <c r="N1208" i="20"/>
  <c r="N1207" i="20"/>
  <c r="N1206" i="20"/>
  <c r="N1205" i="20"/>
  <c r="N1204" i="20"/>
  <c r="N1203" i="20"/>
  <c r="N1202" i="20"/>
  <c r="N1201" i="20"/>
  <c r="N1200" i="20"/>
  <c r="N1199" i="20"/>
  <c r="N1198" i="20"/>
  <c r="N1197" i="20"/>
  <c r="N1196" i="20"/>
  <c r="N1195" i="20"/>
  <c r="N1194" i="20"/>
  <c r="N1193" i="20"/>
  <c r="N1192" i="20"/>
  <c r="N1191" i="20"/>
  <c r="N1190" i="20"/>
  <c r="N1189" i="20"/>
  <c r="N1188" i="20"/>
  <c r="N1187" i="20"/>
  <c r="N1186" i="20"/>
  <c r="N1185" i="20"/>
  <c r="N1184" i="20"/>
  <c r="N1183" i="20"/>
  <c r="N1182" i="20"/>
  <c r="N1181" i="20"/>
  <c r="N1180" i="20"/>
  <c r="N1179" i="20"/>
  <c r="N1178" i="20"/>
  <c r="N1177" i="20"/>
  <c r="N1176" i="20"/>
  <c r="N1175" i="20"/>
  <c r="N1174" i="20"/>
  <c r="N1173" i="20"/>
  <c r="N1172" i="20"/>
  <c r="N1171" i="20"/>
  <c r="N1170" i="20"/>
  <c r="N1169" i="20"/>
  <c r="N1168" i="20"/>
  <c r="N1167" i="20"/>
  <c r="N1166" i="20"/>
  <c r="N1165" i="20"/>
  <c r="N1164" i="20"/>
  <c r="N1163" i="20"/>
  <c r="N1162" i="20"/>
  <c r="N1161" i="20"/>
  <c r="N1160" i="20"/>
  <c r="N1159" i="20"/>
  <c r="N1158" i="20"/>
  <c r="N1157" i="20"/>
  <c r="N1156" i="20"/>
  <c r="N1155" i="20"/>
  <c r="N1154" i="20"/>
  <c r="N1153" i="20"/>
  <c r="N1152" i="20"/>
  <c r="N1151" i="20"/>
  <c r="N1150" i="20"/>
  <c r="N1149" i="20"/>
  <c r="N1148" i="20"/>
  <c r="N1147" i="20"/>
  <c r="N1146" i="20"/>
  <c r="N1145" i="20"/>
  <c r="N1144" i="20"/>
  <c r="N1143" i="20"/>
  <c r="N1142" i="20"/>
  <c r="N1141" i="20"/>
  <c r="N1140" i="20"/>
  <c r="N1139" i="20"/>
  <c r="N1138" i="20"/>
  <c r="N1137" i="20"/>
  <c r="N1136" i="20"/>
  <c r="N1135" i="20"/>
  <c r="N1134" i="20"/>
  <c r="N1133" i="20"/>
  <c r="N1132" i="20"/>
  <c r="N1131" i="20"/>
  <c r="N1130" i="20"/>
  <c r="N1129" i="20"/>
  <c r="N1128" i="20"/>
  <c r="N1127" i="20"/>
  <c r="N1126" i="20"/>
  <c r="N1125" i="20"/>
  <c r="N1124" i="20"/>
  <c r="N1123" i="20"/>
  <c r="N1122" i="20"/>
  <c r="N1121" i="20"/>
  <c r="N1120" i="20"/>
  <c r="N1119" i="20"/>
  <c r="N1118" i="20"/>
  <c r="N1117" i="20"/>
  <c r="N1116" i="20"/>
  <c r="N1115" i="20"/>
  <c r="N1114" i="20"/>
  <c r="N1113" i="20"/>
  <c r="N1112" i="20"/>
  <c r="N1111" i="20"/>
  <c r="N1110" i="20"/>
  <c r="N1109" i="20"/>
  <c r="N1108" i="20"/>
  <c r="N1107" i="20"/>
  <c r="N1106" i="20"/>
  <c r="N1105" i="20"/>
  <c r="N1104" i="20"/>
  <c r="N1103" i="20"/>
  <c r="N1102" i="20"/>
  <c r="N1101" i="20"/>
  <c r="N1100" i="20"/>
  <c r="N1099" i="20"/>
  <c r="N1098" i="20"/>
  <c r="N1097" i="20"/>
  <c r="N1096" i="20"/>
  <c r="N1095" i="20"/>
  <c r="N1094" i="20"/>
  <c r="N1093" i="20"/>
  <c r="N1092" i="20"/>
  <c r="N1091" i="20"/>
  <c r="N1090" i="20"/>
  <c r="N1089" i="20"/>
  <c r="N1088" i="20"/>
  <c r="N1087" i="20"/>
  <c r="N1086" i="20"/>
  <c r="N1085" i="20"/>
  <c r="N1084" i="20"/>
  <c r="N1083" i="20"/>
  <c r="N1082" i="20"/>
  <c r="N1081" i="20"/>
  <c r="N1080" i="20"/>
  <c r="N1079" i="20"/>
  <c r="N1078" i="20"/>
  <c r="N1077" i="20"/>
  <c r="N1076" i="20"/>
  <c r="N1075" i="20"/>
  <c r="N1074" i="20"/>
  <c r="N1073" i="20"/>
  <c r="N1072" i="20"/>
  <c r="N1071" i="20"/>
  <c r="N1070" i="20"/>
  <c r="N1069" i="20"/>
  <c r="N1068" i="20"/>
  <c r="N1067" i="20"/>
  <c r="N1066" i="20"/>
  <c r="N1065" i="20"/>
  <c r="N1064" i="20"/>
  <c r="N1063" i="20"/>
  <c r="N1062" i="20"/>
  <c r="N1061" i="20"/>
  <c r="N1060" i="20"/>
  <c r="N1059" i="20"/>
  <c r="N1058" i="20"/>
  <c r="N1057" i="20"/>
  <c r="N1056" i="20"/>
  <c r="N1055" i="20"/>
  <c r="N1054" i="20"/>
  <c r="N1053" i="20"/>
  <c r="N1052" i="20"/>
  <c r="N1051" i="20"/>
  <c r="N1050" i="20"/>
  <c r="N1049" i="20"/>
  <c r="N1048" i="20"/>
  <c r="N1047" i="20"/>
  <c r="N1046" i="20"/>
  <c r="N1045" i="20"/>
  <c r="N1044" i="20"/>
  <c r="N1043" i="20"/>
  <c r="N1042" i="20"/>
  <c r="N1041" i="20"/>
  <c r="N1040" i="20"/>
  <c r="N1039" i="20"/>
  <c r="N1038" i="20"/>
  <c r="N1037" i="20"/>
  <c r="N1036" i="20"/>
  <c r="N1035" i="20"/>
  <c r="N1034" i="20"/>
  <c r="N1033" i="20"/>
  <c r="N1032" i="20"/>
  <c r="N1031" i="20"/>
  <c r="N1030" i="20"/>
  <c r="N1029" i="20"/>
  <c r="N1028" i="20"/>
  <c r="N1027" i="20"/>
  <c r="N1026" i="20"/>
  <c r="N1025" i="20"/>
  <c r="N1024" i="20"/>
  <c r="N1023" i="20"/>
  <c r="N1022" i="20"/>
  <c r="N1021" i="20"/>
  <c r="N997" i="20"/>
  <c r="N996" i="20"/>
  <c r="N995" i="20"/>
  <c r="N994" i="20"/>
  <c r="N993" i="20"/>
  <c r="N992" i="20"/>
  <c r="N991" i="20"/>
  <c r="N990" i="20"/>
  <c r="N989" i="20"/>
  <c r="N988" i="20"/>
  <c r="N987" i="20"/>
  <c r="N986" i="20"/>
  <c r="N985" i="20"/>
  <c r="N984" i="20"/>
  <c r="N983" i="20"/>
  <c r="N982" i="20"/>
  <c r="N981" i="20"/>
  <c r="N980" i="20"/>
  <c r="N979" i="20"/>
  <c r="N978" i="20"/>
  <c r="N977" i="20"/>
  <c r="N976" i="20"/>
  <c r="N975" i="20"/>
  <c r="N974" i="20"/>
  <c r="N973" i="20"/>
  <c r="N972" i="20"/>
  <c r="N971" i="20"/>
  <c r="N970" i="20"/>
  <c r="N969" i="20"/>
  <c r="N968" i="20"/>
  <c r="N967" i="20"/>
  <c r="N966" i="20"/>
  <c r="N965" i="20"/>
  <c r="N964" i="20"/>
  <c r="N963" i="20"/>
  <c r="N962" i="20"/>
  <c r="N961" i="20"/>
  <c r="N960" i="20"/>
  <c r="N959" i="20"/>
  <c r="N958" i="20"/>
  <c r="N957" i="20"/>
  <c r="N956" i="20"/>
  <c r="N955" i="20"/>
  <c r="N954" i="20"/>
  <c r="N953" i="20"/>
  <c r="N952" i="20"/>
  <c r="N951" i="20"/>
  <c r="N950" i="20"/>
  <c r="N949" i="20"/>
  <c r="N948" i="20"/>
  <c r="N947" i="20"/>
  <c r="N946" i="20"/>
  <c r="N945" i="20"/>
  <c r="N944" i="20"/>
  <c r="N943" i="20"/>
  <c r="N942" i="20"/>
  <c r="N941" i="20"/>
  <c r="N940" i="20"/>
  <c r="N939" i="20"/>
  <c r="N938" i="20"/>
  <c r="N937" i="20"/>
  <c r="N936" i="20"/>
  <c r="N935" i="20"/>
  <c r="N934" i="20"/>
  <c r="N933" i="20"/>
  <c r="N932" i="20"/>
  <c r="N931" i="20"/>
  <c r="N930" i="20"/>
  <c r="N929" i="20"/>
  <c r="N928" i="20"/>
  <c r="N927" i="20"/>
  <c r="N926" i="20"/>
  <c r="N925" i="20"/>
  <c r="N924" i="20"/>
  <c r="N923" i="20"/>
  <c r="N922" i="20"/>
  <c r="N921" i="20"/>
  <c r="N920" i="20"/>
  <c r="N919" i="20"/>
  <c r="N918" i="20"/>
  <c r="N917" i="20"/>
  <c r="N916" i="20"/>
  <c r="N915" i="20"/>
  <c r="N914" i="20"/>
  <c r="N913" i="20"/>
  <c r="N912" i="20"/>
  <c r="N911" i="20"/>
  <c r="N910" i="20"/>
  <c r="N909" i="20"/>
  <c r="N908" i="20"/>
  <c r="N907" i="20"/>
  <c r="N906" i="20"/>
  <c r="N905" i="20"/>
  <c r="N904" i="20"/>
  <c r="N903" i="20"/>
  <c r="N902" i="20"/>
  <c r="N901" i="20"/>
  <c r="N900" i="20"/>
  <c r="N899" i="20"/>
  <c r="N898" i="20"/>
  <c r="N897" i="20"/>
  <c r="N896" i="20"/>
  <c r="N895" i="20"/>
  <c r="N894" i="20"/>
  <c r="N893" i="20"/>
  <c r="N892" i="20"/>
  <c r="N891" i="20"/>
  <c r="N890" i="20"/>
  <c r="N889" i="20"/>
  <c r="N888" i="20"/>
  <c r="N887" i="20"/>
  <c r="N886" i="20"/>
  <c r="N885" i="20"/>
  <c r="N884" i="20"/>
  <c r="N883" i="20"/>
  <c r="N882" i="20"/>
  <c r="N881" i="20"/>
  <c r="N880" i="20"/>
  <c r="N879" i="20"/>
  <c r="N878" i="20"/>
  <c r="N877" i="20"/>
  <c r="N876" i="20"/>
  <c r="N875" i="20"/>
  <c r="N874" i="20"/>
  <c r="N873" i="20"/>
  <c r="N872" i="20"/>
  <c r="N871" i="20"/>
  <c r="N870" i="20"/>
  <c r="N869" i="20"/>
  <c r="N868" i="20"/>
  <c r="N867" i="20"/>
  <c r="N866" i="20"/>
  <c r="N865" i="20"/>
  <c r="N864" i="20"/>
  <c r="N863" i="20"/>
  <c r="N862" i="20"/>
  <c r="N861" i="20"/>
  <c r="N860" i="20"/>
  <c r="N859" i="20"/>
  <c r="N779" i="20"/>
  <c r="N778" i="20"/>
  <c r="N777" i="20"/>
  <c r="N776" i="20"/>
  <c r="N775" i="20"/>
  <c r="N774" i="20"/>
  <c r="N773" i="20"/>
  <c r="N772" i="20"/>
  <c r="N771" i="20"/>
  <c r="N770" i="20"/>
  <c r="N769" i="20"/>
  <c r="N768" i="20"/>
  <c r="N767" i="20"/>
  <c r="N766" i="20"/>
  <c r="N765" i="20"/>
  <c r="N764" i="20"/>
  <c r="N763" i="20"/>
  <c r="N762" i="20"/>
  <c r="N761" i="20"/>
  <c r="N760" i="20"/>
  <c r="N759" i="20"/>
  <c r="N758" i="20"/>
  <c r="N757" i="20"/>
  <c r="N756" i="20"/>
  <c r="N755" i="20"/>
  <c r="N754" i="20"/>
  <c r="N753" i="20"/>
  <c r="N752" i="20"/>
  <c r="N751" i="20"/>
  <c r="N750" i="20"/>
  <c r="N749" i="20"/>
  <c r="N748" i="20"/>
  <c r="N747" i="20"/>
  <c r="N746" i="20"/>
  <c r="N745" i="20"/>
  <c r="N744" i="20"/>
  <c r="N743" i="20"/>
  <c r="N742" i="20"/>
  <c r="N741" i="20"/>
  <c r="N711" i="20"/>
  <c r="N710" i="20"/>
  <c r="N709" i="20"/>
  <c r="N708" i="20"/>
  <c r="N707" i="20"/>
  <c r="N706" i="20"/>
  <c r="N705" i="20"/>
  <c r="N704" i="20"/>
  <c r="N703" i="20"/>
  <c r="N702" i="20"/>
  <c r="N701" i="20"/>
  <c r="N700" i="20"/>
  <c r="N699" i="20"/>
  <c r="N698" i="20"/>
  <c r="N697" i="20"/>
  <c r="N696" i="20"/>
  <c r="N695" i="20"/>
  <c r="N694" i="20"/>
  <c r="N659" i="20"/>
  <c r="N658" i="20"/>
  <c r="N657" i="20"/>
  <c r="N656" i="20"/>
  <c r="N655" i="20"/>
  <c r="N654" i="20"/>
  <c r="N653" i="20"/>
  <c r="N652" i="20"/>
  <c r="N651" i="20"/>
  <c r="N650" i="20"/>
  <c r="N649" i="20"/>
  <c r="N648" i="20"/>
  <c r="N647" i="20"/>
  <c r="N646" i="20"/>
  <c r="N645" i="20"/>
  <c r="N644" i="20"/>
  <c r="N643" i="20"/>
  <c r="N642" i="20"/>
  <c r="N641" i="20"/>
  <c r="N640" i="20"/>
  <c r="N639" i="20"/>
  <c r="N638" i="20"/>
  <c r="N637" i="20"/>
  <c r="N636" i="20"/>
  <c r="N635" i="20"/>
  <c r="N634" i="20"/>
  <c r="N633" i="20"/>
  <c r="N632" i="20"/>
  <c r="N631" i="20"/>
  <c r="N630" i="20"/>
  <c r="N629" i="20"/>
  <c r="N628" i="20"/>
  <c r="N627" i="20"/>
  <c r="N626" i="20"/>
  <c r="N625" i="20"/>
  <c r="N624" i="20"/>
  <c r="N623" i="20"/>
  <c r="N622" i="20"/>
  <c r="N621" i="20"/>
  <c r="N620" i="20"/>
  <c r="N619" i="20"/>
  <c r="N618" i="20"/>
  <c r="N617" i="20"/>
  <c r="N616" i="20"/>
  <c r="N615" i="20"/>
  <c r="N614" i="20"/>
  <c r="N613" i="20"/>
  <c r="N612" i="20"/>
  <c r="N611" i="20"/>
  <c r="N610" i="20"/>
  <c r="N609" i="20"/>
  <c r="N608" i="20"/>
  <c r="N607" i="20"/>
  <c r="N606" i="20"/>
  <c r="N605" i="20"/>
  <c r="N604" i="20"/>
  <c r="N421" i="20"/>
  <c r="N420" i="20"/>
  <c r="N419" i="20"/>
  <c r="N418" i="20"/>
  <c r="N417" i="20"/>
  <c r="N416" i="20"/>
  <c r="N415" i="20"/>
  <c r="N414" i="20"/>
  <c r="N413" i="20"/>
  <c r="N364" i="20"/>
  <c r="N363" i="20"/>
  <c r="N362" i="20"/>
  <c r="N361" i="20"/>
  <c r="N360" i="20"/>
  <c r="N359" i="20"/>
  <c r="N358" i="20"/>
  <c r="N357" i="20"/>
  <c r="N343" i="20"/>
  <c r="N342" i="20"/>
  <c r="N341" i="20"/>
  <c r="N340" i="20"/>
  <c r="N339" i="20"/>
  <c r="N338" i="20"/>
  <c r="N337" i="20"/>
  <c r="N336" i="20"/>
  <c r="N335" i="20"/>
  <c r="N334" i="20"/>
  <c r="N333" i="20"/>
  <c r="N332" i="20"/>
  <c r="N331" i="20"/>
  <c r="N330" i="20"/>
  <c r="N236" i="20"/>
  <c r="N235" i="20"/>
  <c r="N234" i="20"/>
  <c r="N233" i="20"/>
  <c r="N232" i="20"/>
  <c r="N231" i="20"/>
  <c r="N230" i="20"/>
  <c r="N229" i="20"/>
  <c r="N228" i="20"/>
  <c r="N227" i="20"/>
  <c r="N226" i="20"/>
  <c r="N225" i="20"/>
  <c r="N224" i="20"/>
  <c r="N223" i="20"/>
  <c r="N222" i="20"/>
  <c r="N221" i="20"/>
  <c r="N220" i="20"/>
  <c r="N219" i="20"/>
  <c r="N218" i="20"/>
  <c r="N217" i="20"/>
  <c r="N192" i="20"/>
  <c r="N191" i="20"/>
  <c r="N190" i="20"/>
  <c r="N189" i="20"/>
  <c r="N188" i="20"/>
  <c r="N142" i="20"/>
  <c r="N141" i="20"/>
  <c r="N140" i="20"/>
  <c r="N139" i="20"/>
  <c r="N138" i="20"/>
  <c r="N137" i="20"/>
  <c r="N136" i="20"/>
  <c r="N135" i="20"/>
  <c r="N134" i="20"/>
  <c r="N133" i="20"/>
  <c r="N132" i="20"/>
  <c r="N131" i="20"/>
  <c r="N130" i="20"/>
  <c r="N129" i="20"/>
  <c r="N128" i="20"/>
  <c r="N127" i="20"/>
  <c r="N126" i="20"/>
  <c r="N125" i="20"/>
  <c r="N124" i="20"/>
  <c r="N123" i="20"/>
  <c r="N122" i="20"/>
  <c r="N121" i="20"/>
  <c r="N120" i="20"/>
  <c r="N119" i="20"/>
  <c r="N118" i="20"/>
  <c r="N100" i="20"/>
  <c r="N99" i="20"/>
  <c r="N98" i="20"/>
  <c r="N97" i="20"/>
  <c r="N96" i="20"/>
  <c r="N95" i="20"/>
  <c r="N94" i="20"/>
  <c r="N93" i="20"/>
  <c r="N92" i="20"/>
  <c r="N91" i="20"/>
  <c r="N90" i="20"/>
  <c r="N89" i="20"/>
  <c r="N88" i="20"/>
  <c r="N87" i="20"/>
  <c r="N86" i="20"/>
  <c r="N85" i="20"/>
  <c r="N84" i="20"/>
  <c r="N83" i="20"/>
  <c r="N82" i="20"/>
  <c r="N81" i="20"/>
  <c r="N80" i="20"/>
  <c r="N79" i="20"/>
  <c r="N78" i="20"/>
  <c r="N77" i="20"/>
  <c r="N76" i="20"/>
  <c r="N75" i="20"/>
  <c r="N74" i="20"/>
  <c r="N73" i="20"/>
  <c r="N72" i="20"/>
  <c r="N71" i="20"/>
  <c r="N70" i="20"/>
  <c r="N69" i="20"/>
  <c r="N68" i="20"/>
  <c r="M2121" i="20"/>
  <c r="M2122" i="20"/>
  <c r="M2123" i="20"/>
  <c r="M2124" i="20"/>
  <c r="M2125" i="20"/>
  <c r="M2126" i="20"/>
  <c r="M2127" i="20"/>
  <c r="M2128" i="20"/>
  <c r="M2129" i="20"/>
  <c r="M2130" i="20"/>
  <c r="M2131" i="20"/>
  <c r="M2132" i="20"/>
  <c r="M2133" i="20"/>
  <c r="M2134" i="20"/>
  <c r="M2135" i="20"/>
  <c r="M2136" i="20"/>
  <c r="M2137" i="20"/>
  <c r="M2138" i="20"/>
  <c r="M2139" i="20"/>
  <c r="M2140" i="20"/>
  <c r="M2141" i="20"/>
  <c r="M2142" i="20"/>
  <c r="M2143" i="20"/>
  <c r="M2144" i="20"/>
  <c r="M2145" i="20"/>
  <c r="M2146" i="20"/>
  <c r="M2147" i="20"/>
  <c r="M2148" i="20"/>
  <c r="M2149" i="20"/>
  <c r="M2150" i="20"/>
  <c r="M2151" i="20"/>
  <c r="M2152" i="20"/>
  <c r="M2153" i="20"/>
  <c r="M2154" i="20"/>
  <c r="M2155" i="20"/>
  <c r="M2156" i="20"/>
  <c r="M2157" i="20"/>
  <c r="M2158" i="20"/>
  <c r="M2159" i="20"/>
  <c r="M2160" i="20"/>
  <c r="M2161" i="20"/>
  <c r="M2162" i="20"/>
  <c r="M2163" i="20"/>
  <c r="M2164" i="20"/>
  <c r="M2165" i="20"/>
  <c r="M2166" i="20"/>
  <c r="M2167" i="20"/>
  <c r="M2168" i="20"/>
  <c r="M2169" i="20"/>
  <c r="M2170" i="20"/>
  <c r="M2171" i="20"/>
  <c r="M2172" i="20"/>
  <c r="M2173" i="20"/>
  <c r="M2174" i="20"/>
  <c r="M2175" i="20"/>
  <c r="M2176" i="20"/>
  <c r="M2177" i="20"/>
  <c r="M2178" i="20"/>
  <c r="M2179" i="20"/>
  <c r="M2180" i="20"/>
  <c r="M2181" i="20"/>
  <c r="M2182" i="20"/>
  <c r="M2183" i="20"/>
  <c r="M2184" i="20"/>
  <c r="M2185" i="20"/>
  <c r="M2186" i="20"/>
  <c r="M2187" i="20"/>
  <c r="M2188" i="20"/>
  <c r="M2189" i="20"/>
  <c r="M2190" i="20"/>
  <c r="M2191" i="20"/>
  <c r="M2192" i="20"/>
  <c r="M2193" i="20"/>
  <c r="M2194" i="20"/>
  <c r="M2195" i="20"/>
  <c r="M2196" i="20"/>
  <c r="M2197" i="20"/>
  <c r="M2198" i="20"/>
  <c r="M2199" i="20"/>
  <c r="M2200" i="20"/>
  <c r="M2201" i="20"/>
  <c r="M2202" i="20"/>
  <c r="M2203" i="20"/>
  <c r="M2204" i="20"/>
  <c r="M2205" i="20"/>
  <c r="M2206" i="20"/>
  <c r="M2207" i="20"/>
  <c r="M2208" i="20"/>
  <c r="M2209" i="20"/>
  <c r="M2210" i="20"/>
  <c r="M2211" i="20"/>
  <c r="M2212" i="20"/>
  <c r="M2213" i="20"/>
  <c r="M2214" i="20"/>
  <c r="M2215" i="20"/>
  <c r="M2216" i="20"/>
  <c r="M2217" i="20"/>
  <c r="M2218" i="20"/>
  <c r="M2219" i="20"/>
  <c r="M2220" i="20"/>
  <c r="M2221" i="20"/>
  <c r="M2222" i="20"/>
  <c r="M2223" i="20"/>
  <c r="M2224" i="20"/>
  <c r="M2225" i="20"/>
  <c r="M2226" i="20"/>
  <c r="M2227" i="20"/>
  <c r="M2228" i="20"/>
  <c r="M2229" i="20"/>
  <c r="M2230" i="20"/>
  <c r="M2231" i="20"/>
  <c r="M2232" i="20"/>
  <c r="M2233" i="20"/>
  <c r="M2234" i="20"/>
  <c r="M2235" i="20"/>
  <c r="M2236" i="20"/>
  <c r="M2237" i="20"/>
  <c r="M2238" i="20"/>
  <c r="M2239" i="20"/>
  <c r="M2240" i="20"/>
  <c r="M2241" i="20"/>
  <c r="M2242" i="20"/>
  <c r="M2243" i="20"/>
  <c r="M2244" i="20"/>
  <c r="M2245" i="20"/>
  <c r="M2246" i="20"/>
  <c r="M2247" i="20"/>
  <c r="M2248" i="20"/>
  <c r="M2249" i="20"/>
  <c r="M2250" i="20"/>
  <c r="M2251" i="20"/>
  <c r="M2252" i="20"/>
  <c r="M2253" i="20"/>
  <c r="M2254" i="20"/>
  <c r="M2255" i="20"/>
  <c r="M2256" i="20"/>
  <c r="M2257" i="20"/>
  <c r="M2258" i="20"/>
  <c r="M2259" i="20"/>
  <c r="M2260" i="20"/>
  <c r="M2261" i="20"/>
  <c r="M2262" i="20"/>
  <c r="M2263" i="20"/>
  <c r="M2264" i="20"/>
  <c r="M2265" i="20"/>
  <c r="M2266" i="20"/>
  <c r="M2267" i="20"/>
  <c r="M2268" i="20"/>
  <c r="M2269" i="20"/>
  <c r="M2270" i="20"/>
  <c r="M2271" i="20"/>
  <c r="M2272" i="20"/>
  <c r="M2273" i="20"/>
  <c r="M2274" i="20"/>
  <c r="M2275" i="20"/>
  <c r="M2276" i="20"/>
  <c r="M2277" i="20"/>
  <c r="M2278" i="20"/>
  <c r="M2279" i="20"/>
  <c r="M2280" i="20"/>
  <c r="M2281" i="20"/>
  <c r="M2282" i="20"/>
  <c r="M2283" i="20"/>
  <c r="M2284" i="20"/>
  <c r="M2285" i="20"/>
  <c r="M2286" i="20"/>
  <c r="M2287" i="20"/>
  <c r="M2288" i="20"/>
  <c r="M2289" i="20"/>
  <c r="M2290" i="20"/>
  <c r="M2291" i="20"/>
  <c r="M2292" i="20"/>
  <c r="M2293" i="20"/>
  <c r="M2294" i="20"/>
  <c r="M2295" i="20"/>
  <c r="M2296" i="20"/>
  <c r="M2297" i="20"/>
  <c r="M2298" i="20"/>
  <c r="M2299" i="20"/>
  <c r="M2300" i="20"/>
  <c r="M2301" i="20"/>
  <c r="M2302" i="20"/>
  <c r="M2303" i="20"/>
  <c r="M2304" i="20"/>
  <c r="M2305" i="20"/>
  <c r="M2306" i="20"/>
  <c r="M2307" i="20"/>
  <c r="M2308" i="20"/>
  <c r="M2309" i="20"/>
  <c r="M2310" i="20"/>
  <c r="M2311" i="20"/>
  <c r="M2312" i="20"/>
  <c r="M2313" i="20"/>
  <c r="M2314" i="20"/>
  <c r="M2315" i="20"/>
  <c r="M2316" i="20"/>
  <c r="M2317" i="20"/>
  <c r="M2318" i="20"/>
  <c r="M2319" i="20"/>
  <c r="M2320" i="20"/>
  <c r="M2321" i="20"/>
  <c r="M2322" i="20"/>
  <c r="M2323" i="20"/>
  <c r="M2324" i="20"/>
  <c r="M2325" i="20"/>
  <c r="M2326" i="20"/>
  <c r="M2327" i="20"/>
  <c r="M2328" i="20"/>
  <c r="M2329" i="20"/>
  <c r="M2330" i="20"/>
  <c r="M2331" i="20"/>
  <c r="M2332" i="20"/>
  <c r="M2333" i="20"/>
  <c r="M2334" i="20"/>
  <c r="M2335" i="20"/>
  <c r="M2336" i="20"/>
  <c r="M2337" i="20"/>
  <c r="M2338" i="20"/>
  <c r="M2339" i="20"/>
  <c r="M2340" i="20"/>
  <c r="M2341" i="20"/>
  <c r="M2342" i="20"/>
  <c r="M2343" i="20"/>
  <c r="M2344" i="20"/>
  <c r="M2345" i="20"/>
  <c r="M2346" i="20"/>
  <c r="M2347" i="20"/>
  <c r="M2348" i="20"/>
  <c r="M2349" i="20"/>
  <c r="M2350" i="20"/>
  <c r="M2351" i="20"/>
  <c r="M2352" i="20"/>
  <c r="M2353" i="20"/>
  <c r="M2354" i="20"/>
  <c r="M2355" i="20"/>
  <c r="M2356" i="20"/>
  <c r="M2357" i="20"/>
  <c r="M2358" i="20"/>
  <c r="M2359" i="20"/>
  <c r="M2360" i="20"/>
  <c r="M2361" i="20"/>
  <c r="M2362" i="20"/>
  <c r="M2363" i="20"/>
  <c r="M2364" i="20"/>
  <c r="M2365" i="20"/>
  <c r="M2366" i="20"/>
  <c r="M2367" i="20"/>
  <c r="M2368" i="20"/>
  <c r="M2369" i="20"/>
  <c r="M2370" i="20"/>
  <c r="M2371" i="20"/>
  <c r="M2372" i="20"/>
  <c r="M2373" i="20"/>
  <c r="M2374" i="20"/>
  <c r="M2375" i="20"/>
  <c r="M2376" i="20"/>
  <c r="M2377" i="20"/>
  <c r="M2378" i="20"/>
  <c r="M2379" i="20"/>
  <c r="M2380" i="20"/>
  <c r="M2381" i="20"/>
  <c r="M2382" i="20"/>
  <c r="M2383" i="20"/>
  <c r="M2384" i="20"/>
  <c r="M2385" i="20"/>
  <c r="M2386" i="20"/>
  <c r="M2387" i="20"/>
  <c r="M2388" i="20"/>
  <c r="M2389" i="20"/>
  <c r="M2390" i="20"/>
  <c r="M2391" i="20"/>
  <c r="M2392" i="20"/>
  <c r="M2393" i="20"/>
  <c r="M2394" i="20"/>
  <c r="M2395" i="20"/>
  <c r="M2396" i="20"/>
  <c r="M2397" i="20"/>
  <c r="M2398" i="20"/>
  <c r="M2399" i="20"/>
  <c r="M2400" i="20"/>
  <c r="M2401" i="20"/>
  <c r="M2402" i="20"/>
  <c r="M2403" i="20"/>
  <c r="M2404" i="20"/>
  <c r="M2405" i="20"/>
  <c r="M2406" i="20"/>
  <c r="M2407" i="20"/>
  <c r="M2408" i="20"/>
  <c r="M2409" i="20"/>
  <c r="M2410" i="20"/>
  <c r="M2411" i="20"/>
  <c r="M2412" i="20"/>
  <c r="M2413" i="20"/>
  <c r="M2414" i="20"/>
  <c r="M2415" i="20"/>
  <c r="M2416" i="20"/>
  <c r="M2417" i="20"/>
  <c r="M2418" i="20"/>
  <c r="M2419" i="20"/>
  <c r="M2420" i="20"/>
  <c r="M2421" i="20"/>
  <c r="M2422" i="20"/>
  <c r="M2423" i="20"/>
  <c r="M2424" i="20"/>
  <c r="M2425" i="20"/>
  <c r="M2426" i="20"/>
  <c r="M2427" i="20"/>
  <c r="M2428" i="20"/>
  <c r="M2429" i="20"/>
  <c r="M2430" i="20"/>
  <c r="M2431" i="20"/>
  <c r="M2432" i="20"/>
  <c r="M2433" i="20"/>
  <c r="M2434" i="20"/>
  <c r="M2435" i="20"/>
  <c r="M2436" i="20"/>
  <c r="M2437" i="20"/>
  <c r="M2438" i="20"/>
  <c r="M2439" i="20"/>
  <c r="M2440" i="20"/>
  <c r="M2441" i="20"/>
  <c r="M2442" i="20"/>
  <c r="M2443" i="20"/>
  <c r="M2444" i="20"/>
  <c r="M2445" i="20"/>
  <c r="M2446" i="20"/>
  <c r="M2447" i="20"/>
  <c r="M2448" i="20"/>
  <c r="M2449" i="20"/>
  <c r="M2450" i="20"/>
  <c r="M2451" i="20"/>
  <c r="M2452" i="20"/>
  <c r="M2453" i="20"/>
  <c r="M2454" i="20"/>
  <c r="M2455" i="20"/>
  <c r="M2456" i="20"/>
  <c r="M2457" i="20"/>
  <c r="M2458" i="20"/>
  <c r="M2459" i="20"/>
  <c r="M2460" i="20"/>
  <c r="M2461" i="20"/>
  <c r="M2462" i="20"/>
  <c r="M2463" i="20"/>
  <c r="M2464" i="20"/>
  <c r="M2465" i="20"/>
  <c r="M2466" i="20"/>
  <c r="M2467" i="20"/>
  <c r="M2468" i="20"/>
  <c r="M2469" i="20"/>
  <c r="M2470" i="20"/>
  <c r="M2471" i="20"/>
  <c r="M2472" i="20"/>
  <c r="M2473" i="20"/>
  <c r="M2474" i="20"/>
  <c r="M2475" i="20"/>
  <c r="M2476" i="20"/>
  <c r="M2477" i="20"/>
  <c r="M2478" i="20"/>
  <c r="M2479" i="20"/>
  <c r="M2480" i="20"/>
  <c r="M2481" i="20"/>
  <c r="M2482" i="20"/>
  <c r="M2483" i="20"/>
  <c r="M2484" i="20"/>
  <c r="M2485" i="20"/>
  <c r="M2486" i="20"/>
  <c r="M2487" i="20"/>
  <c r="M2488" i="20"/>
  <c r="M2489" i="20"/>
  <c r="M2490" i="20"/>
  <c r="M2491" i="20"/>
  <c r="M2492" i="20"/>
  <c r="M2493" i="20"/>
  <c r="M2494" i="20"/>
  <c r="M2495" i="20"/>
  <c r="M2496" i="20"/>
  <c r="M2497" i="20"/>
  <c r="M2498" i="20"/>
  <c r="M2499" i="20"/>
  <c r="M2500" i="20"/>
  <c r="M2501" i="20"/>
  <c r="M2502" i="20"/>
  <c r="M2503" i="20"/>
  <c r="M2504" i="20"/>
  <c r="M2505" i="20"/>
  <c r="M2506" i="20"/>
  <c r="M2507" i="20"/>
  <c r="M2508" i="20"/>
  <c r="M2509" i="20"/>
  <c r="M2510" i="20"/>
  <c r="M2511" i="20"/>
  <c r="M2512" i="20"/>
  <c r="M2513" i="20"/>
  <c r="M2514" i="20"/>
  <c r="M2515" i="20"/>
  <c r="M2516" i="20"/>
  <c r="M2517" i="20"/>
  <c r="M2518" i="20"/>
  <c r="M2519" i="20"/>
  <c r="M2520" i="20"/>
  <c r="M2521" i="20"/>
  <c r="M2522" i="20"/>
  <c r="M2523" i="20"/>
  <c r="M2524" i="20"/>
  <c r="M2525" i="20"/>
  <c r="M2526" i="20"/>
  <c r="M2527" i="20"/>
  <c r="M2528" i="20"/>
  <c r="M2529" i="20"/>
  <c r="M2530" i="20"/>
  <c r="M2531" i="20"/>
  <c r="M2532" i="20"/>
  <c r="M2533" i="20"/>
  <c r="M2534" i="20"/>
  <c r="M2535" i="20"/>
  <c r="M2536" i="20"/>
  <c r="M2537" i="20"/>
  <c r="M2538" i="20"/>
  <c r="M2539" i="20"/>
  <c r="M2540" i="20"/>
  <c r="M2541" i="20"/>
  <c r="M2542" i="20"/>
  <c r="M2543" i="20"/>
  <c r="M2544" i="20"/>
  <c r="M2545" i="20"/>
  <c r="M2546" i="20"/>
  <c r="M2547" i="20"/>
  <c r="M2548" i="20"/>
  <c r="M2549" i="20"/>
  <c r="M2550" i="20"/>
  <c r="M2551" i="20"/>
  <c r="M2552" i="20"/>
  <c r="M2553" i="20"/>
  <c r="M2554" i="20"/>
  <c r="M2555" i="20"/>
  <c r="M2556" i="20"/>
  <c r="M2557" i="20"/>
  <c r="M2558" i="20"/>
  <c r="M2559" i="20"/>
  <c r="M2560" i="20"/>
  <c r="M2561" i="20"/>
  <c r="M2562" i="20"/>
  <c r="M2563" i="20"/>
  <c r="M2564" i="20"/>
  <c r="M2565" i="20"/>
  <c r="M2566" i="20"/>
  <c r="M2567" i="20"/>
  <c r="M2568" i="20"/>
  <c r="M2569" i="20"/>
  <c r="M2570" i="20"/>
  <c r="M2571" i="20"/>
  <c r="M2572" i="20"/>
  <c r="M2573" i="20"/>
  <c r="M2574" i="20"/>
  <c r="M2575" i="20"/>
  <c r="M2576" i="20"/>
  <c r="M2577" i="20"/>
  <c r="M2578" i="20"/>
  <c r="M2579" i="20"/>
  <c r="M2580" i="20"/>
  <c r="M2581" i="20"/>
  <c r="M2582" i="20"/>
  <c r="M2583" i="20"/>
  <c r="M2584" i="20"/>
  <c r="M2585" i="20"/>
  <c r="M2586" i="20"/>
  <c r="M2587" i="20"/>
  <c r="M2588" i="20"/>
  <c r="M2589" i="20"/>
  <c r="M2590" i="20"/>
  <c r="M2591" i="20"/>
  <c r="M2592" i="20"/>
  <c r="M2593" i="20"/>
  <c r="M2594" i="20"/>
  <c r="M2595" i="20"/>
  <c r="M2596" i="20"/>
  <c r="M2597" i="20"/>
  <c r="M2598" i="20"/>
  <c r="M2599" i="20"/>
  <c r="M2600" i="20"/>
  <c r="M2601" i="20"/>
  <c r="M2602" i="20"/>
  <c r="M2603" i="20"/>
  <c r="M2604" i="20"/>
  <c r="M2605" i="20"/>
  <c r="M2606" i="20"/>
  <c r="M2607" i="20"/>
  <c r="M2608" i="20"/>
  <c r="M2609" i="20"/>
  <c r="M2610" i="20"/>
  <c r="M2611" i="20"/>
  <c r="M2612" i="20"/>
  <c r="M2613" i="20"/>
  <c r="M2614" i="20"/>
  <c r="M2615" i="20"/>
  <c r="M2616" i="20"/>
  <c r="M2617" i="20"/>
  <c r="M2618" i="20"/>
  <c r="M2619" i="20"/>
  <c r="M2620" i="20"/>
  <c r="M2621" i="20"/>
  <c r="M2622" i="20"/>
  <c r="M2623" i="20"/>
  <c r="M2624" i="20"/>
  <c r="M2625" i="20"/>
  <c r="M2626" i="20"/>
  <c r="M2627" i="20"/>
  <c r="M2628" i="20"/>
  <c r="M2629" i="20"/>
  <c r="M2630" i="20"/>
  <c r="M2631" i="20"/>
  <c r="M2632" i="20"/>
  <c r="M2633" i="20"/>
  <c r="M2634" i="20"/>
  <c r="M2635" i="20"/>
  <c r="M2636" i="20"/>
  <c r="M2637" i="20"/>
  <c r="M2638" i="20"/>
  <c r="M2639" i="20"/>
  <c r="M2640" i="20"/>
  <c r="M2641" i="20"/>
  <c r="M2642" i="20"/>
  <c r="M2643" i="20"/>
  <c r="M2644" i="20"/>
  <c r="M2645" i="20"/>
  <c r="M2646" i="20"/>
  <c r="M2647" i="20"/>
  <c r="M2648" i="20"/>
  <c r="M2649" i="20"/>
  <c r="M2650" i="20"/>
  <c r="M2651" i="20"/>
  <c r="M2652" i="20"/>
  <c r="M2653" i="20"/>
  <c r="M2654" i="20"/>
  <c r="M2655" i="20"/>
  <c r="M2656" i="20"/>
  <c r="M2657" i="20"/>
  <c r="M2658" i="20"/>
  <c r="M2659" i="20"/>
  <c r="M2660" i="20"/>
  <c r="M2661" i="20"/>
  <c r="M2662" i="20"/>
  <c r="M2663" i="20"/>
  <c r="M2664" i="20"/>
  <c r="M2665" i="20"/>
  <c r="M2666" i="20"/>
  <c r="M2667" i="20"/>
  <c r="M2668" i="20"/>
  <c r="M2669" i="20"/>
  <c r="M2670" i="20"/>
  <c r="M2671" i="20"/>
  <c r="M2672" i="20"/>
  <c r="M2673" i="20"/>
  <c r="M2674" i="20"/>
  <c r="M2675" i="20"/>
  <c r="M2676" i="20"/>
  <c r="M2677" i="20"/>
  <c r="M2678" i="20"/>
  <c r="M2679" i="20"/>
  <c r="M2680" i="20"/>
  <c r="M2681" i="20"/>
  <c r="M2682" i="20"/>
  <c r="M2683" i="20"/>
  <c r="M2684" i="20"/>
  <c r="M2685" i="20"/>
  <c r="M2686" i="20"/>
  <c r="M2687" i="20"/>
  <c r="M2688" i="20"/>
  <c r="M2689" i="20"/>
  <c r="M2690" i="20"/>
  <c r="M2691" i="20"/>
  <c r="M2692" i="20"/>
  <c r="M2693" i="20"/>
  <c r="M2694" i="20"/>
  <c r="M2695" i="20"/>
  <c r="M2696" i="20"/>
  <c r="M2697" i="20"/>
  <c r="M2698" i="20"/>
  <c r="M2699" i="20"/>
  <c r="M2700" i="20"/>
  <c r="M2701" i="20"/>
  <c r="M2702" i="20"/>
  <c r="M2703" i="20"/>
  <c r="M2704" i="20"/>
  <c r="M2705" i="20"/>
  <c r="M2706" i="20"/>
  <c r="M2707" i="20"/>
  <c r="M2708" i="20"/>
  <c r="M2709" i="20"/>
  <c r="M2710" i="20"/>
  <c r="M2711" i="20"/>
  <c r="M2712" i="20"/>
  <c r="M2713" i="20"/>
  <c r="M2714" i="20"/>
  <c r="M2715" i="20"/>
  <c r="M2716" i="20"/>
  <c r="M2717" i="20"/>
  <c r="M2718" i="20"/>
  <c r="M2719" i="20"/>
  <c r="M2720" i="20"/>
  <c r="M2721" i="20"/>
  <c r="M2722" i="20"/>
  <c r="M2723" i="20"/>
  <c r="M2724" i="20"/>
  <c r="M2725" i="20"/>
  <c r="M2726" i="20"/>
  <c r="M2727" i="20"/>
  <c r="M2728" i="20"/>
  <c r="M2729" i="20"/>
  <c r="M2730" i="20"/>
  <c r="M2731" i="20"/>
  <c r="M2732" i="20"/>
  <c r="M2733" i="20"/>
  <c r="M2734" i="20"/>
  <c r="M2735" i="20"/>
  <c r="M2736" i="20"/>
  <c r="M2737" i="20"/>
  <c r="M2738" i="20"/>
  <c r="M2739" i="20"/>
  <c r="M2740" i="20"/>
  <c r="M2741" i="20"/>
  <c r="M2742" i="20"/>
  <c r="M2743" i="20"/>
  <c r="M2744" i="20"/>
  <c r="M2745" i="20"/>
  <c r="M2746" i="20"/>
  <c r="M2747" i="20"/>
  <c r="M2748" i="20"/>
  <c r="M2749" i="20"/>
  <c r="M2750" i="20"/>
  <c r="M2751" i="20"/>
  <c r="M2752" i="20"/>
  <c r="M2753" i="20"/>
  <c r="M2754" i="20"/>
  <c r="M2755" i="20"/>
  <c r="M2756" i="20"/>
  <c r="M2757" i="20"/>
  <c r="M2758" i="20"/>
  <c r="M2759" i="20"/>
  <c r="M2760" i="20"/>
  <c r="M2761" i="20"/>
  <c r="M2762" i="20"/>
  <c r="M2763" i="20"/>
  <c r="M2764" i="20"/>
  <c r="M2765" i="20"/>
  <c r="M2766" i="20"/>
  <c r="M2767" i="20"/>
  <c r="M2768" i="20"/>
  <c r="M2769" i="20"/>
  <c r="M2770" i="20"/>
  <c r="M2771" i="20"/>
  <c r="M2772" i="20"/>
  <c r="M2773" i="20"/>
  <c r="M2774" i="20"/>
  <c r="M2775" i="20"/>
  <c r="M2776" i="20"/>
  <c r="M2777" i="20"/>
  <c r="M2778" i="20"/>
  <c r="M2779" i="20"/>
  <c r="M2780" i="20"/>
  <c r="M2781" i="20"/>
  <c r="M2782" i="20"/>
  <c r="M2783" i="20"/>
  <c r="M2784" i="20"/>
  <c r="M2785" i="20"/>
  <c r="M2786" i="20"/>
  <c r="M2787" i="20"/>
  <c r="M2788" i="20"/>
  <c r="M2789" i="20"/>
  <c r="M2790" i="20"/>
  <c r="M2791" i="20"/>
  <c r="M2792" i="20"/>
  <c r="M2793" i="20"/>
  <c r="M2794" i="20"/>
  <c r="M2795" i="20"/>
  <c r="M2796" i="20"/>
  <c r="M2797" i="20"/>
  <c r="M2798" i="20"/>
  <c r="M2799" i="20"/>
  <c r="M2800" i="20"/>
  <c r="M2801" i="20"/>
  <c r="M2802" i="20"/>
  <c r="M2803" i="20"/>
  <c r="M2804" i="20"/>
  <c r="M2805" i="20"/>
  <c r="M2806" i="20"/>
  <c r="M2807" i="20"/>
  <c r="M2808" i="20"/>
  <c r="M2809" i="20"/>
  <c r="M2810" i="20"/>
  <c r="M2811" i="20"/>
  <c r="M2812" i="20"/>
  <c r="M2813" i="20"/>
  <c r="M2814" i="20"/>
  <c r="M2815" i="20"/>
  <c r="M2816" i="20"/>
  <c r="M2817" i="20"/>
  <c r="M2818" i="20"/>
  <c r="M2819" i="20"/>
  <c r="M2820" i="20"/>
  <c r="M2821" i="20"/>
  <c r="M2822" i="20"/>
  <c r="M2823" i="20"/>
  <c r="M2824" i="20"/>
  <c r="M2825" i="20"/>
  <c r="M2826" i="20"/>
  <c r="M2827" i="20"/>
  <c r="M2828" i="20"/>
  <c r="M2829" i="20"/>
  <c r="M2830" i="20"/>
  <c r="M2831" i="20"/>
  <c r="M2832" i="20"/>
  <c r="M2833" i="20"/>
  <c r="M2834" i="20"/>
  <c r="M2835" i="20"/>
  <c r="M2836" i="20"/>
  <c r="M2837" i="20"/>
  <c r="M2838" i="20"/>
  <c r="M2839" i="20"/>
  <c r="M2840" i="20"/>
  <c r="M2841" i="20"/>
  <c r="M2842" i="20"/>
  <c r="M2843" i="20"/>
  <c r="M2844" i="20"/>
  <c r="M2845" i="20"/>
  <c r="M2846" i="20"/>
  <c r="M2847" i="20"/>
  <c r="M2848" i="20"/>
  <c r="M2849" i="20"/>
  <c r="M2850" i="20"/>
  <c r="M2851" i="20"/>
  <c r="M2852" i="20"/>
  <c r="M2853" i="20"/>
  <c r="M2854" i="20"/>
  <c r="M2855" i="20"/>
  <c r="M2856" i="20"/>
  <c r="M2857" i="20"/>
  <c r="M2858" i="20"/>
  <c r="M2859" i="20"/>
  <c r="M2860" i="20"/>
  <c r="M2861" i="20"/>
  <c r="M2862" i="20"/>
  <c r="M2863" i="20"/>
  <c r="M2864" i="20"/>
  <c r="M2865" i="20"/>
  <c r="M2866" i="20"/>
  <c r="M2867" i="20"/>
  <c r="M2868" i="20"/>
  <c r="M2869" i="20"/>
  <c r="M2870" i="20"/>
  <c r="M2871" i="20"/>
  <c r="M2872" i="20"/>
  <c r="M2873" i="20"/>
  <c r="M2874" i="20"/>
  <c r="M2875" i="20"/>
  <c r="M2876" i="20"/>
  <c r="M2877" i="20"/>
  <c r="M2878" i="20"/>
  <c r="M2879" i="20"/>
  <c r="M2880" i="20"/>
  <c r="M2881" i="20"/>
  <c r="M2882" i="20"/>
  <c r="M2883" i="20"/>
  <c r="M2884" i="20"/>
  <c r="M2885" i="20"/>
  <c r="M2886" i="20"/>
  <c r="M2887" i="20"/>
  <c r="M2888" i="20"/>
  <c r="M2889" i="20"/>
  <c r="M2890" i="20"/>
  <c r="M2891" i="20"/>
  <c r="M2892" i="20"/>
  <c r="M2893" i="20"/>
  <c r="M2894" i="20"/>
  <c r="M2895" i="20"/>
  <c r="M2896" i="20"/>
  <c r="M2897" i="20"/>
  <c r="M2898" i="20"/>
  <c r="M2899" i="20"/>
  <c r="M2900" i="20"/>
  <c r="M2901" i="20"/>
  <c r="M2902" i="20"/>
  <c r="M2903" i="20"/>
  <c r="M2904" i="20"/>
  <c r="M2905" i="20"/>
  <c r="M2906" i="20"/>
  <c r="M2907" i="20"/>
  <c r="M1400" i="20"/>
  <c r="M1401" i="20"/>
  <c r="M1402" i="20"/>
  <c r="M1403" i="20"/>
  <c r="M1404" i="20"/>
  <c r="M1405" i="20"/>
  <c r="M1406" i="20"/>
  <c r="M1407" i="20"/>
  <c r="M1408" i="20"/>
  <c r="M1409" i="20"/>
  <c r="M1410" i="20"/>
  <c r="M1411" i="20"/>
  <c r="M1412" i="20"/>
  <c r="M1413" i="20"/>
  <c r="M1414" i="20"/>
  <c r="M1415" i="20"/>
  <c r="M1416" i="20"/>
  <c r="M1417" i="20"/>
  <c r="M1418" i="20"/>
  <c r="M1419" i="20"/>
  <c r="M1420" i="20"/>
  <c r="M1421" i="20"/>
  <c r="M1422" i="20"/>
  <c r="M1423" i="20"/>
  <c r="M1424" i="20"/>
  <c r="M1425" i="20"/>
  <c r="M1426" i="20"/>
  <c r="M1427" i="20"/>
  <c r="M1428" i="20"/>
  <c r="M1429" i="20"/>
  <c r="M1430" i="20"/>
  <c r="M1431" i="20"/>
  <c r="M1432" i="20"/>
  <c r="M1433" i="20"/>
  <c r="M1434" i="20"/>
  <c r="M1435" i="20"/>
  <c r="M1436" i="20"/>
  <c r="M1437" i="20"/>
  <c r="M1438" i="20"/>
  <c r="M1439" i="20"/>
  <c r="M1440" i="20"/>
  <c r="M1441" i="20"/>
  <c r="M1442" i="20"/>
  <c r="M1443" i="20"/>
  <c r="M1444" i="20"/>
  <c r="M1445" i="20"/>
  <c r="M1446" i="20"/>
  <c r="M1447" i="20"/>
  <c r="M1448" i="20"/>
  <c r="M1449" i="20"/>
  <c r="M1450" i="20"/>
  <c r="M1451" i="20"/>
  <c r="M1452" i="20"/>
  <c r="M1453" i="20"/>
  <c r="M1454" i="20"/>
  <c r="M1455" i="20"/>
  <c r="M1456" i="20"/>
  <c r="M1457" i="20"/>
  <c r="M1458" i="20"/>
  <c r="M1459" i="20"/>
  <c r="M1460" i="20"/>
  <c r="M1461" i="20"/>
  <c r="M1462" i="20"/>
  <c r="M1463" i="20"/>
  <c r="M1464" i="20"/>
  <c r="M1465" i="20"/>
  <c r="M1466" i="20"/>
  <c r="M1467" i="20"/>
  <c r="M1468" i="20"/>
  <c r="M1469" i="20"/>
  <c r="M1470" i="20"/>
  <c r="M1471" i="20"/>
  <c r="M1472" i="20"/>
  <c r="M1473" i="20"/>
  <c r="M1474" i="20"/>
  <c r="M1475" i="20"/>
  <c r="M1476" i="20"/>
  <c r="M1477" i="20"/>
  <c r="M1478" i="20"/>
  <c r="M1479" i="20"/>
  <c r="M1480" i="20"/>
  <c r="M1481" i="20"/>
  <c r="M1482" i="20"/>
  <c r="M1483" i="20"/>
  <c r="M1484" i="20"/>
  <c r="M1485" i="20"/>
  <c r="M1486" i="20"/>
  <c r="M1487" i="20"/>
  <c r="M1488" i="20"/>
  <c r="M1489" i="20"/>
  <c r="M1490" i="20"/>
  <c r="M1491" i="20"/>
  <c r="M1492" i="20"/>
  <c r="M1493" i="20"/>
  <c r="M1494" i="20"/>
  <c r="M1495" i="20"/>
  <c r="M1496" i="20"/>
  <c r="M1497" i="20"/>
  <c r="M1498" i="20"/>
  <c r="M1499" i="20"/>
  <c r="M1500" i="20"/>
  <c r="M1501" i="20"/>
  <c r="M1502" i="20"/>
  <c r="M1503" i="20"/>
  <c r="M1504" i="20"/>
  <c r="M1505" i="20"/>
  <c r="M1506" i="20"/>
  <c r="M1507" i="20"/>
  <c r="M1508" i="20"/>
  <c r="M1509" i="20"/>
  <c r="M1510" i="20"/>
  <c r="M1511" i="20"/>
  <c r="M1512" i="20"/>
  <c r="M1513" i="20"/>
  <c r="M1514" i="20"/>
  <c r="M1515" i="20"/>
  <c r="M1516" i="20"/>
  <c r="M1517" i="20"/>
  <c r="M1518" i="20"/>
  <c r="M1519" i="20"/>
  <c r="M1520" i="20"/>
  <c r="M1521" i="20"/>
  <c r="M1522" i="20"/>
  <c r="M1523" i="20"/>
  <c r="M1524" i="20"/>
  <c r="M1525" i="20"/>
  <c r="M1526" i="20"/>
  <c r="M1527" i="20"/>
  <c r="M1528" i="20"/>
  <c r="M1529" i="20"/>
  <c r="M1530" i="20"/>
  <c r="M1531" i="20"/>
  <c r="M1532" i="20"/>
  <c r="M1533" i="20"/>
  <c r="M1534" i="20"/>
  <c r="M1535" i="20"/>
  <c r="M1536" i="20"/>
  <c r="M1537" i="20"/>
  <c r="M1538" i="20"/>
  <c r="M1539" i="20"/>
  <c r="M1540" i="20"/>
  <c r="M1541" i="20"/>
  <c r="M1542" i="20"/>
  <c r="M1543" i="20"/>
  <c r="M1544" i="20"/>
  <c r="M1545" i="20"/>
  <c r="M1546" i="20"/>
  <c r="M1547" i="20"/>
  <c r="M1548" i="20"/>
  <c r="M1549" i="20"/>
  <c r="M1550" i="20"/>
  <c r="M1551" i="20"/>
  <c r="M1552" i="20"/>
  <c r="M1553" i="20"/>
  <c r="M1554" i="20"/>
  <c r="M1555" i="20"/>
  <c r="M1556" i="20"/>
  <c r="M1557" i="20"/>
  <c r="M1558" i="20"/>
  <c r="M1559" i="20"/>
  <c r="M1560" i="20"/>
  <c r="M1561" i="20"/>
  <c r="M1562" i="20"/>
  <c r="M1563" i="20"/>
  <c r="M1564" i="20"/>
  <c r="M1565" i="20"/>
  <c r="M1566" i="20"/>
  <c r="M1567" i="20"/>
  <c r="M1568" i="20"/>
  <c r="M1569" i="20"/>
  <c r="M1570" i="20"/>
  <c r="M1571" i="20"/>
  <c r="M1572" i="20"/>
  <c r="M1573" i="20"/>
  <c r="M1574" i="20"/>
  <c r="M1575" i="20"/>
  <c r="M1576" i="20"/>
  <c r="M1577" i="20"/>
  <c r="M1578" i="20"/>
  <c r="M1579" i="20"/>
  <c r="M1580" i="20"/>
  <c r="M1581" i="20"/>
  <c r="M1582" i="20"/>
  <c r="M1583" i="20"/>
  <c r="M1584" i="20"/>
  <c r="M1585" i="20"/>
  <c r="M1586" i="20"/>
  <c r="M1587" i="20"/>
  <c r="M1588" i="20"/>
  <c r="M1589" i="20"/>
  <c r="M1590" i="20"/>
  <c r="M1591" i="20"/>
  <c r="M1592" i="20"/>
  <c r="M1593" i="20"/>
  <c r="M1594" i="20"/>
  <c r="M1595" i="20"/>
  <c r="M1596" i="20"/>
  <c r="M1597" i="20"/>
  <c r="M1598" i="20"/>
  <c r="M1599" i="20"/>
  <c r="M1600" i="20"/>
  <c r="M1601" i="20"/>
  <c r="M1602" i="20"/>
  <c r="M1603" i="20"/>
  <c r="M1604" i="20"/>
  <c r="M1605" i="20"/>
  <c r="M1606" i="20"/>
  <c r="M1607" i="20"/>
  <c r="M1608" i="20"/>
  <c r="M1609" i="20"/>
  <c r="M1610" i="20"/>
  <c r="M1611" i="20"/>
  <c r="M1612" i="20"/>
  <c r="M1613" i="20"/>
  <c r="M1614" i="20"/>
  <c r="M1615" i="20"/>
  <c r="M1616" i="20"/>
  <c r="M1617" i="20"/>
  <c r="M1618" i="20"/>
  <c r="M1619" i="20"/>
  <c r="M1620" i="20"/>
  <c r="M1621" i="20"/>
  <c r="M1622" i="20"/>
  <c r="M1623" i="20"/>
  <c r="M1624" i="20"/>
  <c r="M1625" i="20"/>
  <c r="M1626" i="20"/>
  <c r="M1627" i="20"/>
  <c r="M1628" i="20"/>
  <c r="M1629" i="20"/>
  <c r="M1630" i="20"/>
  <c r="M1631" i="20"/>
  <c r="M1632" i="20"/>
  <c r="M1633" i="20"/>
  <c r="M1634" i="20"/>
  <c r="M1635" i="20"/>
  <c r="M1636" i="20"/>
  <c r="M1637" i="20"/>
  <c r="M1638" i="20"/>
  <c r="M1639" i="20"/>
  <c r="M1640" i="20"/>
  <c r="M1641" i="20"/>
  <c r="M1642" i="20"/>
  <c r="M1643" i="20"/>
  <c r="M1644" i="20"/>
  <c r="M1645" i="20"/>
  <c r="M1646" i="20"/>
  <c r="M1647" i="20"/>
  <c r="M1648" i="20"/>
  <c r="M1649" i="20"/>
  <c r="M1650" i="20"/>
  <c r="M1651" i="20"/>
  <c r="M1652" i="20"/>
  <c r="M1653" i="20"/>
  <c r="M1654" i="20"/>
  <c r="M1655" i="20"/>
  <c r="M1656" i="20"/>
  <c r="M1657" i="20"/>
  <c r="M1658" i="20"/>
  <c r="M1659" i="20"/>
  <c r="M1660" i="20"/>
  <c r="M1661" i="20"/>
  <c r="M1662" i="20"/>
  <c r="M1663" i="20"/>
  <c r="M1664" i="20"/>
  <c r="M1665" i="20"/>
  <c r="M1666" i="20"/>
  <c r="M1667" i="20"/>
  <c r="M1668" i="20"/>
  <c r="M1669" i="20"/>
  <c r="M1670" i="20"/>
  <c r="M1671" i="20"/>
  <c r="M1672" i="20"/>
  <c r="M1673" i="20"/>
  <c r="M1674" i="20"/>
  <c r="M1675" i="20"/>
  <c r="M1676" i="20"/>
  <c r="M1677" i="20"/>
  <c r="M1678" i="20"/>
  <c r="M1679" i="20"/>
  <c r="M1680" i="20"/>
  <c r="M1681" i="20"/>
  <c r="M1682" i="20"/>
  <c r="M1683" i="20"/>
  <c r="M1684" i="20"/>
  <c r="M1685" i="20"/>
  <c r="M1686" i="20"/>
  <c r="M1687" i="20"/>
  <c r="M1688" i="20"/>
  <c r="M1689" i="20"/>
  <c r="M1690" i="20"/>
  <c r="M1691" i="20"/>
  <c r="M1692" i="20"/>
  <c r="M1693" i="20"/>
  <c r="M1694" i="20"/>
  <c r="M1695" i="20"/>
  <c r="M1696" i="20"/>
  <c r="M1697" i="20"/>
  <c r="M1698" i="20"/>
  <c r="M1699" i="20"/>
  <c r="M1700" i="20"/>
  <c r="M1701" i="20"/>
  <c r="M1702" i="20"/>
  <c r="M1703" i="20"/>
  <c r="M1704" i="20"/>
  <c r="M1705" i="20"/>
  <c r="M1706" i="20"/>
  <c r="M1707" i="20"/>
  <c r="M1708" i="20"/>
  <c r="M1709" i="20"/>
  <c r="M1710" i="20"/>
  <c r="M1711" i="20"/>
  <c r="M1712" i="20"/>
  <c r="M1713" i="20"/>
  <c r="M1714" i="20"/>
  <c r="M1715" i="20"/>
  <c r="M1716" i="20"/>
  <c r="M1717" i="20"/>
  <c r="M1718" i="20"/>
  <c r="M1719" i="20"/>
  <c r="M1720" i="20"/>
  <c r="M1721" i="20"/>
  <c r="M1722" i="20"/>
  <c r="M1723" i="20"/>
  <c r="M1724" i="20"/>
  <c r="M1725" i="20"/>
  <c r="M1726" i="20"/>
  <c r="M1727" i="20"/>
  <c r="M1728" i="20"/>
  <c r="M1729" i="20"/>
  <c r="M1730" i="20"/>
  <c r="M1731" i="20"/>
  <c r="M1732" i="20"/>
  <c r="M1733" i="20"/>
  <c r="M1734" i="20"/>
  <c r="M1735" i="20"/>
  <c r="M1736" i="20"/>
  <c r="M1737" i="20"/>
  <c r="M1738" i="20"/>
  <c r="M1739" i="20"/>
  <c r="M1740" i="20"/>
  <c r="M1741" i="20"/>
  <c r="M1742" i="20"/>
  <c r="M1743" i="20"/>
  <c r="M1744" i="20"/>
  <c r="M1745" i="20"/>
  <c r="M1746" i="20"/>
  <c r="M1747" i="20"/>
  <c r="M1748" i="20"/>
  <c r="M1749" i="20"/>
  <c r="M1750" i="20"/>
  <c r="M1751" i="20"/>
  <c r="M1752" i="20"/>
  <c r="M1753" i="20"/>
  <c r="M1754" i="20"/>
  <c r="M1755" i="20"/>
  <c r="M1756" i="20"/>
  <c r="M1757" i="20"/>
  <c r="M1758" i="20"/>
  <c r="M1759" i="20"/>
  <c r="M1760" i="20"/>
  <c r="M1761" i="20"/>
  <c r="M1762" i="20"/>
  <c r="M1763" i="20"/>
  <c r="M1764" i="20"/>
  <c r="M1765" i="20"/>
  <c r="M1766" i="20"/>
  <c r="M1767" i="20"/>
  <c r="M1768" i="20"/>
  <c r="M1769" i="20"/>
  <c r="M1770" i="20"/>
  <c r="M1771" i="20"/>
  <c r="M1772" i="20"/>
  <c r="M1773" i="20"/>
  <c r="M1774" i="20"/>
  <c r="M1775" i="20"/>
  <c r="M1776" i="20"/>
  <c r="M1777" i="20"/>
  <c r="M1778" i="20"/>
  <c r="M1779" i="20"/>
  <c r="M1780" i="20"/>
  <c r="M1781" i="20"/>
  <c r="M1782" i="20"/>
  <c r="M1783" i="20"/>
  <c r="M1784" i="20"/>
  <c r="M1785" i="20"/>
  <c r="M1786" i="20"/>
  <c r="M1787" i="20"/>
  <c r="M1788" i="20"/>
  <c r="M1789" i="20"/>
  <c r="M1790" i="20"/>
  <c r="M1791" i="20"/>
  <c r="M1792" i="20"/>
  <c r="M1793" i="20"/>
  <c r="M1794" i="20"/>
  <c r="M1795" i="20"/>
  <c r="M1796" i="20"/>
  <c r="M1797" i="20"/>
  <c r="M1798" i="20"/>
  <c r="M1799" i="20"/>
  <c r="M1800" i="20"/>
  <c r="M1801" i="20"/>
  <c r="M1802" i="20"/>
  <c r="M1803" i="20"/>
  <c r="M1804" i="20"/>
  <c r="M1805" i="20"/>
  <c r="M1806" i="20"/>
  <c r="M1807" i="20"/>
  <c r="M1808" i="20"/>
  <c r="M1809" i="20"/>
  <c r="M1810" i="20"/>
  <c r="M1811" i="20"/>
  <c r="M1812" i="20"/>
  <c r="M1813" i="20"/>
  <c r="M1814" i="20"/>
  <c r="M1815" i="20"/>
  <c r="M1816" i="20"/>
  <c r="M1817" i="20"/>
  <c r="M1818" i="20"/>
  <c r="M1819" i="20"/>
  <c r="M1820" i="20"/>
  <c r="M1821" i="20"/>
  <c r="M1822" i="20"/>
  <c r="M1823" i="20"/>
  <c r="M1824" i="20"/>
  <c r="M1825" i="20"/>
  <c r="M1826" i="20"/>
  <c r="M1827" i="20"/>
  <c r="M1828" i="20"/>
  <c r="M1829" i="20"/>
  <c r="M1830" i="20"/>
  <c r="M1831" i="20"/>
  <c r="M1832" i="20"/>
  <c r="M1833" i="20"/>
  <c r="M1834" i="20"/>
  <c r="M1835" i="20"/>
  <c r="M1836" i="20"/>
  <c r="M1837" i="20"/>
  <c r="M1838" i="20"/>
  <c r="M1839" i="20"/>
  <c r="M1840" i="20"/>
  <c r="M1841" i="20"/>
  <c r="M1842" i="20"/>
  <c r="M1843" i="20"/>
  <c r="M1844" i="20"/>
  <c r="M1845" i="20"/>
  <c r="M1846" i="20"/>
  <c r="M1847" i="20"/>
  <c r="M1848" i="20"/>
  <c r="M1849" i="20"/>
  <c r="M1850" i="20"/>
  <c r="M1851" i="20"/>
  <c r="M1852" i="20"/>
  <c r="M1853" i="20"/>
  <c r="M1854" i="20"/>
  <c r="M1855" i="20"/>
  <c r="M1856" i="20"/>
  <c r="M1857" i="20"/>
  <c r="M1858" i="20"/>
  <c r="M1859" i="20"/>
  <c r="M1860" i="20"/>
  <c r="M1861" i="20"/>
  <c r="M1862" i="20"/>
  <c r="M1863" i="20"/>
  <c r="M1864" i="20"/>
  <c r="M1865" i="20"/>
  <c r="M1866" i="20"/>
  <c r="M1867" i="20"/>
  <c r="M1868" i="20"/>
  <c r="M1869" i="20"/>
  <c r="M1870" i="20"/>
  <c r="M1871" i="20"/>
  <c r="M1872" i="20"/>
  <c r="M1873" i="20"/>
  <c r="M1874" i="20"/>
  <c r="M1875" i="20"/>
  <c r="M1876" i="20"/>
  <c r="M1877" i="20"/>
  <c r="M1878" i="20"/>
  <c r="M1879" i="20"/>
  <c r="M1880" i="20"/>
  <c r="M1881" i="20"/>
  <c r="M1882" i="20"/>
  <c r="M1883" i="20"/>
  <c r="M1884" i="20"/>
  <c r="M1885" i="20"/>
  <c r="M1886" i="20"/>
  <c r="M1887" i="20"/>
  <c r="M1888" i="20"/>
  <c r="M1889" i="20"/>
  <c r="M1890" i="20"/>
  <c r="M1891" i="20"/>
  <c r="M1892" i="20"/>
  <c r="M1893" i="20"/>
  <c r="M1894" i="20"/>
  <c r="M1895" i="20"/>
  <c r="M1896" i="20"/>
  <c r="M1897" i="20"/>
  <c r="M1898" i="20"/>
  <c r="M1899" i="20"/>
  <c r="M1900" i="20"/>
  <c r="M1901" i="20"/>
  <c r="M1902" i="20"/>
  <c r="M1903" i="20"/>
  <c r="M1904" i="20"/>
  <c r="M1905" i="20"/>
  <c r="M1906" i="20"/>
  <c r="M1907" i="20"/>
  <c r="M1908" i="20"/>
  <c r="M1909" i="20"/>
  <c r="M1910" i="20"/>
  <c r="M1911" i="20"/>
  <c r="M1912" i="20"/>
  <c r="M1913" i="20"/>
  <c r="M1914" i="20"/>
  <c r="M1915" i="20"/>
  <c r="M1916" i="20"/>
  <c r="M1917" i="20"/>
  <c r="M1918" i="20"/>
  <c r="M1919" i="20"/>
  <c r="M1920" i="20"/>
  <c r="M1921" i="20"/>
  <c r="M1922" i="20"/>
  <c r="M1923" i="20"/>
  <c r="M1924" i="20"/>
  <c r="M1925" i="20"/>
  <c r="M1926" i="20"/>
  <c r="M1927" i="20"/>
  <c r="M1928" i="20"/>
  <c r="M1929" i="20"/>
  <c r="M1930" i="20"/>
  <c r="M1931" i="20"/>
  <c r="M1932" i="20"/>
  <c r="M1933" i="20"/>
  <c r="M1934" i="20"/>
  <c r="M1935" i="20"/>
  <c r="M1936" i="20"/>
  <c r="M1937" i="20"/>
  <c r="M1938" i="20"/>
  <c r="M1939" i="20"/>
  <c r="M1940" i="20"/>
  <c r="M1941" i="20"/>
  <c r="M1942" i="20"/>
  <c r="M1943" i="20"/>
  <c r="M1944" i="20"/>
  <c r="M1945" i="20"/>
  <c r="M1946" i="20"/>
  <c r="M1947" i="20"/>
  <c r="M1948" i="20"/>
  <c r="M1949" i="20"/>
  <c r="M1950" i="20"/>
  <c r="M1951" i="20"/>
  <c r="M1952" i="20"/>
  <c r="M1953" i="20"/>
  <c r="M1954" i="20"/>
  <c r="M1955" i="20"/>
  <c r="M1956" i="20"/>
  <c r="M1957" i="20"/>
  <c r="M1958" i="20"/>
  <c r="M1959" i="20"/>
  <c r="M1960" i="20"/>
  <c r="M1961" i="20"/>
  <c r="M1962" i="20"/>
  <c r="M1963" i="20"/>
  <c r="M1964" i="20"/>
  <c r="M1965" i="20"/>
  <c r="M1966" i="20"/>
  <c r="M1967" i="20"/>
  <c r="M1968" i="20"/>
  <c r="M1969" i="20"/>
  <c r="M1970" i="20"/>
  <c r="M1971" i="20"/>
  <c r="M1972" i="20"/>
  <c r="M1973" i="20"/>
  <c r="M1974" i="20"/>
  <c r="M1975" i="20"/>
  <c r="M1976" i="20"/>
  <c r="M1977" i="20"/>
  <c r="M1978" i="20"/>
  <c r="M1979" i="20"/>
  <c r="M1980" i="20"/>
  <c r="M1981" i="20"/>
  <c r="M1982" i="20"/>
  <c r="M1983" i="20"/>
  <c r="M1984" i="20"/>
  <c r="M1985" i="20"/>
  <c r="M1986" i="20"/>
  <c r="M1987" i="20"/>
  <c r="M1988" i="20"/>
  <c r="M1989" i="20"/>
  <c r="M1990" i="20"/>
  <c r="M1991" i="20"/>
  <c r="M1992" i="20"/>
  <c r="M1993" i="20"/>
  <c r="M1994" i="20"/>
  <c r="M1995" i="20"/>
  <c r="M1996" i="20"/>
  <c r="M1997" i="20"/>
  <c r="M1998" i="20"/>
  <c r="M1999" i="20"/>
  <c r="M2000" i="20"/>
  <c r="M2001" i="20"/>
  <c r="M2002" i="20"/>
  <c r="M2003" i="20"/>
  <c r="M2004" i="20"/>
  <c r="M2005" i="20"/>
  <c r="M2006" i="20"/>
  <c r="M2007" i="20"/>
  <c r="M2008" i="20"/>
  <c r="M2009" i="20"/>
  <c r="M2010" i="20"/>
  <c r="M2011" i="20"/>
  <c r="M2012" i="20"/>
  <c r="M2013" i="20"/>
  <c r="M2014" i="20"/>
  <c r="M2015" i="20"/>
  <c r="M2016" i="20"/>
  <c r="M2017" i="20"/>
  <c r="M2018" i="20"/>
  <c r="M2019" i="20"/>
  <c r="M2020" i="20"/>
  <c r="M2021" i="20"/>
  <c r="M2022" i="20"/>
  <c r="M2023" i="20"/>
  <c r="M2024" i="20"/>
  <c r="M2025" i="20"/>
  <c r="M2026" i="20"/>
  <c r="M2027" i="20"/>
  <c r="M2028" i="20"/>
  <c r="M2029" i="20"/>
  <c r="M2030" i="20"/>
  <c r="M2031" i="20"/>
  <c r="M2032" i="20"/>
  <c r="M2033" i="20"/>
  <c r="M2034" i="20"/>
  <c r="M2035" i="20"/>
  <c r="M2036" i="20"/>
  <c r="M2037" i="20"/>
  <c r="M2038" i="20"/>
  <c r="M2039" i="20"/>
  <c r="M2040" i="20"/>
  <c r="M2041" i="20"/>
  <c r="M2042" i="20"/>
  <c r="M2043" i="20"/>
  <c r="M2044" i="20"/>
  <c r="M2045" i="20"/>
  <c r="M2046" i="20"/>
  <c r="M2047" i="20"/>
  <c r="M2048" i="20"/>
  <c r="M2049" i="20"/>
  <c r="M2050" i="20"/>
  <c r="M2051" i="20"/>
  <c r="M2052" i="20"/>
  <c r="M2053" i="20"/>
  <c r="M2054" i="20"/>
  <c r="M2055" i="20"/>
  <c r="M2056" i="20"/>
  <c r="M2057" i="20"/>
  <c r="M2058" i="20"/>
  <c r="M2059" i="20"/>
  <c r="M2060" i="20"/>
  <c r="M2061" i="20"/>
  <c r="M2062" i="20"/>
  <c r="M2063" i="20"/>
  <c r="M2064" i="20"/>
  <c r="M2065" i="20"/>
  <c r="M2066" i="20"/>
  <c r="M2067" i="20"/>
  <c r="M2068" i="20"/>
  <c r="M2069" i="20"/>
  <c r="M2070" i="20"/>
  <c r="M2071" i="20"/>
  <c r="M2072" i="20"/>
  <c r="M2073" i="20"/>
  <c r="M2074" i="20"/>
  <c r="M2075" i="20"/>
  <c r="M2076" i="20"/>
  <c r="M2077" i="20"/>
  <c r="M2078" i="20"/>
  <c r="M2079" i="20"/>
  <c r="M2080" i="20"/>
  <c r="M2081" i="20"/>
  <c r="M2082" i="20"/>
  <c r="M2083" i="20"/>
  <c r="M2084" i="20"/>
  <c r="M2085" i="20"/>
  <c r="M2086" i="20"/>
  <c r="M2087" i="20"/>
  <c r="M2088" i="20"/>
  <c r="M2089" i="20"/>
  <c r="M2090" i="20"/>
  <c r="M2091" i="20"/>
  <c r="M2092" i="20"/>
  <c r="M2093" i="20"/>
  <c r="M2094" i="20"/>
  <c r="M2095" i="20"/>
  <c r="M2096" i="20"/>
  <c r="M2097" i="20"/>
  <c r="M2098" i="20"/>
  <c r="M2099" i="20"/>
  <c r="M2100" i="20"/>
  <c r="M2101" i="20"/>
  <c r="M2102" i="20"/>
  <c r="M2103" i="20"/>
  <c r="M2104" i="20"/>
  <c r="M2105" i="20"/>
  <c r="M2106" i="20"/>
  <c r="M2107" i="20"/>
  <c r="M2108" i="20"/>
  <c r="M2109" i="20"/>
  <c r="M2110" i="20"/>
  <c r="M2111" i="20"/>
  <c r="M2112" i="20"/>
  <c r="M2113" i="20"/>
  <c r="M2114" i="20"/>
  <c r="M2115" i="20"/>
  <c r="M2116" i="20"/>
  <c r="M2117" i="20"/>
  <c r="M2118" i="20"/>
  <c r="M2119" i="20"/>
  <c r="M2120" i="20"/>
  <c r="M1398" i="20"/>
  <c r="M1356" i="20"/>
  <c r="M1357" i="20"/>
  <c r="M1358" i="20"/>
  <c r="M1359" i="20"/>
  <c r="M1360" i="20"/>
  <c r="M1361" i="20"/>
  <c r="M1362" i="20"/>
  <c r="M1363" i="20"/>
  <c r="M1364" i="20"/>
  <c r="M1365" i="20"/>
  <c r="M1366" i="20"/>
  <c r="M1367" i="20"/>
  <c r="M1368" i="20"/>
  <c r="M1369" i="20"/>
  <c r="M1370" i="20"/>
  <c r="M1371" i="20"/>
  <c r="M1372" i="20"/>
  <c r="M1373" i="20"/>
  <c r="M1374" i="20"/>
  <c r="M1375" i="20"/>
  <c r="M1376" i="20"/>
  <c r="M1377" i="20"/>
  <c r="M1378" i="20"/>
  <c r="M1379" i="20"/>
  <c r="M1380" i="20"/>
  <c r="M1381" i="20"/>
  <c r="M1382" i="20"/>
  <c r="M1383" i="20"/>
  <c r="M1384" i="20"/>
  <c r="M1385" i="20"/>
  <c r="M1386" i="20"/>
  <c r="M1387" i="20"/>
  <c r="M1388" i="20"/>
  <c r="M1389" i="20"/>
  <c r="M1390" i="20"/>
  <c r="M1391" i="20"/>
  <c r="M1392" i="20"/>
  <c r="M1393" i="20"/>
  <c r="M1394" i="20"/>
  <c r="M1395" i="20"/>
  <c r="M1396" i="20"/>
  <c r="M1397" i="20"/>
  <c r="M1399" i="20"/>
  <c r="M1298" i="20"/>
  <c r="M1299" i="20"/>
  <c r="M1300" i="20"/>
  <c r="M1301" i="20"/>
  <c r="M1302" i="20"/>
  <c r="M1303" i="20"/>
  <c r="M1304" i="20"/>
  <c r="M1305" i="20"/>
  <c r="M1306" i="20"/>
  <c r="M1307" i="20"/>
  <c r="M1308" i="20"/>
  <c r="M1309" i="20"/>
  <c r="M1310" i="20"/>
  <c r="M1311" i="20"/>
  <c r="M1312" i="20"/>
  <c r="M1313" i="20"/>
  <c r="M1314" i="20"/>
  <c r="M1315" i="20"/>
  <c r="M1316" i="20"/>
  <c r="M1317" i="20"/>
  <c r="M1318" i="20"/>
  <c r="M1319" i="20"/>
  <c r="M1320" i="20"/>
  <c r="M1321" i="20"/>
  <c r="M1322" i="20"/>
  <c r="M1323" i="20"/>
  <c r="M1324" i="20"/>
  <c r="M1325" i="20"/>
  <c r="M1326" i="20"/>
  <c r="M1327" i="20"/>
  <c r="M1328" i="20"/>
  <c r="M1329" i="20"/>
  <c r="M1330" i="20"/>
  <c r="M1331" i="20"/>
  <c r="M1332" i="20"/>
  <c r="M1333" i="20"/>
  <c r="M1334" i="20"/>
  <c r="M1335" i="20"/>
  <c r="M1336" i="20"/>
  <c r="M1337" i="20"/>
  <c r="M1338" i="20"/>
  <c r="M1339" i="20"/>
  <c r="M1340" i="20"/>
  <c r="M1341" i="20"/>
  <c r="M1342" i="20"/>
  <c r="M1343" i="20"/>
  <c r="M1344" i="20"/>
  <c r="M1345" i="20"/>
  <c r="M1346" i="20"/>
  <c r="M1347" i="20"/>
  <c r="M1348" i="20"/>
  <c r="M1349" i="20"/>
  <c r="M1350" i="20"/>
  <c r="M1351" i="20"/>
  <c r="M1352" i="20"/>
  <c r="M1353" i="20"/>
  <c r="M1354" i="20"/>
  <c r="M1355" i="20"/>
  <c r="M920" i="20"/>
  <c r="M921" i="20"/>
  <c r="M922" i="20"/>
  <c r="M923" i="20"/>
  <c r="M924" i="20"/>
  <c r="M925" i="20"/>
  <c r="M926" i="20"/>
  <c r="M927" i="20"/>
  <c r="M928" i="20"/>
  <c r="M929" i="20"/>
  <c r="M930" i="20"/>
  <c r="M931" i="20"/>
  <c r="M932" i="20"/>
  <c r="M933" i="20"/>
  <c r="M934" i="20"/>
  <c r="M935" i="20"/>
  <c r="M936" i="20"/>
  <c r="M937" i="20"/>
  <c r="M938" i="20"/>
  <c r="M939" i="20"/>
  <c r="M940" i="20"/>
  <c r="M941" i="20"/>
  <c r="M942" i="20"/>
  <c r="M943" i="20"/>
  <c r="M944" i="20"/>
  <c r="M945" i="20"/>
  <c r="M946" i="20"/>
  <c r="M947" i="20"/>
  <c r="M948" i="20"/>
  <c r="M949" i="20"/>
  <c r="M950" i="20"/>
  <c r="M951" i="20"/>
  <c r="M952" i="20"/>
  <c r="M953" i="20"/>
  <c r="M954" i="20"/>
  <c r="M955" i="20"/>
  <c r="M956" i="20"/>
  <c r="M957" i="20"/>
  <c r="M958" i="20"/>
  <c r="M959" i="20"/>
  <c r="M960" i="20"/>
  <c r="M961" i="20"/>
  <c r="M962" i="20"/>
  <c r="M963" i="20"/>
  <c r="M964" i="20"/>
  <c r="M965" i="20"/>
  <c r="M966" i="20"/>
  <c r="M967" i="20"/>
  <c r="M968" i="20"/>
  <c r="M969" i="20"/>
  <c r="M970" i="20"/>
  <c r="M971" i="20"/>
  <c r="M972" i="20"/>
  <c r="M973" i="20"/>
  <c r="M974" i="20"/>
  <c r="M975" i="20"/>
  <c r="M976" i="20"/>
  <c r="M977" i="20"/>
  <c r="M978" i="20"/>
  <c r="M979" i="20"/>
  <c r="M980" i="20"/>
  <c r="M981" i="20"/>
  <c r="M982" i="20"/>
  <c r="M983" i="20"/>
  <c r="M984" i="20"/>
  <c r="M985" i="20"/>
  <c r="M986" i="20"/>
  <c r="M987" i="20"/>
  <c r="M988" i="20"/>
  <c r="M989" i="20"/>
  <c r="M990" i="20"/>
  <c r="M991" i="20"/>
  <c r="M992" i="20"/>
  <c r="M993" i="20"/>
  <c r="M994" i="20"/>
  <c r="M995" i="20"/>
  <c r="M996" i="20"/>
  <c r="M997" i="20"/>
  <c r="M998" i="20"/>
  <c r="M999" i="20"/>
  <c r="M1000" i="20"/>
  <c r="M1001" i="20"/>
  <c r="M1002" i="20"/>
  <c r="M1003" i="20"/>
  <c r="M1004" i="20"/>
  <c r="M1005" i="20"/>
  <c r="M1006" i="20"/>
  <c r="M1007" i="20"/>
  <c r="M1008" i="20"/>
  <c r="M1009" i="20"/>
  <c r="M1010" i="20"/>
  <c r="M1011" i="20"/>
  <c r="M1012" i="20"/>
  <c r="M1013" i="20"/>
  <c r="M1014" i="20"/>
  <c r="M1015" i="20"/>
  <c r="M1016" i="20"/>
  <c r="M1017" i="20"/>
  <c r="M1018" i="20"/>
  <c r="M1019" i="20"/>
  <c r="M1020" i="20"/>
  <c r="M1021" i="20"/>
  <c r="M1022" i="20"/>
  <c r="M1023" i="20"/>
  <c r="M1024" i="20"/>
  <c r="M1025" i="20"/>
  <c r="M1026" i="20"/>
  <c r="M1027" i="20"/>
  <c r="M1028" i="20"/>
  <c r="M1029" i="20"/>
  <c r="M1030" i="20"/>
  <c r="M1031" i="20"/>
  <c r="M1032" i="20"/>
  <c r="M1033" i="20"/>
  <c r="M1034" i="20"/>
  <c r="M1035" i="20"/>
  <c r="M1036" i="20"/>
  <c r="M1037" i="20"/>
  <c r="M1038" i="20"/>
  <c r="M1039" i="20"/>
  <c r="M1040" i="20"/>
  <c r="M1041" i="20"/>
  <c r="M1042" i="20"/>
  <c r="M1043" i="20"/>
  <c r="M1044" i="20"/>
  <c r="M1045" i="20"/>
  <c r="M1046" i="20"/>
  <c r="M1047" i="20"/>
  <c r="M1048" i="20"/>
  <c r="M1049" i="20"/>
  <c r="M1050" i="20"/>
  <c r="M1051" i="20"/>
  <c r="M1052" i="20"/>
  <c r="M1053" i="20"/>
  <c r="M1054" i="20"/>
  <c r="M1055" i="20"/>
  <c r="M1056" i="20"/>
  <c r="M1057" i="20"/>
  <c r="M1058" i="20"/>
  <c r="M1059" i="20"/>
  <c r="M1060" i="20"/>
  <c r="M1061" i="20"/>
  <c r="M1062" i="20"/>
  <c r="M1063" i="20"/>
  <c r="M1064" i="20"/>
  <c r="M1065" i="20"/>
  <c r="M1066" i="20"/>
  <c r="M1067" i="20"/>
  <c r="M1068" i="20"/>
  <c r="M1069" i="20"/>
  <c r="M1070" i="20"/>
  <c r="M1071" i="20"/>
  <c r="M1072" i="20"/>
  <c r="M1073" i="20"/>
  <c r="M1074" i="20"/>
  <c r="M1075" i="20"/>
  <c r="M1076" i="20"/>
  <c r="M1077" i="20"/>
  <c r="M1078" i="20"/>
  <c r="M1079" i="20"/>
  <c r="M1080" i="20"/>
  <c r="M1081" i="20"/>
  <c r="M1082" i="20"/>
  <c r="M1083" i="20"/>
  <c r="M1084" i="20"/>
  <c r="M1085" i="20"/>
  <c r="M1086" i="20"/>
  <c r="M1087" i="20"/>
  <c r="M1088" i="20"/>
  <c r="M1089" i="20"/>
  <c r="M1090" i="20"/>
  <c r="M1091" i="20"/>
  <c r="M1092" i="20"/>
  <c r="M1093" i="20"/>
  <c r="M1094" i="20"/>
  <c r="M1095" i="20"/>
  <c r="M1096" i="20"/>
  <c r="M1097" i="20"/>
  <c r="M1098" i="20"/>
  <c r="M1099" i="20"/>
  <c r="M1100" i="20"/>
  <c r="M1101" i="20"/>
  <c r="M1102" i="20"/>
  <c r="M1103" i="20"/>
  <c r="M1104" i="20"/>
  <c r="M1105" i="20"/>
  <c r="M1106" i="20"/>
  <c r="M1107" i="20"/>
  <c r="M1108" i="20"/>
  <c r="M1109" i="20"/>
  <c r="M1110" i="20"/>
  <c r="M1111" i="20"/>
  <c r="M1112" i="20"/>
  <c r="M1113" i="20"/>
  <c r="M1114" i="20"/>
  <c r="M1115" i="20"/>
  <c r="M1116" i="20"/>
  <c r="M1117" i="20"/>
  <c r="M1118" i="20"/>
  <c r="M1119" i="20"/>
  <c r="M1120" i="20"/>
  <c r="M1121" i="20"/>
  <c r="M1122" i="20"/>
  <c r="M1123" i="20"/>
  <c r="M1124" i="20"/>
  <c r="M1125" i="20"/>
  <c r="M1126" i="20"/>
  <c r="M1127" i="20"/>
  <c r="M1128" i="20"/>
  <c r="M1129" i="20"/>
  <c r="M1130" i="20"/>
  <c r="M1131" i="20"/>
  <c r="M1132" i="20"/>
  <c r="M1133" i="20"/>
  <c r="M1134" i="20"/>
  <c r="M1135" i="20"/>
  <c r="M1136" i="20"/>
  <c r="M1137" i="20"/>
  <c r="M1138" i="20"/>
  <c r="M1139" i="20"/>
  <c r="M1140" i="20"/>
  <c r="M1141" i="20"/>
  <c r="M1142" i="20"/>
  <c r="M1143" i="20"/>
  <c r="M1144" i="20"/>
  <c r="M1145" i="20"/>
  <c r="M1146" i="20"/>
  <c r="M1147" i="20"/>
  <c r="M1148" i="20"/>
  <c r="M1149" i="20"/>
  <c r="M1150" i="20"/>
  <c r="M1151" i="20"/>
  <c r="M1152" i="20"/>
  <c r="M1153" i="20"/>
  <c r="M1154" i="20"/>
  <c r="M1155" i="20"/>
  <c r="M1156" i="20"/>
  <c r="M1157" i="20"/>
  <c r="M1158" i="20"/>
  <c r="M1159" i="20"/>
  <c r="M1160" i="20"/>
  <c r="M1161" i="20"/>
  <c r="M1162" i="20"/>
  <c r="M1163" i="20"/>
  <c r="M1164" i="20"/>
  <c r="M1165" i="20"/>
  <c r="M1166" i="20"/>
  <c r="M1167" i="20"/>
  <c r="M1168" i="20"/>
  <c r="M1169" i="20"/>
  <c r="M1170" i="20"/>
  <c r="M1171" i="20"/>
  <c r="M1172" i="20"/>
  <c r="M1173" i="20"/>
  <c r="M1174" i="20"/>
  <c r="M1175" i="20"/>
  <c r="M1176" i="20"/>
  <c r="M1177" i="20"/>
  <c r="M1178" i="20"/>
  <c r="M1179" i="20"/>
  <c r="M1180" i="20"/>
  <c r="M1181" i="20"/>
  <c r="M1182" i="20"/>
  <c r="M1183" i="20"/>
  <c r="M1184" i="20"/>
  <c r="M1185" i="20"/>
  <c r="M1186" i="20"/>
  <c r="M1187" i="20"/>
  <c r="M1188" i="20"/>
  <c r="M1189" i="20"/>
  <c r="M1190" i="20"/>
  <c r="M1191" i="20"/>
  <c r="M1192" i="20"/>
  <c r="M1193" i="20"/>
  <c r="M1194" i="20"/>
  <c r="M1195" i="20"/>
  <c r="M1196" i="20"/>
  <c r="M1197" i="20"/>
  <c r="M1198" i="20"/>
  <c r="M1199" i="20"/>
  <c r="M1200" i="20"/>
  <c r="M1201" i="20"/>
  <c r="M1202" i="20"/>
  <c r="M1203" i="20"/>
  <c r="M1204" i="20"/>
  <c r="M1205" i="20"/>
  <c r="M1206" i="20"/>
  <c r="M1207" i="20"/>
  <c r="M1208" i="20"/>
  <c r="M1209" i="20"/>
  <c r="M1210" i="20"/>
  <c r="M1211" i="20"/>
  <c r="M1212" i="20"/>
  <c r="M1213" i="20"/>
  <c r="M1214" i="20"/>
  <c r="M1215" i="20"/>
  <c r="M1216" i="20"/>
  <c r="M1217" i="20"/>
  <c r="M1218" i="20"/>
  <c r="M1219" i="20"/>
  <c r="M1220" i="20"/>
  <c r="M1221" i="20"/>
  <c r="M1222" i="20"/>
  <c r="M1223" i="20"/>
  <c r="M1224" i="20"/>
  <c r="M1225" i="20"/>
  <c r="M1226" i="20"/>
  <c r="M1227" i="20"/>
  <c r="M1228" i="20"/>
  <c r="M1229" i="20"/>
  <c r="M1230" i="20"/>
  <c r="M1231" i="20"/>
  <c r="M1232" i="20"/>
  <c r="M1233" i="20"/>
  <c r="M1234" i="20"/>
  <c r="M1235" i="20"/>
  <c r="M1236" i="20"/>
  <c r="M1237" i="20"/>
  <c r="M1238" i="20"/>
  <c r="M1239" i="20"/>
  <c r="M1240" i="20"/>
  <c r="M1241" i="20"/>
  <c r="M1242" i="20"/>
  <c r="M1243" i="20"/>
  <c r="M1244" i="20"/>
  <c r="M1245" i="20"/>
  <c r="M1246" i="20"/>
  <c r="M1247" i="20"/>
  <c r="M1248" i="20"/>
  <c r="M1249" i="20"/>
  <c r="M1250" i="20"/>
  <c r="M1251" i="20"/>
  <c r="M1252" i="20"/>
  <c r="M1253" i="20"/>
  <c r="M1254" i="20"/>
  <c r="M1255" i="20"/>
  <c r="M1256" i="20"/>
  <c r="M1257" i="20"/>
  <c r="M1258" i="20"/>
  <c r="M1259" i="20"/>
  <c r="M1260" i="20"/>
  <c r="M1261" i="20"/>
  <c r="M1262" i="20"/>
  <c r="M1263" i="20"/>
  <c r="M1264" i="20"/>
  <c r="M1265" i="20"/>
  <c r="M1266" i="20"/>
  <c r="M1267" i="20"/>
  <c r="M1268" i="20"/>
  <c r="M1269" i="20"/>
  <c r="M1270" i="20"/>
  <c r="M1271" i="20"/>
  <c r="M1272" i="20"/>
  <c r="M1273" i="20"/>
  <c r="M1274" i="20"/>
  <c r="M1275" i="20"/>
  <c r="M1276" i="20"/>
  <c r="M1277" i="20"/>
  <c r="M1278" i="20"/>
  <c r="M1279" i="20"/>
  <c r="M1280" i="20"/>
  <c r="M1281" i="20"/>
  <c r="M1282" i="20"/>
  <c r="M1283" i="20"/>
  <c r="M1284" i="20"/>
  <c r="M1285" i="20"/>
  <c r="M1286" i="20"/>
  <c r="M1287" i="20"/>
  <c r="M1288" i="20"/>
  <c r="M1289" i="20"/>
  <c r="M1290" i="20"/>
  <c r="M1291" i="20"/>
  <c r="M1292" i="20"/>
  <c r="M1293" i="20"/>
  <c r="M1294" i="20"/>
  <c r="M1295" i="20"/>
  <c r="M1296" i="20"/>
  <c r="M1297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0" i="20"/>
  <c r="M261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2" i="20"/>
  <c r="M283" i="20"/>
  <c r="M284" i="20"/>
  <c r="M285" i="20"/>
  <c r="M286" i="20"/>
  <c r="M287" i="20"/>
  <c r="M288" i="20"/>
  <c r="M289" i="20"/>
  <c r="M290" i="20"/>
  <c r="M291" i="20"/>
  <c r="M292" i="20"/>
  <c r="M293" i="20"/>
  <c r="M294" i="20"/>
  <c r="M295" i="20"/>
  <c r="M296" i="20"/>
  <c r="M297" i="20"/>
  <c r="M298" i="20"/>
  <c r="M299" i="20"/>
  <c r="M300" i="20"/>
  <c r="M301" i="20"/>
  <c r="M302" i="20"/>
  <c r="M303" i="20"/>
  <c r="M304" i="20"/>
  <c r="M305" i="20"/>
  <c r="M306" i="20"/>
  <c r="M307" i="20"/>
  <c r="M308" i="20"/>
  <c r="M309" i="20"/>
  <c r="M310" i="20"/>
  <c r="M311" i="20"/>
  <c r="M312" i="20"/>
  <c r="M313" i="20"/>
  <c r="M314" i="20"/>
  <c r="M315" i="20"/>
  <c r="M316" i="20"/>
  <c r="M317" i="20"/>
  <c r="M318" i="20"/>
  <c r="M319" i="20"/>
  <c r="M320" i="20"/>
  <c r="M321" i="20"/>
  <c r="M322" i="20"/>
  <c r="M323" i="20"/>
  <c r="M324" i="20"/>
  <c r="M325" i="20"/>
  <c r="M326" i="20"/>
  <c r="M327" i="20"/>
  <c r="M328" i="20"/>
  <c r="M329" i="20"/>
  <c r="M330" i="20"/>
  <c r="M331" i="20"/>
  <c r="M332" i="20"/>
  <c r="M333" i="20"/>
  <c r="M334" i="20"/>
  <c r="M335" i="20"/>
  <c r="M336" i="20"/>
  <c r="M337" i="20"/>
  <c r="M338" i="20"/>
  <c r="M339" i="20"/>
  <c r="M340" i="20"/>
  <c r="M341" i="20"/>
  <c r="M342" i="20"/>
  <c r="M343" i="20"/>
  <c r="M344" i="20"/>
  <c r="M345" i="20"/>
  <c r="M346" i="20"/>
  <c r="M347" i="20"/>
  <c r="M348" i="20"/>
  <c r="M349" i="20"/>
  <c r="M350" i="20"/>
  <c r="M351" i="20"/>
  <c r="M352" i="20"/>
  <c r="M353" i="20"/>
  <c r="M354" i="20"/>
  <c r="M355" i="20"/>
  <c r="M356" i="20"/>
  <c r="M357" i="20"/>
  <c r="M358" i="20"/>
  <c r="M359" i="20"/>
  <c r="M360" i="20"/>
  <c r="M361" i="20"/>
  <c r="M362" i="20"/>
  <c r="M363" i="20"/>
  <c r="M364" i="20"/>
  <c r="M365" i="20"/>
  <c r="M366" i="20"/>
  <c r="M367" i="20"/>
  <c r="M368" i="20"/>
  <c r="M369" i="20"/>
  <c r="M370" i="20"/>
  <c r="M371" i="20"/>
  <c r="M372" i="20"/>
  <c r="M373" i="20"/>
  <c r="M374" i="20"/>
  <c r="M375" i="20"/>
  <c r="M376" i="20"/>
  <c r="M377" i="20"/>
  <c r="M378" i="20"/>
  <c r="M379" i="20"/>
  <c r="M380" i="20"/>
  <c r="M381" i="20"/>
  <c r="M382" i="20"/>
  <c r="M383" i="20"/>
  <c r="M384" i="20"/>
  <c r="M385" i="20"/>
  <c r="M386" i="20"/>
  <c r="M387" i="20"/>
  <c r="M388" i="20"/>
  <c r="M389" i="20"/>
  <c r="M390" i="20"/>
  <c r="M391" i="20"/>
  <c r="M392" i="20"/>
  <c r="M393" i="20"/>
  <c r="M394" i="20"/>
  <c r="M395" i="20"/>
  <c r="M396" i="20"/>
  <c r="M397" i="20"/>
  <c r="M398" i="20"/>
  <c r="M399" i="20"/>
  <c r="M400" i="20"/>
  <c r="M401" i="20"/>
  <c r="M402" i="20"/>
  <c r="M403" i="20"/>
  <c r="M404" i="20"/>
  <c r="M405" i="20"/>
  <c r="M406" i="20"/>
  <c r="M407" i="20"/>
  <c r="M408" i="20"/>
  <c r="M409" i="20"/>
  <c r="M410" i="20"/>
  <c r="M411" i="20"/>
  <c r="M412" i="20"/>
  <c r="M413" i="20"/>
  <c r="M414" i="20"/>
  <c r="M415" i="20"/>
  <c r="M416" i="20"/>
  <c r="M417" i="20"/>
  <c r="M418" i="20"/>
  <c r="M419" i="20"/>
  <c r="M420" i="20"/>
  <c r="M421" i="20"/>
  <c r="M422" i="20"/>
  <c r="M423" i="20"/>
  <c r="M424" i="20"/>
  <c r="M425" i="20"/>
  <c r="M426" i="20"/>
  <c r="M427" i="20"/>
  <c r="M428" i="20"/>
  <c r="M429" i="20"/>
  <c r="M430" i="20"/>
  <c r="M431" i="20"/>
  <c r="M432" i="20"/>
  <c r="M433" i="20"/>
  <c r="M434" i="20"/>
  <c r="M435" i="20"/>
  <c r="M436" i="20"/>
  <c r="M437" i="20"/>
  <c r="M438" i="20"/>
  <c r="M439" i="20"/>
  <c r="M440" i="20"/>
  <c r="M441" i="20"/>
  <c r="M442" i="20"/>
  <c r="M443" i="20"/>
  <c r="M444" i="20"/>
  <c r="M445" i="20"/>
  <c r="M446" i="20"/>
  <c r="M447" i="20"/>
  <c r="M448" i="20"/>
  <c r="M449" i="20"/>
  <c r="M450" i="20"/>
  <c r="M451" i="20"/>
  <c r="M452" i="20"/>
  <c r="M453" i="20"/>
  <c r="M454" i="20"/>
  <c r="M455" i="20"/>
  <c r="M456" i="20"/>
  <c r="M457" i="20"/>
  <c r="M458" i="20"/>
  <c r="M459" i="20"/>
  <c r="M460" i="20"/>
  <c r="M461" i="20"/>
  <c r="M462" i="20"/>
  <c r="M463" i="20"/>
  <c r="M464" i="20"/>
  <c r="M465" i="20"/>
  <c r="M466" i="20"/>
  <c r="M467" i="20"/>
  <c r="M468" i="20"/>
  <c r="M469" i="20"/>
  <c r="M470" i="20"/>
  <c r="M471" i="20"/>
  <c r="M472" i="20"/>
  <c r="M473" i="20"/>
  <c r="M474" i="20"/>
  <c r="M475" i="20"/>
  <c r="M476" i="20"/>
  <c r="M477" i="20"/>
  <c r="M478" i="20"/>
  <c r="M479" i="20"/>
  <c r="M480" i="20"/>
  <c r="M481" i="20"/>
  <c r="M482" i="20"/>
  <c r="M483" i="20"/>
  <c r="M484" i="20"/>
  <c r="M485" i="20"/>
  <c r="M486" i="20"/>
  <c r="M487" i="20"/>
  <c r="M488" i="20"/>
  <c r="M489" i="20"/>
  <c r="M490" i="20"/>
  <c r="M491" i="20"/>
  <c r="M492" i="20"/>
  <c r="M493" i="20"/>
  <c r="M494" i="20"/>
  <c r="M495" i="20"/>
  <c r="M496" i="20"/>
  <c r="M497" i="20"/>
  <c r="M498" i="20"/>
  <c r="M499" i="20"/>
  <c r="M500" i="20"/>
  <c r="M501" i="20"/>
  <c r="M502" i="20"/>
  <c r="M503" i="20"/>
  <c r="M504" i="20"/>
  <c r="M505" i="20"/>
  <c r="M506" i="20"/>
  <c r="M507" i="20"/>
  <c r="M508" i="20"/>
  <c r="M509" i="20"/>
  <c r="M510" i="20"/>
  <c r="M511" i="20"/>
  <c r="M512" i="20"/>
  <c r="M513" i="20"/>
  <c r="M514" i="20"/>
  <c r="M515" i="20"/>
  <c r="M516" i="20"/>
  <c r="M517" i="20"/>
  <c r="M518" i="20"/>
  <c r="M519" i="20"/>
  <c r="M520" i="20"/>
  <c r="M521" i="20"/>
  <c r="M522" i="20"/>
  <c r="M523" i="20"/>
  <c r="M524" i="20"/>
  <c r="M525" i="20"/>
  <c r="M526" i="20"/>
  <c r="M527" i="20"/>
  <c r="M528" i="20"/>
  <c r="M529" i="20"/>
  <c r="M530" i="20"/>
  <c r="M531" i="20"/>
  <c r="M532" i="20"/>
  <c r="M533" i="20"/>
  <c r="M534" i="20"/>
  <c r="M535" i="20"/>
  <c r="M536" i="20"/>
  <c r="M537" i="20"/>
  <c r="M538" i="20"/>
  <c r="M539" i="20"/>
  <c r="M540" i="20"/>
  <c r="M541" i="20"/>
  <c r="M542" i="20"/>
  <c r="M543" i="20"/>
  <c r="M544" i="20"/>
  <c r="M545" i="20"/>
  <c r="M546" i="20"/>
  <c r="M547" i="20"/>
  <c r="M548" i="20"/>
  <c r="M549" i="20"/>
  <c r="M550" i="20"/>
  <c r="M551" i="20"/>
  <c r="M552" i="20"/>
  <c r="M553" i="20"/>
  <c r="M554" i="20"/>
  <c r="M555" i="20"/>
  <c r="M556" i="20"/>
  <c r="M557" i="20"/>
  <c r="M558" i="20"/>
  <c r="M559" i="20"/>
  <c r="M560" i="20"/>
  <c r="M561" i="20"/>
  <c r="M562" i="20"/>
  <c r="M563" i="20"/>
  <c r="M564" i="20"/>
  <c r="M565" i="20"/>
  <c r="M566" i="20"/>
  <c r="M567" i="20"/>
  <c r="M568" i="20"/>
  <c r="M569" i="20"/>
  <c r="M570" i="20"/>
  <c r="M571" i="20"/>
  <c r="M572" i="20"/>
  <c r="M573" i="20"/>
  <c r="M574" i="20"/>
  <c r="M575" i="20"/>
  <c r="M576" i="20"/>
  <c r="M577" i="20"/>
  <c r="M578" i="20"/>
  <c r="M579" i="20"/>
  <c r="M580" i="20"/>
  <c r="M581" i="20"/>
  <c r="M582" i="20"/>
  <c r="M583" i="20"/>
  <c r="M584" i="20"/>
  <c r="M585" i="20"/>
  <c r="M586" i="20"/>
  <c r="M587" i="20"/>
  <c r="M588" i="20"/>
  <c r="M589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0" i="20"/>
  <c r="M661" i="20"/>
  <c r="M662" i="20"/>
  <c r="M663" i="20"/>
  <c r="M664" i="20"/>
  <c r="M665" i="20"/>
  <c r="M666" i="20"/>
  <c r="M667" i="20"/>
  <c r="M668" i="20"/>
  <c r="M669" i="20"/>
  <c r="M670" i="20"/>
  <c r="M671" i="20"/>
  <c r="M672" i="20"/>
  <c r="M673" i="20"/>
  <c r="M674" i="20"/>
  <c r="M675" i="20"/>
  <c r="M676" i="20"/>
  <c r="M677" i="20"/>
  <c r="M678" i="20"/>
  <c r="M679" i="20"/>
  <c r="M680" i="20"/>
  <c r="M681" i="20"/>
  <c r="M682" i="20"/>
  <c r="M683" i="20"/>
  <c r="M684" i="20"/>
  <c r="M685" i="20"/>
  <c r="M686" i="20"/>
  <c r="M687" i="20"/>
  <c r="M688" i="20"/>
  <c r="M689" i="20"/>
  <c r="M690" i="20"/>
  <c r="M691" i="20"/>
  <c r="M692" i="20"/>
  <c r="M693" i="20"/>
  <c r="M694" i="20"/>
  <c r="M695" i="20"/>
  <c r="M696" i="20"/>
  <c r="M697" i="20"/>
  <c r="M698" i="20"/>
  <c r="M699" i="20"/>
  <c r="M700" i="20"/>
  <c r="M701" i="20"/>
  <c r="M702" i="20"/>
  <c r="M703" i="20"/>
  <c r="M704" i="20"/>
  <c r="M705" i="20"/>
  <c r="M706" i="20"/>
  <c r="M707" i="20"/>
  <c r="M708" i="20"/>
  <c r="M709" i="20"/>
  <c r="M710" i="20"/>
  <c r="M711" i="20"/>
  <c r="M712" i="20"/>
  <c r="M713" i="20"/>
  <c r="M714" i="20"/>
  <c r="M715" i="20"/>
  <c r="M716" i="20"/>
  <c r="M717" i="20"/>
  <c r="M718" i="20"/>
  <c r="M719" i="20"/>
  <c r="M720" i="20"/>
  <c r="M721" i="20"/>
  <c r="M722" i="20"/>
  <c r="M723" i="20"/>
  <c r="M724" i="20"/>
  <c r="M725" i="20"/>
  <c r="M726" i="20"/>
  <c r="M727" i="20"/>
  <c r="M728" i="20"/>
  <c r="M729" i="20"/>
  <c r="M730" i="20"/>
  <c r="M731" i="20"/>
  <c r="M732" i="20"/>
  <c r="M733" i="20"/>
  <c r="M734" i="20"/>
  <c r="M735" i="20"/>
  <c r="M736" i="20"/>
  <c r="M737" i="20"/>
  <c r="M738" i="20"/>
  <c r="M739" i="20"/>
  <c r="M740" i="20"/>
  <c r="M741" i="20"/>
  <c r="M742" i="20"/>
  <c r="M743" i="20"/>
  <c r="M744" i="20"/>
  <c r="M745" i="20"/>
  <c r="M746" i="20"/>
  <c r="M747" i="20"/>
  <c r="M748" i="20"/>
  <c r="M749" i="20"/>
  <c r="M750" i="20"/>
  <c r="M751" i="20"/>
  <c r="M752" i="20"/>
  <c r="M753" i="20"/>
  <c r="M754" i="20"/>
  <c r="M755" i="20"/>
  <c r="M756" i="20"/>
  <c r="M757" i="20"/>
  <c r="M758" i="20"/>
  <c r="M759" i="20"/>
  <c r="M760" i="20"/>
  <c r="M761" i="20"/>
  <c r="M762" i="20"/>
  <c r="M763" i="20"/>
  <c r="M764" i="20"/>
  <c r="M765" i="20"/>
  <c r="M766" i="20"/>
  <c r="M767" i="20"/>
  <c r="M768" i="20"/>
  <c r="M769" i="20"/>
  <c r="M770" i="20"/>
  <c r="M771" i="20"/>
  <c r="M772" i="20"/>
  <c r="M773" i="20"/>
  <c r="M774" i="20"/>
  <c r="M775" i="20"/>
  <c r="M776" i="20"/>
  <c r="M777" i="20"/>
  <c r="M778" i="20"/>
  <c r="M779" i="20"/>
  <c r="M780" i="20"/>
  <c r="M781" i="20"/>
  <c r="M782" i="20"/>
  <c r="M783" i="20"/>
  <c r="M784" i="20"/>
  <c r="M785" i="20"/>
  <c r="M786" i="20"/>
  <c r="M787" i="20"/>
  <c r="M788" i="20"/>
  <c r="M789" i="20"/>
  <c r="M790" i="20"/>
  <c r="M791" i="20"/>
  <c r="M792" i="20"/>
  <c r="M793" i="20"/>
  <c r="M794" i="20"/>
  <c r="M795" i="20"/>
  <c r="M796" i="20"/>
  <c r="M797" i="20"/>
  <c r="M798" i="20"/>
  <c r="M799" i="20"/>
  <c r="M800" i="20"/>
  <c r="M801" i="20"/>
  <c r="M802" i="20"/>
  <c r="M803" i="20"/>
  <c r="M804" i="20"/>
  <c r="M805" i="20"/>
  <c r="M806" i="20"/>
  <c r="M807" i="20"/>
  <c r="M808" i="20"/>
  <c r="M809" i="20"/>
  <c r="M810" i="20"/>
  <c r="M811" i="20"/>
  <c r="M812" i="20"/>
  <c r="M813" i="20"/>
  <c r="M814" i="20"/>
  <c r="M815" i="20"/>
  <c r="M816" i="20"/>
  <c r="M817" i="20"/>
  <c r="M818" i="20"/>
  <c r="M819" i="20"/>
  <c r="M820" i="20"/>
  <c r="M821" i="20"/>
  <c r="M822" i="20"/>
  <c r="M823" i="20"/>
  <c r="M824" i="20"/>
  <c r="M825" i="20"/>
  <c r="M826" i="20"/>
  <c r="M827" i="20"/>
  <c r="M828" i="20"/>
  <c r="M829" i="20"/>
  <c r="M830" i="20"/>
  <c r="M831" i="20"/>
  <c r="M832" i="20"/>
  <c r="M833" i="20"/>
  <c r="M834" i="20"/>
  <c r="M835" i="20"/>
  <c r="M836" i="20"/>
  <c r="M837" i="20"/>
  <c r="M838" i="20"/>
  <c r="M839" i="20"/>
  <c r="M840" i="20"/>
  <c r="M841" i="20"/>
  <c r="M842" i="20"/>
  <c r="M843" i="20"/>
  <c r="M844" i="20"/>
  <c r="M845" i="20"/>
  <c r="M846" i="20"/>
  <c r="M847" i="20"/>
  <c r="M848" i="20"/>
  <c r="M849" i="20"/>
  <c r="M850" i="20"/>
  <c r="M851" i="20"/>
  <c r="M852" i="20"/>
  <c r="M853" i="20"/>
  <c r="M854" i="20"/>
  <c r="M855" i="20"/>
  <c r="M856" i="20"/>
  <c r="M857" i="20"/>
  <c r="M858" i="20"/>
  <c r="M859" i="20"/>
  <c r="M860" i="20"/>
  <c r="M861" i="20"/>
  <c r="M862" i="20"/>
  <c r="M863" i="20"/>
  <c r="M864" i="20"/>
  <c r="M865" i="20"/>
  <c r="M866" i="20"/>
  <c r="M867" i="20"/>
  <c r="M868" i="20"/>
  <c r="M869" i="20"/>
  <c r="M870" i="20"/>
  <c r="M871" i="20"/>
  <c r="M872" i="20"/>
  <c r="M873" i="20"/>
  <c r="M874" i="20"/>
  <c r="M875" i="20"/>
  <c r="M876" i="20"/>
  <c r="M877" i="20"/>
  <c r="M878" i="20"/>
  <c r="M879" i="20"/>
  <c r="M880" i="20"/>
  <c r="M881" i="20"/>
  <c r="M882" i="20"/>
  <c r="M883" i="20"/>
  <c r="M884" i="20"/>
  <c r="M885" i="20"/>
  <c r="M886" i="20"/>
  <c r="M887" i="20"/>
  <c r="M888" i="20"/>
  <c r="M889" i="20"/>
  <c r="M890" i="20"/>
  <c r="M891" i="20"/>
  <c r="M892" i="20"/>
  <c r="M893" i="20"/>
  <c r="M894" i="20"/>
  <c r="M895" i="20"/>
  <c r="M896" i="20"/>
  <c r="M897" i="20"/>
  <c r="M898" i="20"/>
  <c r="M899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Q3" i="17"/>
  <c r="V5" i="16"/>
  <c r="V6" i="16"/>
  <c r="V7" i="16"/>
  <c r="V8" i="16"/>
  <c r="V4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7" i="16"/>
  <c r="G4" i="16"/>
</calcChain>
</file>

<file path=xl/sharedStrings.xml><?xml version="1.0" encoding="utf-8"?>
<sst xmlns="http://schemas.openxmlformats.org/spreadsheetml/2006/main" count="17039" uniqueCount="2694">
  <si>
    <t>Task</t>
  </si>
  <si>
    <t>Status</t>
  </si>
  <si>
    <t>Thứ 3</t>
  </si>
  <si>
    <t>Thứ 4</t>
  </si>
  <si>
    <t>Thứ 5</t>
  </si>
  <si>
    <t>Thứ 6</t>
  </si>
  <si>
    <t>T2</t>
  </si>
  <si>
    <t>Nhắc Enterprise  lập báo cáo tuần</t>
  </si>
  <si>
    <t>Done</t>
  </si>
  <si>
    <t>T3</t>
  </si>
  <si>
    <t>Nhắc Boot lập báo cáo tuần</t>
  </si>
  <si>
    <t>T4</t>
  </si>
  <si>
    <t>Check task Enterprise</t>
  </si>
  <si>
    <t>T5</t>
  </si>
  <si>
    <t>T6</t>
  </si>
  <si>
    <t>Check task Boot</t>
  </si>
  <si>
    <t>Cập nhật task Enterprise</t>
  </si>
  <si>
    <t>Cập nhật task Boot</t>
  </si>
  <si>
    <t>Check QA task nếu có</t>
  </si>
  <si>
    <t>Open</t>
  </si>
  <si>
    <t>Udemy - Sáng</t>
  </si>
  <si>
    <t>Báo cáo Tuần - TL</t>
  </si>
  <si>
    <t>Review doc</t>
  </si>
  <si>
    <t>Review Code</t>
  </si>
  <si>
    <t>Weekly Enterprise</t>
  </si>
  <si>
    <t>Weekly Boot</t>
  </si>
  <si>
    <t>Transfer Boot</t>
  </si>
  <si>
    <t>Udemy - Chiều</t>
  </si>
  <si>
    <t>Doing</t>
  </si>
  <si>
    <t>Udemy</t>
  </si>
  <si>
    <t>Done active sprint + task cho Dev</t>
  </si>
  <si>
    <t>Process Task list - from Thế Anh</t>
  </si>
  <si>
    <t>Weekly AIDD</t>
  </si>
  <si>
    <t>OK</t>
  </si>
  <si>
    <t>CoE Team Weekly</t>
  </si>
  <si>
    <t>Kickoff project AIDD</t>
  </si>
  <si>
    <t>1PM</t>
  </si>
  <si>
    <t>Report sprint for Boot</t>
  </si>
  <si>
    <t>2PM</t>
  </si>
  <si>
    <t>Not comment Hoi Kim chứa cả bugs trên màn hình -&gt; fix bugs mới có thể run được doc =&gt; đã inform + cut task cho Sang</t>
  </si>
  <si>
    <t>Retro T6 / 2 weeks</t>
  </si>
  <si>
    <t>T7</t>
  </si>
  <si>
    <t>Gưi report Boot cùng retro</t>
  </si>
  <si>
    <t>Testplan</t>
  </si>
  <si>
    <t>Đóng/ mở sprint</t>
  </si>
  <si>
    <t>Retro Boot</t>
  </si>
  <si>
    <t>Rà soát ứng dụng vs Sang</t>
  </si>
  <si>
    <t>Check task liên quan đến FE của Boot</t>
  </si>
  <si>
    <t>Check task liên quan đến FE của Enterprise</t>
  </si>
  <si>
    <t>Enterprise</t>
  </si>
  <si>
    <t>https://lgcns-my.sharepoint.com/:x:/r/personal/linhlt_lgcns_com/_layouts/15/doc2.aspx?sourcedoc=%7B839D656F-5388-4071-9840-C3285FE839E0%7D&amp;file=Detail%20Task%20Phase2.xlsx&amp;fromShare=true&amp;action=default&amp;mobileredirect=true</t>
  </si>
  <si>
    <t>Boot</t>
  </si>
  <si>
    <t>https://lgcns.sharepoint.com/:x:/r/sites/SolutionCoEGroup-1/_layouts/15/Doc.aspx?sourcedoc=%7BF6DDE3D3-61F4-45A7-9133-2D7FEBB76970%7D&amp;file=Plan%20T6.xlsx&amp;action=default&amp;mobileredirect=true</t>
  </si>
  <si>
    <t>Taif lieuej session 2 - Enterprise</t>
  </si>
  <si>
    <t>Step2. cache, log, online-transaction, transaction control - CoE_DOE_DevOn Enterprise - WIRE-Wiki</t>
  </si>
  <si>
    <t>Check task AIDD</t>
  </si>
  <si>
    <t>Điều chỉnh kế hoạch T56; gửi lại kế hoạch vào thứ 2 tuần sau</t>
  </si>
  <si>
    <t>Mail Kickoff dự án</t>
  </si>
  <si>
    <t>Add status trên file chung - ds CoE transfer trên wire wiki</t>
  </si>
  <si>
    <t>Review tài liệu của Tuấn - Mail</t>
  </si>
  <si>
    <t>Add story vào trong task Dương mới tạo;</t>
  </si>
  <si>
    <t>Tạo task cho Trung vs Ánh trên Enterprise</t>
  </si>
  <si>
    <t>REview code Sang -&gt; Tùng</t>
  </si>
  <si>
    <t>Tâm transfer</t>
  </si>
  <si>
    <t>Báo giá hóa đơn</t>
  </si>
  <si>
    <t>Lý thuyết</t>
  </si>
  <si>
    <t>Tài liệu hóa đơn - Kien truc + tech stack</t>
  </si>
  <si>
    <t>Tài liệu lộ trình học lập trình</t>
  </si>
  <si>
    <t>Report Retro</t>
  </si>
  <si>
    <t>Sang</t>
  </si>
  <si>
    <t>Tùng</t>
  </si>
  <si>
    <t>Ánh</t>
  </si>
  <si>
    <t>Trọng</t>
  </si>
  <si>
    <t>Trung</t>
  </si>
  <si>
    <t>AIDD - AI Agent</t>
  </si>
  <si>
    <t>Họp team đưa giải pháp mình vào AI Agent</t>
  </si>
  <si>
    <t>Tuần này họp về: AI Agent;</t>
  </si>
  <si>
    <t>Dương</t>
  </si>
  <si>
    <t>- Tài liệu; sharing tự học</t>
  </si>
  <si>
    <t>Cường</t>
  </si>
  <si>
    <t>Lâm</t>
  </si>
  <si>
    <t>Tâm</t>
  </si>
  <si>
    <t>Linh</t>
  </si>
  <si>
    <t>Task phát triển song song với Training</t>
  </si>
  <si>
    <t>Nga</t>
  </si>
  <si>
    <t>- Kế hoạch trong thời gian tới;</t>
  </si>
  <si>
    <t>Phượng</t>
  </si>
  <si>
    <t>2 Members mới;</t>
  </si>
  <si>
    <t>Tân</t>
  </si>
  <si>
    <t>Đức</t>
  </si>
  <si>
    <t>1 Tuần - common components</t>
  </si>
  <si>
    <t>2 Task - Bài tập</t>
  </si>
  <si>
    <t>3 Hạ tầng</t>
  </si>
  <si>
    <t>4 Function list</t>
  </si>
  <si>
    <t>5 Solution hoàn thiện</t>
  </si>
  <si>
    <t>2 Members mới</t>
  </si>
  <si>
    <t>Training</t>
  </si>
  <si>
    <t>AI Agents</t>
  </si>
  <si>
    <t>3 members cũ</t>
  </si>
  <si>
    <t>1 Tuần - common components
2 Task - Bài tập
3 Hạ tầng
4 Function list
5 Solution hoàn thiện</t>
  </si>
  <si>
    <t>Nghiên cữu extension - Intellij</t>
  </si>
  <si>
    <t>1 tuần</t>
  </si>
  <si>
    <t>Tạo checklist</t>
  </si>
  <si>
    <t>Tạo task batch cho Enterprise</t>
  </si>
  <si>
    <t>Đánh giá BE cho MTG6</t>
  </si>
  <si>
    <t>Thực hiện Review Task với Dương</t>
  </si>
  <si>
    <t>Trao đổi với HK về GXP</t>
  </si>
  <si>
    <t>Đỗ Trung Nghĩa</t>
  </si>
  <si>
    <t>nghia.do@lgcns.com</t>
  </si>
  <si>
    <t>1 month</t>
  </si>
  <si>
    <t>Trương Minh Đức</t>
  </si>
  <si>
    <t>ductm@lgcns.com</t>
  </si>
  <si>
    <t>Nguyễn Văn Thành</t>
  </si>
  <si>
    <t>thanhnv@lgcns.com</t>
  </si>
  <si>
    <t>Phạm Hoài Nam</t>
  </si>
  <si>
    <t>nampham1569@lgcns.com</t>
  </si>
  <si>
    <t>Nguyễn Quang Thắng (PM Lena)</t>
  </si>
  <si>
    <t>thang.nq1007@lgcns.com</t>
  </si>
  <si>
    <t>Thứ 2</t>
  </si>
  <si>
    <t>No</t>
  </si>
  <si>
    <t>Code</t>
  </si>
  <si>
    <t>Name</t>
  </si>
  <si>
    <t>Action</t>
  </si>
  <si>
    <t>L1-Index</t>
  </si>
  <si>
    <t xml:space="preserve"> Index</t>
  </si>
  <si>
    <t>Parent name</t>
  </si>
  <si>
    <t>Username</t>
  </si>
  <si>
    <t>Full Name</t>
  </si>
  <si>
    <t>Email</t>
  </si>
  <si>
    <t>Company</t>
  </si>
  <si>
    <t>Deparment</t>
  </si>
  <si>
    <t>FN001</t>
  </si>
  <si>
    <t>System Setting</t>
  </si>
  <si>
    <t>SYSTEM</t>
  </si>
  <si>
    <t>Active</t>
  </si>
  <si>
    <t>ADMIN</t>
  </si>
  <si>
    <t>Admin</t>
  </si>
  <si>
    <t>username01</t>
  </si>
  <si>
    <t>User 01</t>
  </si>
  <si>
    <t>LG CNS</t>
  </si>
  <si>
    <t>E/F CoE</t>
  </si>
  <si>
    <t>FN00101</t>
  </si>
  <si>
    <t>Language Management</t>
  </si>
  <si>
    <t>LANGUAGE</t>
  </si>
  <si>
    <t>FN001 - System Setting</t>
  </si>
  <si>
    <t>GENERAL</t>
  </si>
  <si>
    <t>General</t>
  </si>
  <si>
    <t>username02</t>
  </si>
  <si>
    <t>User 02</t>
  </si>
  <si>
    <t>FN00102</t>
  </si>
  <si>
    <t>General config</t>
  </si>
  <si>
    <t>GENERAL.CONFIG</t>
  </si>
  <si>
    <t>CUSTOMER</t>
  </si>
  <si>
    <t>Customer</t>
  </si>
  <si>
    <t>username03</t>
  </si>
  <si>
    <t>User 03</t>
  </si>
  <si>
    <t>FN002</t>
  </si>
  <si>
    <t>System Dictionary</t>
  </si>
  <si>
    <t>DICTIONARY</t>
  </si>
  <si>
    <t>DEVELOPER</t>
  </si>
  <si>
    <t>Developer</t>
  </si>
  <si>
    <t>username04</t>
  </si>
  <si>
    <t>User 04</t>
  </si>
  <si>
    <t>FN003</t>
  </si>
  <si>
    <t>Navigation Setup</t>
  </si>
  <si>
    <t>NAVIGATION</t>
  </si>
  <si>
    <t>SUPPORT</t>
  </si>
  <si>
    <t>Support</t>
  </si>
  <si>
    <t>username05</t>
  </si>
  <si>
    <t>User 05</t>
  </si>
  <si>
    <t>FN004</t>
  </si>
  <si>
    <t>User Management</t>
  </si>
  <si>
    <t>USER</t>
  </si>
  <si>
    <t>FN005</t>
  </si>
  <si>
    <t>Login</t>
  </si>
  <si>
    <t>LOGIN</t>
  </si>
  <si>
    <t>FN006</t>
  </si>
  <si>
    <t>Log Management</t>
  </si>
  <si>
    <t>LOG</t>
  </si>
  <si>
    <t>FN007</t>
  </si>
  <si>
    <t>Email Service</t>
  </si>
  <si>
    <t>EMAIL</t>
  </si>
  <si>
    <t>FN008</t>
  </si>
  <si>
    <t>Push Notification</t>
  </si>
  <si>
    <t>NOTIFICATION</t>
  </si>
  <si>
    <t>FN009</t>
  </si>
  <si>
    <t>Approval Management</t>
  </si>
  <si>
    <t>APPROVE</t>
  </si>
  <si>
    <t>FN010</t>
  </si>
  <si>
    <t>Storage</t>
  </si>
  <si>
    <t>STORAGE</t>
  </si>
  <si>
    <t>FN011</t>
  </si>
  <si>
    <t>FAQ</t>
  </si>
  <si>
    <t>FN012</t>
  </si>
  <si>
    <t>Scheduler</t>
  </si>
  <si>
    <t>SCHEDULE</t>
  </si>
  <si>
    <t>FN013</t>
  </si>
  <si>
    <t>BBS (News)</t>
  </si>
  <si>
    <t>NEWS</t>
  </si>
  <si>
    <t>FN014</t>
  </si>
  <si>
    <t>Dashboard</t>
  </si>
  <si>
    <t>DASHBOARD</t>
  </si>
  <si>
    <t>Tổng</t>
  </si>
  <si>
    <t>Ga Tủ Lạnh</t>
  </si>
  <si>
    <t>Bàn ghế, bát đĩa</t>
  </si>
  <si>
    <t>Rau củ quả</t>
  </si>
  <si>
    <t>Thịt lợn</t>
  </si>
  <si>
    <t>Nấu cỗ, cá chép giòn, rửa bát</t>
  </si>
  <si>
    <t>Thịt bò xay giờ</t>
  </si>
  <si>
    <t>Thịt lợn xay giờ</t>
  </si>
  <si>
    <t>Gạo nếp, mộc nhĩ, miến.... tăm đũa</t>
  </si>
  <si>
    <t>Lạc nộm</t>
  </si>
  <si>
    <t>Gà</t>
  </si>
  <si>
    <t>Lable</t>
  </si>
  <si>
    <t>Data type</t>
  </si>
  <si>
    <t>Format</t>
  </si>
  <si>
    <t>Length</t>
  </si>
  <si>
    <t>code 1</t>
  </si>
  <si>
    <t>Lable 1</t>
  </si>
  <si>
    <t>Text</t>
  </si>
  <si>
    <t>code 2</t>
  </si>
  <si>
    <t>Lable 2</t>
  </si>
  <si>
    <t>Number</t>
  </si>
  <si>
    <t>19,2</t>
  </si>
  <si>
    <t>code 3</t>
  </si>
  <si>
    <t>Lable 3</t>
  </si>
  <si>
    <t>Date</t>
  </si>
  <si>
    <t>DD/MM/YYYY</t>
  </si>
  <si>
    <t>code 4</t>
  </si>
  <si>
    <t>Lable 4</t>
  </si>
  <si>
    <t>DateTime</t>
  </si>
  <si>
    <t>DD/MM/YYYY HH:SS:MM</t>
  </si>
  <si>
    <t>code 5</t>
  </si>
  <si>
    <t>Lable 5</t>
  </si>
  <si>
    <t>Option</t>
  </si>
  <si>
    <t>STATUS_OPTION</t>
  </si>
  <si>
    <t>A Phan Anh</t>
  </si>
  <si>
    <t>A Hoàng</t>
  </si>
  <si>
    <t>A Cần</t>
  </si>
  <si>
    <t>A Trường</t>
  </si>
  <si>
    <t>Chiến</t>
  </si>
  <si>
    <t>Việt Anh</t>
  </si>
  <si>
    <t>KB Card</t>
  </si>
  <si>
    <t>DB 5.2.6</t>
  </si>
  <si>
    <t>TABLE_NAME</t>
  </si>
  <si>
    <t>COLUMN_NAME</t>
  </si>
  <si>
    <t>DATA_TYPE</t>
  </si>
  <si>
    <t>DATA_LENGTH</t>
  </si>
  <si>
    <t>Check Table</t>
  </si>
  <si>
    <t>SDMM_MGTADMIN_TB</t>
  </si>
  <si>
    <t>OBJT_GU</t>
  </si>
  <si>
    <t>CHAR</t>
  </si>
  <si>
    <t>HTE_ASSOCIATION_VALUE_ENTRY</t>
  </si>
  <si>
    <t>RN_</t>
  </si>
  <si>
    <t>NUMBER</t>
  </si>
  <si>
    <t>OBJT_DELETE_CD</t>
  </si>
  <si>
    <t>VARCHAR2</t>
  </si>
  <si>
    <t>ID</t>
  </si>
  <si>
    <t>OBJT_MOD_DT</t>
  </si>
  <si>
    <t>ASSOCIATION_KEY</t>
  </si>
  <si>
    <t>OBJT_MODUSER_ID</t>
  </si>
  <si>
    <t>ASSOCIATION_VALUE</t>
  </si>
  <si>
    <t>OBJT_REG_DT</t>
  </si>
  <si>
    <t>SAGA_ID</t>
  </si>
  <si>
    <t>OBJT_REGUSER_ID</t>
  </si>
  <si>
    <t>SAGA_TYPE</t>
  </si>
  <si>
    <t>OBJT_STATE_CD</t>
  </si>
  <si>
    <t>RESC_ID</t>
  </si>
  <si>
    <t>RESC_OWN_DT</t>
  </si>
  <si>
    <t>RESC_OWNUSER_ID</t>
  </si>
  <si>
    <t>RESC_USED_CD</t>
  </si>
  <si>
    <t>RESC_MEMUSED_CD</t>
  </si>
  <si>
    <t>RESC_SITE_ID</t>
  </si>
  <si>
    <t>MTAD_ID</t>
  </si>
  <si>
    <t>MTAD_PW</t>
  </si>
  <si>
    <t>MTAD_COMPANY_NM</t>
  </si>
  <si>
    <t>MTAD_EMAIL_NM</t>
  </si>
  <si>
    <t>MTAD_NM</t>
  </si>
  <si>
    <t>MTAD_MPHONE_TX</t>
  </si>
  <si>
    <t>MTAD_TPHONE_TX</t>
  </si>
  <si>
    <t>MTAD_TYPE_CD</t>
  </si>
  <si>
    <t>SDMM_MGTMENUNODE_TB</t>
  </si>
  <si>
    <t>MUND_DESC_TX</t>
  </si>
  <si>
    <t>MUND_NM</t>
  </si>
  <si>
    <t>MUND_URI_TX</t>
  </si>
  <si>
    <t>MUND_LINKTYPE_CD</t>
  </si>
  <si>
    <t>MUND_TARGET_CD</t>
  </si>
  <si>
    <t>SDMM_MGTMENU_TB</t>
  </si>
  <si>
    <t>MUND_COMPONENT_CD</t>
  </si>
  <si>
    <t>TREE_DEGREE_NO</t>
  </si>
  <si>
    <t>TREE_LCHILD_GU</t>
  </si>
  <si>
    <t>TREE_LEVEL_NO</t>
  </si>
  <si>
    <t>TREE_NODE_CD</t>
  </si>
  <si>
    <t>TREE_ORDER_NO</t>
  </si>
  <si>
    <t>TREE_PARENT_GU</t>
  </si>
  <si>
    <t>TREE_RSIBLING_GU</t>
  </si>
  <si>
    <t>MTMU_MGTNODE_GU</t>
  </si>
  <si>
    <t>SDMM_MGTROLE_TB</t>
  </si>
  <si>
    <t>SDMM_MGTPASSWORD_TB</t>
  </si>
  <si>
    <t>MTRL_ID</t>
  </si>
  <si>
    <t>PW_MIN_LENGTH</t>
  </si>
  <si>
    <t>MTRL_NM</t>
  </si>
  <si>
    <t>PW_MAX_LENGTH</t>
  </si>
  <si>
    <t>MTRL_TX</t>
  </si>
  <si>
    <t>PW_RULE</t>
  </si>
  <si>
    <t>MTRL_MGTMENU_GU</t>
  </si>
  <si>
    <t>PW_RULE_USE_YN</t>
  </si>
  <si>
    <t>SDMM_MGTUSER_TB</t>
  </si>
  <si>
    <t>PW_EXP_PERIOD</t>
  </si>
  <si>
    <t>PW_HISTORY_SAVE_PERIOD</t>
  </si>
  <si>
    <t>PW_HISTORY_CHK_PERIOD</t>
  </si>
  <si>
    <t>SDMM_MGTPWUPDHISTORY_TB</t>
  </si>
  <si>
    <t>PW_UPD_HISTORY_ID</t>
  </si>
  <si>
    <t>MTUR_ID</t>
  </si>
  <si>
    <t>MTUR_PRE_PW</t>
  </si>
  <si>
    <t>MOD_DT</t>
  </si>
  <si>
    <t>MOD_USER_ID</t>
  </si>
  <si>
    <t>REG_DT</t>
  </si>
  <si>
    <t>REG_USER_ID</t>
  </si>
  <si>
    <t>MTUR_PW</t>
  </si>
  <si>
    <t>SDMM_MGTROLECTGR_TB</t>
  </si>
  <si>
    <t>MTRC_ROLE_ID</t>
  </si>
  <si>
    <t>MTUR_COMPANY_NM</t>
  </si>
  <si>
    <t>MTRC_RCTGR_ID</t>
  </si>
  <si>
    <t>MTUR_EMAIL_NM</t>
  </si>
  <si>
    <t>MTRC_EXE_CD</t>
  </si>
  <si>
    <t>MTUR_NM</t>
  </si>
  <si>
    <t>MTRC_MOD_DT</t>
  </si>
  <si>
    <t>MTUR_MPHONE_TX</t>
  </si>
  <si>
    <t>MTRC_MODUSER_ID</t>
  </si>
  <si>
    <t>MTUR_TPHONE_TX</t>
  </si>
  <si>
    <t>MTRC_REG_DT</t>
  </si>
  <si>
    <t>MTUR_TYPE_CD</t>
  </si>
  <si>
    <t>MTRC_REGUSER_ID</t>
  </si>
  <si>
    <t>MTUR_SITE_ID</t>
  </si>
  <si>
    <t>MTUR_MGTROLE_GU</t>
  </si>
  <si>
    <t>MTUR_PAST_PW1</t>
  </si>
  <si>
    <t>MTUR_PAST_PW2</t>
  </si>
  <si>
    <t>SDMM_SITE_TB</t>
  </si>
  <si>
    <t>SDMM_MGTUSER_HISTORY_TB</t>
  </si>
  <si>
    <t>MTUH_EXE_DT</t>
  </si>
  <si>
    <t>SITE_ID</t>
  </si>
  <si>
    <t>MTUH_EXE_CD</t>
  </si>
  <si>
    <t>SITE_CONTEXT_NM</t>
  </si>
  <si>
    <t>MTUH_EXE_USER_ID</t>
  </si>
  <si>
    <t>SITE_NM</t>
  </si>
  <si>
    <t>SITE_TX</t>
  </si>
  <si>
    <t>SITE_URL_NM</t>
  </si>
  <si>
    <t>SITE_ADMIN_ID</t>
  </si>
  <si>
    <t>SDRS_TX_TRAN_LOG</t>
  </si>
  <si>
    <t>GLOB_ID</t>
  </si>
  <si>
    <t>LOG_SEQ</t>
  </si>
  <si>
    <t>RQST_RSPN_CLSS_CD</t>
  </si>
  <si>
    <t>CHNL_TP_CD</t>
  </si>
  <si>
    <t>PROC_TL_TP_CD</t>
  </si>
  <si>
    <t>SVC_ID</t>
  </si>
  <si>
    <t>BUZ_CD</t>
  </si>
  <si>
    <t>USER_ID</t>
  </si>
  <si>
    <t>TR_VALD_MD</t>
  </si>
  <si>
    <t>TR_VALD_TM</t>
  </si>
  <si>
    <t>EMP_NO</t>
  </si>
  <si>
    <t>BUSINESS_DAY</t>
  </si>
  <si>
    <t>ACCOUNT_DATA</t>
  </si>
  <si>
    <t>BUZ_DATA</t>
  </si>
  <si>
    <t>CHNG_USR_ID</t>
  </si>
  <si>
    <t>CHNG_DT</t>
  </si>
  <si>
    <t>SDRS_USER_LOG</t>
  </si>
  <si>
    <t>USR_ID</t>
  </si>
  <si>
    <t>SYS_LOG_LEV</t>
  </si>
  <si>
    <t>TRACE_LOG_OPT</t>
  </si>
  <si>
    <t>TRACE_LOG_LEV</t>
  </si>
  <si>
    <t>IN_TR_LOG_TP</t>
  </si>
  <si>
    <t>OUT_TR_LOG_TP</t>
  </si>
  <si>
    <t>STAT_CD</t>
  </si>
  <si>
    <t>TR_VALD_MD_FROM</t>
  </si>
  <si>
    <t>TR_VALD_MD_TO</t>
  </si>
  <si>
    <t>TR_VALD_TM_FROM</t>
  </si>
  <si>
    <t>TR_VALD_TM_TO</t>
  </si>
  <si>
    <t>REFRESH_ST</t>
  </si>
  <si>
    <t>SDRS_USER_LOG_SERVICE_GP</t>
  </si>
  <si>
    <t>SVC_NM</t>
  </si>
  <si>
    <t>SEMM_AGENTSERVER_TB</t>
  </si>
  <si>
    <t>AGSV_IP_NM</t>
  </si>
  <si>
    <t>AGSV_PORT_NO</t>
  </si>
  <si>
    <t>AGSV_NM</t>
  </si>
  <si>
    <t>AGSV_DESC_TX</t>
  </si>
  <si>
    <t>AGSV_CONTEXT_NM</t>
  </si>
  <si>
    <t>SEMM_MGTMENUTOLANG_TB</t>
  </si>
  <si>
    <t>MENU_NAME_KEY</t>
  </si>
  <si>
    <t>LANG_CD</t>
  </si>
  <si>
    <t>VALUE</t>
  </si>
  <si>
    <t>SEMM_MGTMENUTOROLE_TB</t>
  </si>
  <si>
    <t>ROLE_ID</t>
  </si>
  <si>
    <t>SEMM_MGTMENUTOLANG_TB1</t>
  </si>
  <si>
    <t>SEMM_MGTMENU_TB</t>
  </si>
  <si>
    <t>MENU_COMPONENT</t>
  </si>
  <si>
    <t>MENU_URI</t>
  </si>
  <si>
    <t>MENU_PARENT</t>
  </si>
  <si>
    <t>MENU_SEQUENCE</t>
  </si>
  <si>
    <t>MENU_TYPE</t>
  </si>
  <si>
    <t>STATUS</t>
  </si>
  <si>
    <t>MENU_NODE_CD</t>
  </si>
  <si>
    <t>SEMM_MGTROLE_TB</t>
  </si>
  <si>
    <t>SEMM_MGTMENU_TB1</t>
  </si>
  <si>
    <t>ROLE_NAME</t>
  </si>
  <si>
    <t>ROLE_DESCRIPTION</t>
  </si>
  <si>
    <t>ROLE_TYPE</t>
  </si>
  <si>
    <t>SEMM_MGTUSER_ROLE_TB</t>
  </si>
  <si>
    <t>SEMM_MGTUSER_TB</t>
  </si>
  <si>
    <t>PASSWORD</t>
  </si>
  <si>
    <t>USER_NAME</t>
  </si>
  <si>
    <t>RETRY_COUNT</t>
  </si>
  <si>
    <t>PREV_PASSWORD_1</t>
  </si>
  <si>
    <t>PREV_PASSWORD_2</t>
  </si>
  <si>
    <t>LAST_CHANGE_PASSWORD_DT</t>
  </si>
  <si>
    <t>FORCE_CHANGE_PASSWORD</t>
  </si>
  <si>
    <t>RESC_LANG_CD</t>
  </si>
  <si>
    <t>SEMM_NOTICE_FILE_TB</t>
  </si>
  <si>
    <t>NOTICE_ID</t>
  </si>
  <si>
    <t>FILE_ORIGIN_NAME</t>
  </si>
  <si>
    <t>FILE_RENAME</t>
  </si>
  <si>
    <t>FILE_PATH</t>
  </si>
  <si>
    <t>FILE_SIZE</t>
  </si>
  <si>
    <t>SEMM_NOTICE_TB</t>
  </si>
  <si>
    <t>GUID</t>
  </si>
  <si>
    <t>TITLE</t>
  </si>
  <si>
    <t>CONTENT</t>
  </si>
  <si>
    <t>CLOB</t>
  </si>
  <si>
    <t>NOTICE_STATE</t>
  </si>
  <si>
    <t>SERE_AUTO_TRAN_CTRL_HST_TB</t>
  </si>
  <si>
    <t>TRAN_ID</t>
  </si>
  <si>
    <t>TRAN_BIZ_CD</t>
  </si>
  <si>
    <t>CHNL_CD</t>
  </si>
  <si>
    <t>MSG_CD</t>
  </si>
  <si>
    <t>SEQ</t>
  </si>
  <si>
    <t>OCCU_CNT</t>
  </si>
  <si>
    <t>SITE_CD</t>
  </si>
  <si>
    <t>SERE_AUTO_TRAN_CTRL_TB</t>
  </si>
  <si>
    <t>SERE_BIGDATA_TB</t>
  </si>
  <si>
    <t>BDAT_GLOB_ID</t>
  </si>
  <si>
    <t>BDAT_INOUT_TY</t>
  </si>
  <si>
    <t>BDAT_DATA_TY</t>
  </si>
  <si>
    <t>BDAT_PROC_SQ</t>
  </si>
  <si>
    <t>BDAT_DATA_CL</t>
  </si>
  <si>
    <t>BDAT_PROC_ST</t>
  </si>
  <si>
    <t>BDAT_REG_DT</t>
  </si>
  <si>
    <t>SERE_BT_DB_INFO_TB</t>
  </si>
  <si>
    <t>JOB_ID</t>
  </si>
  <si>
    <t>STEP_ID</t>
  </si>
  <si>
    <t>DB_SPEC</t>
  </si>
  <si>
    <t>XML_QUERY_LOC</t>
  </si>
  <si>
    <t>XML_QUERY_NAME</t>
  </si>
  <si>
    <t>MAIN_CHECK</t>
  </si>
  <si>
    <t>XML_QUERY_ALIAS</t>
  </si>
  <si>
    <t>INOUT_TYPE</t>
  </si>
  <si>
    <t>SERE_BT_EXEC_USER_TX_TB</t>
  </si>
  <si>
    <t>PROC_SEQ</t>
  </si>
  <si>
    <t>EXEC_COUNT</t>
  </si>
  <si>
    <t>TX_ID</t>
  </si>
  <si>
    <t>TX_VAL</t>
  </si>
  <si>
    <t>START_TIME</t>
  </si>
  <si>
    <t>TIMESTAMP(6)</t>
  </si>
  <si>
    <t>O_DATE</t>
  </si>
  <si>
    <t>TX_COUNT</t>
  </si>
  <si>
    <t>TX_SEQ</t>
  </si>
  <si>
    <t>SERE_BROKER_TB</t>
  </si>
  <si>
    <t>ENVR_TY</t>
  </si>
  <si>
    <t>BROKER_ID</t>
  </si>
  <si>
    <t>BROKER_CD</t>
  </si>
  <si>
    <t>BROKER_NM</t>
  </si>
  <si>
    <t>SERE_BT_FILE_EXEC_TX_TB</t>
  </si>
  <si>
    <t>PROTOCOL_CD</t>
  </si>
  <si>
    <t>HOST_NM</t>
  </si>
  <si>
    <t>PORT_NO</t>
  </si>
  <si>
    <t>FILE_NAME</t>
  </si>
  <si>
    <t>USER_PW</t>
  </si>
  <si>
    <t>PASSWORD_CRYPTO_NM</t>
  </si>
  <si>
    <t>TOTAL_COUNT</t>
  </si>
  <si>
    <t>IO_SPEC_ID</t>
  </si>
  <si>
    <t>FILE_TYPE</t>
  </si>
  <si>
    <t>END_TIME</t>
  </si>
  <si>
    <t>EXEC_SEQ</t>
  </si>
  <si>
    <t>SERE_BT_FILE_INFO_TB</t>
  </si>
  <si>
    <t>FILE_SEQ</t>
  </si>
  <si>
    <t>SERE_BT_EXEC_COUNT_TX_TB</t>
  </si>
  <si>
    <t>EXECUTOR_ID</t>
  </si>
  <si>
    <t>BIZ_FILE_PATH</t>
  </si>
  <si>
    <t>FILE_ENC</t>
  </si>
  <si>
    <t>FILE_FORM</t>
  </si>
  <si>
    <t>FILE_CHECK</t>
  </si>
  <si>
    <t>FILE_ALIAS</t>
  </si>
  <si>
    <t>FILE_WORK_PATH</t>
  </si>
  <si>
    <t>RENAME_FLAG</t>
  </si>
  <si>
    <t>COMMENTS</t>
  </si>
  <si>
    <t>CRLF_CHA_CD</t>
  </si>
  <si>
    <t>FILE_BASE_DIRECTORY</t>
  </si>
  <si>
    <t>PRESERVE_CYCLE</t>
  </si>
  <si>
    <t>IOIT_REC_ENCF1</t>
  </si>
  <si>
    <t>LINE_END_DELIMITER_YN</t>
  </si>
  <si>
    <t>FILE_CTGR_ID</t>
  </si>
  <si>
    <t>EMPTY_FILE_CREAT_YN</t>
  </si>
  <si>
    <t>NOP_CRYPTO_YN</t>
  </si>
  <si>
    <t>EBCDIC_CONV_YN</t>
  </si>
  <si>
    <t>SOSI_OPTION</t>
  </si>
  <si>
    <t>BACKUP_DIR_PATH</t>
  </si>
  <si>
    <t>BACKUP_FILENAME</t>
  </si>
  <si>
    <t>SERE_BT_JOB_ERR_EXEC_TX_TB</t>
  </si>
  <si>
    <t>ERR_CODE</t>
  </si>
  <si>
    <t>ERR_MSG</t>
  </si>
  <si>
    <t>ERR_CAUSE</t>
  </si>
  <si>
    <t>EMPTY_DEL_FLAG</t>
  </si>
  <si>
    <t>SERE_BT_JOB_EXEC_STOP_TX_TB</t>
  </si>
  <si>
    <t>STATUS_CODE</t>
  </si>
  <si>
    <t>SERE_BT_JOB_EXEC_TX_TB</t>
  </si>
  <si>
    <t>SERE_BT_JOB_EXEC_REWORK_TB</t>
  </si>
  <si>
    <t>FILELOG_PATH</t>
  </si>
  <si>
    <t>REWORK_PLACE</t>
  </si>
  <si>
    <t>COMMIT_COUNT</t>
  </si>
  <si>
    <t>EXECUTION_TYPE</t>
  </si>
  <si>
    <t>IS_SIMULTANEOUS</t>
  </si>
  <si>
    <t>TIMEOUT</t>
  </si>
  <si>
    <t>JOB_CYCLE</t>
  </si>
  <si>
    <t>CAUSE_STATUS_CODE</t>
  </si>
  <si>
    <t>SERE_BT_JOB_INFO_TB</t>
  </si>
  <si>
    <t>JOB_DESC</t>
  </si>
  <si>
    <t>EXEC_ENABLE</t>
  </si>
  <si>
    <t>SERVER_ID</t>
  </si>
  <si>
    <t>SHELL_ID</t>
  </si>
  <si>
    <t>PATH_ID</t>
  </si>
  <si>
    <t>SIMULTANEOUS_LIMIT_COUNT</t>
  </si>
  <si>
    <t>SERE_BT_PARAM_INFO_TB</t>
  </si>
  <si>
    <t>PARAM_KEY</t>
  </si>
  <si>
    <t>PARAM_SEQ</t>
  </si>
  <si>
    <t>PARAM_VALUE</t>
  </si>
  <si>
    <t>PARAM_DESC</t>
  </si>
  <si>
    <t>CTGR_ID</t>
  </si>
  <si>
    <t>CALE_REF_FLAG</t>
  </si>
  <si>
    <t>SYSIN_YN</t>
  </si>
  <si>
    <t>SERE_BT_PATH_INFO_TB</t>
  </si>
  <si>
    <t>PATH_NM</t>
  </si>
  <si>
    <t>DEFAULT_YN</t>
  </si>
  <si>
    <t>SERE_BT_RESIDENTIAL_EXEC_TX_TB</t>
  </si>
  <si>
    <t>RESIDENTIAL_ID</t>
  </si>
  <si>
    <t>UPDATE_TIME</t>
  </si>
  <si>
    <t>SERE_BT_RESIDENTIAL_INFO_TB</t>
  </si>
  <si>
    <t>RESIDENTIAL_CLASS</t>
  </si>
  <si>
    <t>EXECUTOR_NAME</t>
  </si>
  <si>
    <t>MONITORING_INTERVAL</t>
  </si>
  <si>
    <t>IS_EXEC_ENABLE</t>
  </si>
  <si>
    <t>TIME_OUT</t>
  </si>
  <si>
    <t>SERE_BT_SCHEDULED_INFO_TB</t>
  </si>
  <si>
    <t>SCHED_TYPE</t>
  </si>
  <si>
    <t>SCHED_STR</t>
  </si>
  <si>
    <t>SERE_BT_SERVER_INFO_TB</t>
  </si>
  <si>
    <t>IP_NM</t>
  </si>
  <si>
    <t>CONTEXT_NM</t>
  </si>
  <si>
    <t>URL_NM</t>
  </si>
  <si>
    <t>SERE_BT_SERVER_MAPPING_TL</t>
  </si>
  <si>
    <t>PARAM_NM</t>
  </si>
  <si>
    <t>SERE_BT_SHELL_INFO_TB</t>
  </si>
  <si>
    <t>SHELL_NM</t>
  </si>
  <si>
    <t>SERE_BT_STEP_DEPEND_ONS_TB</t>
  </si>
  <si>
    <t>DEPEND_ONS_STEP_ID</t>
  </si>
  <si>
    <t>SERE_BT_STEP_EXEC_TX_TB</t>
  </si>
  <si>
    <t>CURRENT_COUNT</t>
  </si>
  <si>
    <t>ERROR_COUNT</t>
  </si>
  <si>
    <t>UOM</t>
  </si>
  <si>
    <t>RESUME_MODE</t>
  </si>
  <si>
    <t>FAILED_SECTIONS</t>
  </si>
  <si>
    <t>SUCCESS_COUNT</t>
  </si>
  <si>
    <t>OUTPUT_TYPE</t>
  </si>
  <si>
    <t>PARAM_INFO</t>
  </si>
  <si>
    <t>VER</t>
  </si>
  <si>
    <t>IP</t>
  </si>
  <si>
    <t>SERE_BT_STEP_INFO_TB</t>
  </si>
  <si>
    <t>STEP_DESC</t>
  </si>
  <si>
    <t>WORKER_CLASS</t>
  </si>
  <si>
    <t>THREAD_NUM</t>
  </si>
  <si>
    <t>MAIN_ITEM_TYPE</t>
  </si>
  <si>
    <t>PARALLEL_MODE</t>
  </si>
  <si>
    <t>REF_JOB_ID</t>
  </si>
  <si>
    <t>REF_STEP_ID</t>
  </si>
  <si>
    <t>SERE_BT_TRAN_LOG_INFO_TB</t>
  </si>
  <si>
    <t>TRAN_IMAGE_INLOG_YN</t>
  </si>
  <si>
    <t>TRAN_IMAGE_OUTLOG_YN</t>
  </si>
  <si>
    <t>TRAN_LOG_LEVEL</t>
  </si>
  <si>
    <t>TRAN_TRACE_OPTION</t>
  </si>
  <si>
    <t>TRAN_TRACE_LOG_LEVEL</t>
  </si>
  <si>
    <t>SERE_CCBIZ_LOG_TB</t>
  </si>
  <si>
    <t>GU_ID</t>
  </si>
  <si>
    <t>TRX_SEQ</t>
  </si>
  <si>
    <t>OUT_MSG</t>
  </si>
  <si>
    <t>OUT_MSG2</t>
  </si>
  <si>
    <t>TRX_RST</t>
  </si>
  <si>
    <t>SERE_CALENDAR_TB</t>
  </si>
  <si>
    <t>GSEG_ID</t>
  </si>
  <si>
    <t>OP_BRCH</t>
  </si>
  <si>
    <t>HOL_MNG_PARENT_BR_NO</t>
  </si>
  <si>
    <t>ACC_NUM</t>
  </si>
  <si>
    <t>BASE_DT</t>
  </si>
  <si>
    <t>TRX_AMT</t>
  </si>
  <si>
    <t>PRE_3_BIZ_DT</t>
  </si>
  <si>
    <t>TRX_TYPE</t>
  </si>
  <si>
    <t>PRE_2_BIZ_DT</t>
  </si>
  <si>
    <t>TRX_DATE</t>
  </si>
  <si>
    <t>PRE_BIZ_DT</t>
  </si>
  <si>
    <t>BIZ_DT</t>
  </si>
  <si>
    <t>NEXT_BIZ_DT</t>
  </si>
  <si>
    <t>NEXT_2_BIZ_DT</t>
  </si>
  <si>
    <t>NEXT_3_BIZ_DT</t>
  </si>
  <si>
    <t>NEXT_4_BIZ_DT</t>
  </si>
  <si>
    <t>NEXT_5_BIZ_DT</t>
  </si>
  <si>
    <t>DFRD_ID</t>
  </si>
  <si>
    <t>NEXT_6_BIZ_DT</t>
  </si>
  <si>
    <t>PRE_FIRST_BIZ_DT</t>
  </si>
  <si>
    <t>PRE_LAST_BIZ_DT</t>
  </si>
  <si>
    <t>APPL_STRT_DT</t>
  </si>
  <si>
    <t>FIRST_BIZ_DT</t>
  </si>
  <si>
    <t>APPL_END_DT</t>
  </si>
  <si>
    <t>LAST_BIZ_DT</t>
  </si>
  <si>
    <t>CTRL_TP</t>
  </si>
  <si>
    <t>YEAR_LAST_BIZ_DT</t>
  </si>
  <si>
    <t>CTRL_RSON</t>
  </si>
  <si>
    <t>AC_PROC_DT</t>
  </si>
  <si>
    <t>SERE_CCERRMGMT_TB</t>
  </si>
  <si>
    <t>CC_ID</t>
  </si>
  <si>
    <t>AC_PROC_BF_DT</t>
  </si>
  <si>
    <t>PROC_DT</t>
  </si>
  <si>
    <t>DT_DV_CD</t>
  </si>
  <si>
    <t>CCEXE_NO</t>
  </si>
  <si>
    <t>WDAY_DV_CD</t>
  </si>
  <si>
    <t>PROCOP_NO</t>
  </si>
  <si>
    <t>PRESERVE_MOD_CD</t>
  </si>
  <si>
    <t>PROC_SQ</t>
  </si>
  <si>
    <t>SERE_CCERR_TB</t>
  </si>
  <si>
    <t>DAY_CD</t>
  </si>
  <si>
    <t>REREGSTAT_CD</t>
  </si>
  <si>
    <t>ERR_CD</t>
  </si>
  <si>
    <t>CC_PRC_YMD</t>
  </si>
  <si>
    <t>ERRPGM_ID</t>
  </si>
  <si>
    <t>CC_INS_CD</t>
  </si>
  <si>
    <t>ERRLOCN_CD</t>
  </si>
  <si>
    <t>CC_LDIN_NTH</t>
  </si>
  <si>
    <t>ERRTBL_ID</t>
  </si>
  <si>
    <t>CC_PRC_SNO</t>
  </si>
  <si>
    <t>SQL_CD</t>
  </si>
  <si>
    <t>CC_EXE_NTH</t>
  </si>
  <si>
    <t>OUTPMSG_TX</t>
  </si>
  <si>
    <t>ERR_MESSAGE</t>
  </si>
  <si>
    <t>ERR_STACKTRACE</t>
  </si>
  <si>
    <t>ERR_STACKTRACE_CL</t>
  </si>
  <si>
    <t>ERR_PGM_NM</t>
  </si>
  <si>
    <t>ERR_MTH_NM</t>
  </si>
  <si>
    <t>SERE_CCINP_TB</t>
  </si>
  <si>
    <t>ERR_LINE_NO</t>
  </si>
  <si>
    <t>TRT_MESSAGE</t>
  </si>
  <si>
    <t>TRT_CD</t>
  </si>
  <si>
    <t>ORGPROC_SQ</t>
  </si>
  <si>
    <t>CCPROCAMT_NO</t>
  </si>
  <si>
    <t>ETC</t>
  </si>
  <si>
    <t>SERE_CCGRP_TB</t>
  </si>
  <si>
    <t>DEPOACCT_NM</t>
  </si>
  <si>
    <t>DEPOTRNAMT_NO</t>
  </si>
  <si>
    <t>DEPOACCTHLD_NM</t>
  </si>
  <si>
    <t>CC_GRPN_DAT</t>
  </si>
  <si>
    <t>PROCSTAT_CD</t>
  </si>
  <si>
    <t>CNT</t>
  </si>
  <si>
    <t>CC_PRC_TG_AMT</t>
  </si>
  <si>
    <t>STRT_SQ</t>
  </si>
  <si>
    <t>END_SQ</t>
  </si>
  <si>
    <t>SERE_CCMAIN_TB</t>
  </si>
  <si>
    <t>CC_NM</t>
  </si>
  <si>
    <t>EXECLASS_NM</t>
  </si>
  <si>
    <t>SCHDCLSS_TY</t>
  </si>
  <si>
    <t>PROCSVC_NO</t>
  </si>
  <si>
    <t>PROCTBL_ID</t>
  </si>
  <si>
    <t>AUTOEXE_YN</t>
  </si>
  <si>
    <t>SYSLOGLV_CD</t>
  </si>
  <si>
    <t>CC_REQ_PRC_SNO</t>
  </si>
  <si>
    <t>EXECFBDSTR_DT</t>
  </si>
  <si>
    <t>EXECFBDEND_DT</t>
  </si>
  <si>
    <t>DATA_GB</t>
  </si>
  <si>
    <t>POOLTIME_NO</t>
  </si>
  <si>
    <t>ERRSTOP_YN</t>
  </si>
  <si>
    <t>HEADER_DATA</t>
  </si>
  <si>
    <t>ERRNOTI_CD</t>
  </si>
  <si>
    <t>CC_RECR_KY_VL</t>
  </si>
  <si>
    <t>NOTITLR_NO</t>
  </si>
  <si>
    <t>TRMSOBJPNUSR_ID</t>
  </si>
  <si>
    <t>ORG_GUID</t>
  </si>
  <si>
    <t>PREPRTRAN_ID</t>
  </si>
  <si>
    <t>PSTPRTRAN_ID</t>
  </si>
  <si>
    <t>DATA1</t>
  </si>
  <si>
    <t>PREPREXEC_YN</t>
  </si>
  <si>
    <t>DATA2</t>
  </si>
  <si>
    <t>PSTPREXEC_YN</t>
  </si>
  <si>
    <t>DATA3</t>
  </si>
  <si>
    <t>ACPTFILE_ID</t>
  </si>
  <si>
    <t>DATA4</t>
  </si>
  <si>
    <t>ACPTPATH_CD</t>
  </si>
  <si>
    <t>DATA5</t>
  </si>
  <si>
    <t>INST_NM</t>
  </si>
  <si>
    <t>STRT_DT</t>
  </si>
  <si>
    <t>END_DT</t>
  </si>
  <si>
    <t>PROC_TM</t>
  </si>
  <si>
    <t>SUCS_EXE_NTH</t>
  </si>
  <si>
    <t>CC_PRC_AMT</t>
  </si>
  <si>
    <t>TR_BRCD</t>
  </si>
  <si>
    <t>CC_PRC_FAL_AMT</t>
  </si>
  <si>
    <t>TR_EMPNO</t>
  </si>
  <si>
    <t>CC_PTL_PRC_AMT</t>
  </si>
  <si>
    <t>GROUP_CNT</t>
  </si>
  <si>
    <t>NODE_NM</t>
  </si>
  <si>
    <t>EXECFBDSTR_TM</t>
  </si>
  <si>
    <t>EXECFBDEND_TM</t>
  </si>
  <si>
    <t>ERR_STP_YN</t>
  </si>
  <si>
    <t>FNS_PTIM_RE_EXE_YN</t>
  </si>
  <si>
    <t>BWK_ERR_STS_ED_YN</t>
  </si>
  <si>
    <t>LST_LDIN_NTH_CLLG_YN</t>
  </si>
  <si>
    <t>SERE_CCLOADJOB_TB</t>
  </si>
  <si>
    <t>SERE_CCSVCMGMT_TB</t>
  </si>
  <si>
    <t>PROCSVC_ID</t>
  </si>
  <si>
    <t>TOTAL_CNT</t>
  </si>
  <si>
    <t>SUCC_CNT</t>
  </si>
  <si>
    <t>PROCSTRT_DT</t>
  </si>
  <si>
    <t>ERR_CNT</t>
  </si>
  <si>
    <t>PROCEND_DT</t>
  </si>
  <si>
    <t>SKIP_CNT</t>
  </si>
  <si>
    <t>ALLPROC_NO</t>
  </si>
  <si>
    <t>NORMPROC_NO</t>
  </si>
  <si>
    <t>NOTPROC_NO</t>
  </si>
  <si>
    <t>ERRPROC_NO</t>
  </si>
  <si>
    <t>AVGPROC_NO</t>
  </si>
  <si>
    <t>SCHDKEY_NM</t>
  </si>
  <si>
    <t>SERE_CCTBLITEM_TB</t>
  </si>
  <si>
    <t>CCTBL_ID</t>
  </si>
  <si>
    <t>NODE_SQ</t>
  </si>
  <si>
    <t>DAT_TY</t>
  </si>
  <si>
    <t>NODE_ID</t>
  </si>
  <si>
    <t>NODELEN_NO</t>
  </si>
  <si>
    <t>INDS_YN</t>
  </si>
  <si>
    <t>DEFTVAL_NM</t>
  </si>
  <si>
    <t>DPN_NO</t>
  </si>
  <si>
    <t>NODE_TX</t>
  </si>
  <si>
    <t>IMAGEINLOG_YN</t>
  </si>
  <si>
    <t>IMAGEOUTLOG_YN</t>
  </si>
  <si>
    <t>SYSLOGLEVEL_CD</t>
  </si>
  <si>
    <t>TRACEOPTION_CD</t>
  </si>
  <si>
    <t>TRACELOGLEVEL_NO</t>
  </si>
  <si>
    <t>SERE_CCTBL_TB</t>
  </si>
  <si>
    <t>CCTBL_TY</t>
  </si>
  <si>
    <t>CCTBL_TX</t>
  </si>
  <si>
    <t>SERE_CCOUT_TB</t>
  </si>
  <si>
    <t>SERE_CCTTZ_TB</t>
  </si>
  <si>
    <t>OUT_DATA1</t>
  </si>
  <si>
    <t>OUT_DATA2</t>
  </si>
  <si>
    <t>OUT_DATA3</t>
  </si>
  <si>
    <t>PREPRSTAT_CD</t>
  </si>
  <si>
    <t>OUT_DATA4</t>
  </si>
  <si>
    <t>PSTPRSTAT_CD</t>
  </si>
  <si>
    <t>OUT_DATA5</t>
  </si>
  <si>
    <t>PROC_TX</t>
  </si>
  <si>
    <t>PROCSCRN_ID</t>
  </si>
  <si>
    <t>REPROCSTRT_DT</t>
  </si>
  <si>
    <t>SERE_CCREQ_TB</t>
  </si>
  <si>
    <t>DATCVRSSTRT_DT</t>
  </si>
  <si>
    <t>DATCVRSEND_DT</t>
  </si>
  <si>
    <t>DATCVRS_NO</t>
  </si>
  <si>
    <t>DATCVRSAMT_NO</t>
  </si>
  <si>
    <t>ALLCCOBJ_NO</t>
  </si>
  <si>
    <t>GROUP_SQ_NO</t>
  </si>
  <si>
    <t>ALLCCOBJAMT_NO</t>
  </si>
  <si>
    <t>CC_GRPN_LNP_DAT</t>
  </si>
  <si>
    <t>BATCHPROCSTD_DT</t>
  </si>
  <si>
    <t>REREGPROC_NO</t>
  </si>
  <si>
    <t>CCPNPPROC_NO</t>
  </si>
  <si>
    <t>CHK_DT</t>
  </si>
  <si>
    <t>ERRPROC_TX</t>
  </si>
  <si>
    <t>SERE_COMP_TRAN_CTRL_TB</t>
  </si>
  <si>
    <t>SERE_DFRDBIZMNG_TB</t>
  </si>
  <si>
    <t>DFRD_BIZ_ID</t>
  </si>
  <si>
    <t>TRAN_DT</t>
  </si>
  <si>
    <t>LAST_DFRD_SEQ</t>
  </si>
  <si>
    <t>SERE_DFRDBIZ_TB</t>
  </si>
  <si>
    <t>DFRD_BIZ_NM</t>
  </si>
  <si>
    <t>MAX_SEL_CNT</t>
  </si>
  <si>
    <t>HEADER_FLAG</t>
  </si>
  <si>
    <t>INST_QUERY_PATH</t>
  </si>
  <si>
    <t>QUERY_PATH</t>
  </si>
  <si>
    <t>QUERY_SEQ_PATH</t>
  </si>
  <si>
    <t>QUERY_RENUM_PATH</t>
  </si>
  <si>
    <t>UPT_RENUM_PATH</t>
  </si>
  <si>
    <t>DFRD_DAT_TBL_NM</t>
  </si>
  <si>
    <t>SERE_DFRDDATBLCK_TB</t>
  </si>
  <si>
    <t>DFRD_PROC_ID</t>
  </si>
  <si>
    <t>DFRD_PROC_SEQ</t>
  </si>
  <si>
    <t>DFRD_SEQ</t>
  </si>
  <si>
    <t>DATA_ROW_ID</t>
  </si>
  <si>
    <t>PROC_ST</t>
  </si>
  <si>
    <t>RESULT_CD</t>
  </si>
  <si>
    <t>PROC_STRT_DT</t>
  </si>
  <si>
    <t>PROC_END_DT</t>
  </si>
  <si>
    <t>LAST_PROC_NM</t>
  </si>
  <si>
    <t>OGTN_GUID</t>
  </si>
  <si>
    <t>OGTN_PATH_NO</t>
  </si>
  <si>
    <t>DFRD_GUID</t>
  </si>
  <si>
    <t>DFRD_PATH_NO</t>
  </si>
  <si>
    <t>STRT_DFRD_PROC_SEQ</t>
  </si>
  <si>
    <t>END_DFRD_PROC_SEQ</t>
  </si>
  <si>
    <t>SERE_DFRDMAIN_TB</t>
  </si>
  <si>
    <t>DFRD_NM</t>
  </si>
  <si>
    <t>INST_SQ</t>
  </si>
  <si>
    <t>REPEXE_YN</t>
  </si>
  <si>
    <t>LASTSVC_ID</t>
  </si>
  <si>
    <t>LASTEXE_DT</t>
  </si>
  <si>
    <t>STOPSTRT_DT</t>
  </si>
  <si>
    <t>STOPEND_DT</t>
  </si>
  <si>
    <t>EXEPOOLTIME_NO</t>
  </si>
  <si>
    <t>TRAN_TX_CD</t>
  </si>
  <si>
    <t>ALL_TX_USE_YN</t>
  </si>
  <si>
    <t>TRAN_BIZ_TYPE</t>
  </si>
  <si>
    <t>SERE_DAEMONMAIN_TB</t>
  </si>
  <si>
    <t>DAEMON_ID</t>
  </si>
  <si>
    <t>DAEMON_NM</t>
  </si>
  <si>
    <t>TGT_JOBNODE_DTL_TYPE_CD</t>
  </si>
  <si>
    <t>TGTINST_NM</t>
  </si>
  <si>
    <t>USE_YN</t>
  </si>
  <si>
    <t>SERE_DFRDPROCERR_TB</t>
  </si>
  <si>
    <t>ERR_SYS_DT</t>
  </si>
  <si>
    <t>ACTION_CD</t>
  </si>
  <si>
    <t>ACTION_MSG</t>
  </si>
  <si>
    <t>USER_MSG</t>
  </si>
  <si>
    <t>ERR_TRACE_TYPE</t>
  </si>
  <si>
    <t>TIMEOUT_NO</t>
  </si>
  <si>
    <t>ERR_TRACE</t>
  </si>
  <si>
    <t>ERR_TRACE_LARGE</t>
  </si>
  <si>
    <t>SERE_DFRDPROCJOB_TB</t>
  </si>
  <si>
    <t>SERE_DAEMONMAIN_TB_BK</t>
  </si>
  <si>
    <t>TGTSVR_NM</t>
  </si>
  <si>
    <t>MAX_THREAD_CNT</t>
  </si>
  <si>
    <t>CFM_CHK_INT</t>
  </si>
  <si>
    <t>SERE_DFRDPROC_TB</t>
  </si>
  <si>
    <t>DFRD_PROC_NM</t>
  </si>
  <si>
    <t>BLOCK_MAX_CNT</t>
  </si>
  <si>
    <t>PROC_TRAN_ID</t>
  </si>
  <si>
    <t>DAY_CHG_CHK_FLAG</t>
  </si>
  <si>
    <t>PROC_TYPE_CD</t>
  </si>
  <si>
    <t>ERR_RTRY_CNT</t>
  </si>
  <si>
    <t>ERR_RTRY_INT</t>
  </si>
  <si>
    <t>THD_STOP_WAIT_TM</t>
  </si>
  <si>
    <t>SERE_DFRDSVC_TB</t>
  </si>
  <si>
    <t>STAT_TY</t>
  </si>
  <si>
    <t>SERE_DAEMONSVCHIS_TB</t>
  </si>
  <si>
    <t>EXEADDR_NM</t>
  </si>
  <si>
    <t>EXEINST_NM</t>
  </si>
  <si>
    <t>EXESVR_NM</t>
  </si>
  <si>
    <t>SERE_FWCONFIG_TB</t>
  </si>
  <si>
    <t>KEY</t>
  </si>
  <si>
    <t>CONFIG_TX</t>
  </si>
  <si>
    <t>MODUSER_ID</t>
  </si>
  <si>
    <t>SERE_DAEMONSVCHIS_TB_BK</t>
  </si>
  <si>
    <t>REGUSER_ID</t>
  </si>
  <si>
    <t>SERE_JOBNODE_TB</t>
  </si>
  <si>
    <t>TYPE_CD</t>
  </si>
  <si>
    <t>JNDIURL_NM</t>
  </si>
  <si>
    <t>FACTORY_NM</t>
  </si>
  <si>
    <t>QUEUE_NM</t>
  </si>
  <si>
    <t>QSSESION_NO</t>
  </si>
  <si>
    <t>ERRSTAT_TY</t>
  </si>
  <si>
    <t>JMXPORT_NO</t>
  </si>
  <si>
    <t>SENT_NO</t>
  </si>
  <si>
    <t>SERE_DAEMONSVCLOCK_TB</t>
  </si>
  <si>
    <t>DAEMON_ST</t>
  </si>
  <si>
    <t>SVR_NM</t>
  </si>
  <si>
    <t>LAST_STAT</t>
  </si>
  <si>
    <t>INITIAL_CONTEXT_FACTORY</t>
  </si>
  <si>
    <t>SERE_LOGMASKING</t>
  </si>
  <si>
    <t>COLUMN_NM</t>
  </si>
  <si>
    <t>LENGTH_NO</t>
  </si>
  <si>
    <t>PATTERN_TX</t>
  </si>
  <si>
    <t>SERE_DAEMONSVCLOCK_TB_BK</t>
  </si>
  <si>
    <t>SERE_RESTORE_TB</t>
  </si>
  <si>
    <t>DATE_DD</t>
  </si>
  <si>
    <t>TABLE_NM</t>
  </si>
  <si>
    <t>DATE_DAY</t>
  </si>
  <si>
    <t>DATE_TIME</t>
  </si>
  <si>
    <t>DETAIL</t>
  </si>
  <si>
    <t>SERE_DAEMONSVC_TB</t>
  </si>
  <si>
    <t>TRAN_TYPE</t>
  </si>
  <si>
    <t>IMAGE_TYPE</t>
  </si>
  <si>
    <t>PROC_CD</t>
  </si>
  <si>
    <t>RECORD</t>
  </si>
  <si>
    <t>TABLE_PK</t>
  </si>
  <si>
    <t>LAST_PROC_DATE</t>
  </si>
  <si>
    <t>LAST_PROC_TIME</t>
  </si>
  <si>
    <t>SERE_TIMER_TB</t>
  </si>
  <si>
    <t>SERE_DAEMONSVC_TB_BK</t>
  </si>
  <si>
    <t>PGRS_NO</t>
  </si>
  <si>
    <t>INST_CD</t>
  </si>
  <si>
    <t>TMR_PROC_STAT_CD</t>
  </si>
  <si>
    <t>RSPS_SVC_ID</t>
  </si>
  <si>
    <t>TMOT_SVC_ID</t>
  </si>
  <si>
    <t>EXCP_SVC_ID</t>
  </si>
  <si>
    <t>RSPS_DT</t>
  </si>
  <si>
    <t>TMOT_DT</t>
  </si>
  <si>
    <t>EXCP_DT</t>
  </si>
  <si>
    <t>TMR_START_DT</t>
  </si>
  <si>
    <t>TMOT_SEC</t>
  </si>
  <si>
    <t>ORI_RQST_HEDR_CTT</t>
  </si>
  <si>
    <t>ORI_RQST_TMSG_CTT</t>
  </si>
  <si>
    <t>ORI_RQST_TMSG_CTT2</t>
  </si>
  <si>
    <t>INTF_RQST_HEDR_CTT</t>
  </si>
  <si>
    <t>INTF_RQST_TMSG_CTT</t>
  </si>
  <si>
    <t>INTF_RQST_TMSG_CTT2</t>
  </si>
  <si>
    <t>LINK_ID</t>
  </si>
  <si>
    <t>RESV_FLD1</t>
  </si>
  <si>
    <t>RESV_FLD2</t>
  </si>
  <si>
    <t>TMOT_DATA_RESTR_CD</t>
  </si>
  <si>
    <t>INTF_RQST_IO_SPEC_ID</t>
  </si>
  <si>
    <t>ORI_RQST_IO_SPEC_ID</t>
  </si>
  <si>
    <t>SERE_USER_TRAN_CTRL_TB</t>
  </si>
  <si>
    <t>QUERY_RETRY_PATH</t>
  </si>
  <si>
    <t>INST_RETRY_PATH</t>
  </si>
  <si>
    <t>UPT_RETRY_PATH</t>
  </si>
  <si>
    <t>RETRY_DAT_TBL_NM</t>
  </si>
  <si>
    <t>SERL_JOURNALLOG</t>
  </si>
  <si>
    <t>JRNL_KEY</t>
  </si>
  <si>
    <t>ORD</t>
  </si>
  <si>
    <t>SERE_DFRDDATA_TB</t>
  </si>
  <si>
    <t>BASE_DD</t>
  </si>
  <si>
    <t>DEVICE_ID</t>
  </si>
  <si>
    <t>TRACE_GU</t>
  </si>
  <si>
    <t>DFRD_SYS_DT</t>
  </si>
  <si>
    <t>DFRD_TRSC_ID</t>
  </si>
  <si>
    <t>TRAN_NAME</t>
  </si>
  <si>
    <t>CATEGORY_ID</t>
  </si>
  <si>
    <t>CATEGORY_NAME</t>
  </si>
  <si>
    <t>SYSTEM_ID</t>
  </si>
  <si>
    <t>WASINS_ID</t>
  </si>
  <si>
    <t>BUSS_DT</t>
  </si>
  <si>
    <t>LOCALHOST_IP</t>
  </si>
  <si>
    <t>BIZ_LOG_DV_CD</t>
  </si>
  <si>
    <t>TRAN_DATE</t>
  </si>
  <si>
    <t>LINK_SEQ</t>
  </si>
  <si>
    <t>OCCUR_DATE</t>
  </si>
  <si>
    <t>RSPR_APV_NCNT</t>
  </si>
  <si>
    <t>SECTION</t>
  </si>
  <si>
    <t>RSPR_APV_CD1</t>
  </si>
  <si>
    <t>STARTEND_TY</t>
  </si>
  <si>
    <t>RSPR_APV_CD2</t>
  </si>
  <si>
    <t>SUCCESS_YN</t>
  </si>
  <si>
    <t>RSPR_APV_CD3</t>
  </si>
  <si>
    <t>RETURN_CODE</t>
  </si>
  <si>
    <t>RSPR_APV_CD4</t>
  </si>
  <si>
    <t>SAVE_TY</t>
  </si>
  <si>
    <t>RSPR_APV_CD5</t>
  </si>
  <si>
    <t>RSPR_APV_CD6</t>
  </si>
  <si>
    <t>RSPR_APV_CD7</t>
  </si>
  <si>
    <t>RSPR_APV_CD8</t>
  </si>
  <si>
    <t>RSPR_APV_CD9</t>
  </si>
  <si>
    <t>IO_SPEC_SYSTEMHEADER_ID</t>
  </si>
  <si>
    <t>STD_TMSG_LEN</t>
  </si>
  <si>
    <t>IO_SPEC_SYSTEMHEADER_DATA</t>
  </si>
  <si>
    <t>CRYP_DV_CD</t>
  </si>
  <si>
    <t>IO_SPEC_CHANNELHEADER_ID</t>
  </si>
  <si>
    <t>TMSG_WRTG_DT</t>
  </si>
  <si>
    <t>IO_SPEC_CHANNELHEADER_DATA</t>
  </si>
  <si>
    <t>TMSG_CRE_SYS_NM</t>
  </si>
  <si>
    <t>SERL_JOURNALLOGHIST</t>
  </si>
  <si>
    <t>STD_TMSG_SEQ_NO</t>
  </si>
  <si>
    <t>STD_TMSG_PRGR_NO</t>
  </si>
  <si>
    <t>IPV6_ADR</t>
  </si>
  <si>
    <t>ENVR_INFO_DV_CD</t>
  </si>
  <si>
    <t>FST_TRMS_SYS_CD</t>
  </si>
  <si>
    <t>TRMS_SYS_CD</t>
  </si>
  <si>
    <t>TRMS_ND_NO</t>
  </si>
  <si>
    <t>RQST_RSPS_DV_CD</t>
  </si>
  <si>
    <t>TRSC_SYNC_DV_CD</t>
  </si>
  <si>
    <t>TMSG_RQST_DTM</t>
  </si>
  <si>
    <t>RECV_SVC_CD</t>
  </si>
  <si>
    <t>RSLT_RECV_SVC_CD</t>
  </si>
  <si>
    <t>OLI_INTF_ID</t>
  </si>
  <si>
    <t>TMSG_RSPS_DTM</t>
  </si>
  <si>
    <t>PROC_RSLT_DV_CD</t>
  </si>
  <si>
    <t>PRN_TMSG_TYP_CD</t>
  </si>
  <si>
    <t>TMSG_CNTN_SEQ_NO</t>
  </si>
  <si>
    <t>DSBL_SYS_CD</t>
  </si>
  <si>
    <t>STD_TMSG_ERR_CD</t>
  </si>
  <si>
    <t>TMSG_VER_DV_CD</t>
  </si>
  <si>
    <t>CNTY_CD</t>
  </si>
  <si>
    <t>LNGG_DY_CD</t>
  </si>
  <si>
    <t>CHNL_TYP_CD</t>
  </si>
  <si>
    <t>OLI_ND_NO</t>
  </si>
  <si>
    <t>OLI_SESS_ID</t>
  </si>
  <si>
    <t>SYS_RSEV_STRN_CTT</t>
  </si>
  <si>
    <t>TMSG_MSG_TYP_CD</t>
  </si>
  <si>
    <t>TRSC_GRCO_CD</t>
  </si>
  <si>
    <t>SGMC_CATEGORY_TB</t>
  </si>
  <si>
    <t>TRSC_BR_NO</t>
  </si>
  <si>
    <t>CTGR_SITE_ID</t>
  </si>
  <si>
    <t>TRSC_BRFC_CD</t>
  </si>
  <si>
    <t>CTGR_MOD_DT</t>
  </si>
  <si>
    <t>TRSC_TML_NO</t>
  </si>
  <si>
    <t>CTGR_MODUSER_ID</t>
  </si>
  <si>
    <t>TML_VCEX_BR_NO</t>
  </si>
  <si>
    <t>CTGR_REG_DT</t>
  </si>
  <si>
    <t>APV_DV_CD</t>
  </si>
  <si>
    <t>CTGR_REGUSER_ID</t>
  </si>
  <si>
    <t>RSPR_APV_NO</t>
  </si>
  <si>
    <t>CTGR_LEVEL_NO</t>
  </si>
  <si>
    <t>TI1_APPR_EMP_NO</t>
  </si>
  <si>
    <t>CTGR_ORDER_NO</t>
  </si>
  <si>
    <t>TI2_APPR_EMP_NO</t>
  </si>
  <si>
    <t>CTGR_PARENT_ID</t>
  </si>
  <si>
    <t>SCRN_ID</t>
  </si>
  <si>
    <t>CTGR_ENG_NM</t>
  </si>
  <si>
    <t>MDCL_TYP_DV_CD</t>
  </si>
  <si>
    <t>CTGR_NM</t>
  </si>
  <si>
    <t>PSBK_DV_CD</t>
  </si>
  <si>
    <t>CTGR_TX</t>
  </si>
  <si>
    <t>CRD_DV_CD</t>
  </si>
  <si>
    <t>SGMC_CDTOSUBSET_TL</t>
  </si>
  <si>
    <t>CDMP_CDSS_CODESET_ID</t>
  </si>
  <si>
    <t>AC_RNW_MODE_DV_CD</t>
  </si>
  <si>
    <t>CDMP_CDSS_ID</t>
  </si>
  <si>
    <t>ONSH_OFSH_DV_CD</t>
  </si>
  <si>
    <t>CDMP_CODE_ID</t>
  </si>
  <si>
    <t>SMLTN_TRSC_YN</t>
  </si>
  <si>
    <t>CDMP_SITE_ID</t>
  </si>
  <si>
    <t>EDMS_TRSC_YN</t>
  </si>
  <si>
    <t>CDMP_MOD_DT</t>
  </si>
  <si>
    <t>OTSD_INST_CD</t>
  </si>
  <si>
    <t>CDMP_MODUSER_ID</t>
  </si>
  <si>
    <t>OTSD_BIZ_CD</t>
  </si>
  <si>
    <t>CDMP_REG_DT</t>
  </si>
  <si>
    <t>TMSG_PRN_LEN</t>
  </si>
  <si>
    <t>CDMP_REGUSER_ID</t>
  </si>
  <si>
    <t>STRG_SYS_CD</t>
  </si>
  <si>
    <t>CDMP_ORDER_NO</t>
  </si>
  <si>
    <t>LNK_SYS_CD</t>
  </si>
  <si>
    <t>SGMC_CODESET_TB</t>
  </si>
  <si>
    <t>CDST_ID</t>
  </si>
  <si>
    <t>OPRN_CD</t>
  </si>
  <si>
    <t>CDST_SITE_ID</t>
  </si>
  <si>
    <t>FST_TRMS_MDCL_CTT</t>
  </si>
  <si>
    <t>CDST_MOD_DT</t>
  </si>
  <si>
    <t>CERT_PROC_DV_CD</t>
  </si>
  <si>
    <t>CDST_MODUSER_ID</t>
  </si>
  <si>
    <t>TRSC_RSEV_STRN_CTT</t>
  </si>
  <si>
    <t>CDST_REG_DT</t>
  </si>
  <si>
    <t>TRSC_ORGN_BR_NO</t>
  </si>
  <si>
    <t>CDST_REGUSER_ID</t>
  </si>
  <si>
    <t>TRSC_ORGN_DT</t>
  </si>
  <si>
    <t>CDST_NM</t>
  </si>
  <si>
    <t>PROC_EMP_NO</t>
  </si>
  <si>
    <t>CDST_TX</t>
  </si>
  <si>
    <t>REF_NO</t>
  </si>
  <si>
    <t>CDST_CATEGORY_ID</t>
  </si>
  <si>
    <t>TRSC_SEQ_NO</t>
  </si>
  <si>
    <t>SGMC_CODESUBSET_TB</t>
  </si>
  <si>
    <t>CDSS_CODESET_ID</t>
  </si>
  <si>
    <t>CAN_TRSC_YN</t>
  </si>
  <si>
    <t>CDSS_ID</t>
  </si>
  <si>
    <t>OGN_TRSC_SEQ_NO</t>
  </si>
  <si>
    <t>CDSS_SITE_ID</t>
  </si>
  <si>
    <t>STRG_MNUL_DV_CD</t>
  </si>
  <si>
    <t>CDSS_MOD_DT</t>
  </si>
  <si>
    <t>DDAC_PROC_YN</t>
  </si>
  <si>
    <t>CDSS_MODUSER_ID</t>
  </si>
  <si>
    <t>AC_RNW_MODE_DV_C</t>
  </si>
  <si>
    <t>CDSS_REG_DT</t>
  </si>
  <si>
    <t>CASH_SBST_DV_CD</t>
  </si>
  <si>
    <t>CDSS_REGUSER_ID</t>
  </si>
  <si>
    <t>PRD_DTLS_CD</t>
  </si>
  <si>
    <t>CDSS_NM</t>
  </si>
  <si>
    <t>SVC_CD</t>
  </si>
  <si>
    <t>CDSS_TX</t>
  </si>
  <si>
    <t>CUST_NO</t>
  </si>
  <si>
    <t>SGMC_CODETOLANG_TB</t>
  </si>
  <si>
    <t>CDLG_CDST_ID</t>
  </si>
  <si>
    <t>CDLG_CODE_ID</t>
  </si>
  <si>
    <t>JNLZ_RULE_STUP_NC</t>
  </si>
  <si>
    <t>CDLG_SITE_ID</t>
  </si>
  <si>
    <t>DDAC_STUP_NCNT</t>
  </si>
  <si>
    <t>CDLG_LANG_CD</t>
  </si>
  <si>
    <t>RCKN_DT</t>
  </si>
  <si>
    <t>CDLG_MOD_DT</t>
  </si>
  <si>
    <t>CDLG_MODUSER_ID</t>
  </si>
  <si>
    <t>PSIT_ORGN_DV_CD</t>
  </si>
  <si>
    <t>CDLG_REG_DT</t>
  </si>
  <si>
    <t>RMK</t>
  </si>
  <si>
    <t>CDLG_REGUSER_ID</t>
  </si>
  <si>
    <t>AC_INFO_CTT1</t>
  </si>
  <si>
    <t>CDLG_TX</t>
  </si>
  <si>
    <t>AC_INFO_CTT2</t>
  </si>
  <si>
    <t>SGMC_CODE_TB</t>
  </si>
  <si>
    <t>CODE_CODESET_ID</t>
  </si>
  <si>
    <t>AC_INFO_CTT3</t>
  </si>
  <si>
    <t>CODE_ID</t>
  </si>
  <si>
    <t>AC_INFO_CTT4</t>
  </si>
  <si>
    <t>CODE_SITE_ID</t>
  </si>
  <si>
    <t>AC_INFO_CTT5</t>
  </si>
  <si>
    <t>CODE_MOD_DT</t>
  </si>
  <si>
    <t>AC_INFO_CTT6</t>
  </si>
  <si>
    <t>CODE_MODUSER_ID</t>
  </si>
  <si>
    <t>AC_INFO_CTT7</t>
  </si>
  <si>
    <t>CODE_REG_DT</t>
  </si>
  <si>
    <t>AC_INFO_CTT8</t>
  </si>
  <si>
    <t>CODE_REGUSER_ID</t>
  </si>
  <si>
    <t>AC_INFO_CTT9</t>
  </si>
  <si>
    <t>CODE_APPLYEND_NM</t>
  </si>
  <si>
    <t>AC_INFO_CTT10</t>
  </si>
  <si>
    <t>CODE_APPLYSTART_NM</t>
  </si>
  <si>
    <t>AC_INFO_CTT11</t>
  </si>
  <si>
    <t>CODE_ORDER_NO</t>
  </si>
  <si>
    <t>AC_INFO_CTT12</t>
  </si>
  <si>
    <t>CODE_CATEGORY_ID</t>
  </si>
  <si>
    <t>AC_INFO_CTT13</t>
  </si>
  <si>
    <t>CODE_TYPE_CD</t>
  </si>
  <si>
    <t>AC_INFO_CTT14</t>
  </si>
  <si>
    <t>SGMC_DEVICE_TB</t>
  </si>
  <si>
    <t>DVCE_ID</t>
  </si>
  <si>
    <t>AC_INFO_CTT15</t>
  </si>
  <si>
    <t>DVCE_SITE_ID</t>
  </si>
  <si>
    <t>AC_INFO_CTT16</t>
  </si>
  <si>
    <t>DVCE_MOD_DT</t>
  </si>
  <si>
    <t>AC_INFO_CTT17</t>
  </si>
  <si>
    <t>DVCE_MODUSER_ID</t>
  </si>
  <si>
    <t>AC_INFO_CTT18</t>
  </si>
  <si>
    <t>DVCE_REG_DT</t>
  </si>
  <si>
    <t>AC_INFO_CTT19</t>
  </si>
  <si>
    <t>DVCE_REGUSER_ID</t>
  </si>
  <si>
    <t>AC_INFO_CTT20</t>
  </si>
  <si>
    <t>DVCE_NM</t>
  </si>
  <si>
    <t>AC_INFO_CTT21</t>
  </si>
  <si>
    <t>DVCE_DESC_TX</t>
  </si>
  <si>
    <t>AC_INFO_CTT22</t>
  </si>
  <si>
    <t>DVCE_DEFAULT_YN</t>
  </si>
  <si>
    <t>AC_INFO_CTT23</t>
  </si>
  <si>
    <t>DVCE_ORDER_NO</t>
  </si>
  <si>
    <t>AC_INFO_CTT24</t>
  </si>
  <si>
    <t>DVCE_MAXWIDTH_NO</t>
  </si>
  <si>
    <t>AC_INFO_CTT25</t>
  </si>
  <si>
    <t>DVCE_MINWIDTH_NO</t>
  </si>
  <si>
    <t>AC_INFO_CTT26</t>
  </si>
  <si>
    <t>SGMC_DNLFILE_TB</t>
  </si>
  <si>
    <t>DNFL_ID</t>
  </si>
  <si>
    <t>AC_INFO_CTT27</t>
  </si>
  <si>
    <t>DNFL_SITE_ID</t>
  </si>
  <si>
    <t>AC_INFO_CTT28</t>
  </si>
  <si>
    <t>DNFL_MOD_DT</t>
  </si>
  <si>
    <t>AC_INFO_CTT29</t>
  </si>
  <si>
    <t>DNFL_MODUSER_ID</t>
  </si>
  <si>
    <t>AC_INFO_CTT30</t>
  </si>
  <si>
    <t>DNFL_REG_DT</t>
  </si>
  <si>
    <t>AC_INFO_CTT31</t>
  </si>
  <si>
    <t>DNFL_REGUSER_ID</t>
  </si>
  <si>
    <t>AC_INFO_CTT32</t>
  </si>
  <si>
    <t>DNFL_NM</t>
  </si>
  <si>
    <t>AC_INFO_CTT33</t>
  </si>
  <si>
    <t>DNFL_SIZE_NO</t>
  </si>
  <si>
    <t>AC_INFO_CTT34</t>
  </si>
  <si>
    <t>DNFL_PATH_TX</t>
  </si>
  <si>
    <t>AC_INFO_CTT35</t>
  </si>
  <si>
    <t>SGMC_DNLHISTORY_TB</t>
  </si>
  <si>
    <t>DNHS_ID</t>
  </si>
  <si>
    <t>AC_INFO_CTT36</t>
  </si>
  <si>
    <t>DNHS_SITE_ID</t>
  </si>
  <si>
    <t>AC_INFO_CTT37</t>
  </si>
  <si>
    <t>DNHS_MOD_DT</t>
  </si>
  <si>
    <t>AC_INFO_CTT38</t>
  </si>
  <si>
    <t>DNHS_MODUSER_ID</t>
  </si>
  <si>
    <t>AC_INFO_CTT39</t>
  </si>
  <si>
    <t>DNHS_REG_DT</t>
  </si>
  <si>
    <t>AC_INFO_CTT40</t>
  </si>
  <si>
    <t>DNHS_REGUSER_ID</t>
  </si>
  <si>
    <t>AC_INFO_CTT41</t>
  </si>
  <si>
    <t>DNHS_SEQ_NO</t>
  </si>
  <si>
    <t>AC_INFO_CTT42</t>
  </si>
  <si>
    <t>DNHS_SEQSUB_NO</t>
  </si>
  <si>
    <t>AC_INFO_CTT43</t>
  </si>
  <si>
    <t>DNHS_SVC_ID</t>
  </si>
  <si>
    <t>AC_INFO_CTT44</t>
  </si>
  <si>
    <t>DNHS_FILESEQ_NO</t>
  </si>
  <si>
    <t>AC_INFO_CTT45</t>
  </si>
  <si>
    <t>DNHS_CLASSPATH_TX</t>
  </si>
  <si>
    <t>AC_INFO_CTT46</t>
  </si>
  <si>
    <t>DNHS_SERVER_NM</t>
  </si>
  <si>
    <t>AC_INFO_CTT47</t>
  </si>
  <si>
    <t>DNHS_IP_NM</t>
  </si>
  <si>
    <t>AC_INFO_CTT48</t>
  </si>
  <si>
    <t>DNHS_PORT_NM</t>
  </si>
  <si>
    <t>AC_INFO_CTT49</t>
  </si>
  <si>
    <t>DNHS_CONTEXT_NM</t>
  </si>
  <si>
    <t>AC_INFO_CTT50</t>
  </si>
  <si>
    <t>DNHS_CONDITION_ST</t>
  </si>
  <si>
    <t>AC_INFO_CTT51</t>
  </si>
  <si>
    <t>DNHS_RELOAD_ST</t>
  </si>
  <si>
    <t>AC_INFO_CTT52</t>
  </si>
  <si>
    <t>DNHS_COPYFILE_ST</t>
  </si>
  <si>
    <t>AC_INFO_CTT53</t>
  </si>
  <si>
    <t>DNHS_RESTORE_ST</t>
  </si>
  <si>
    <t>AC_INFO_CTT54</t>
  </si>
  <si>
    <t>DNHS_NOTE_CL</t>
  </si>
  <si>
    <t>AC_INFO_CTT55</t>
  </si>
  <si>
    <t>DNHS_USER_ID</t>
  </si>
  <si>
    <t>AC_INFO_CTT56</t>
  </si>
  <si>
    <t>DNHS_DT</t>
  </si>
  <si>
    <t>AC_INFO_CTT57</t>
  </si>
  <si>
    <t>DNHS_REASON_TX</t>
  </si>
  <si>
    <t>AC_INFO_CTT58</t>
  </si>
  <si>
    <t>DNHS_RESULTLOAD_ST</t>
  </si>
  <si>
    <t>AC_INFO_CTT59</t>
  </si>
  <si>
    <t>DNHS_RESULTCOPY_ST</t>
  </si>
  <si>
    <t>AC_INFO_CTT60</t>
  </si>
  <si>
    <t>DNHS_DNFL_ID</t>
  </si>
  <si>
    <t>AC_INFO_CTT61</t>
  </si>
  <si>
    <t>SGMC_FORM_TB</t>
  </si>
  <si>
    <t>FORM_ID</t>
  </si>
  <si>
    <t>AC_INFO_CTT62</t>
  </si>
  <si>
    <t>FORM_SITE_ID</t>
  </si>
  <si>
    <t>AC_INFO_CTT63</t>
  </si>
  <si>
    <t>FORM_MOD_DT</t>
  </si>
  <si>
    <t>AC_INFO_CTT64</t>
  </si>
  <si>
    <t>FORM_MODUSER_ID</t>
  </si>
  <si>
    <t>AC_INFO_CTT65</t>
  </si>
  <si>
    <t>FORM_REG_DT</t>
  </si>
  <si>
    <t>AC_INFO_CTT66</t>
  </si>
  <si>
    <t>FORM_REGUSER_ID</t>
  </si>
  <si>
    <t>AC_INFO_CTT67</t>
  </si>
  <si>
    <t>FORM_IOSP_ID</t>
  </si>
  <si>
    <t>AC_INFO_CTT68</t>
  </si>
  <si>
    <t>FORM_NM</t>
  </si>
  <si>
    <t>AC_INFO_CTT69</t>
  </si>
  <si>
    <t>SGMC_FWCODESET_TB</t>
  </si>
  <si>
    <t>FWCS_ID</t>
  </si>
  <si>
    <t>AC_INFO_CTT70</t>
  </si>
  <si>
    <t>FWCS_SITE_ID</t>
  </si>
  <si>
    <t>AC_INFO_CTT71</t>
  </si>
  <si>
    <t>FWCS_MOD_DT</t>
  </si>
  <si>
    <t>AC_INFO_CTT72</t>
  </si>
  <si>
    <t>FWCS_MODUSER_ID</t>
  </si>
  <si>
    <t>AC_INFO_CTT73</t>
  </si>
  <si>
    <t>FWCS_REG_DT</t>
  </si>
  <si>
    <t>AC_INFO_CTT74</t>
  </si>
  <si>
    <t>FWCS_REGUSER_ID</t>
  </si>
  <si>
    <t>AC_INFO_CTT75</t>
  </si>
  <si>
    <t>FWCS_NM</t>
  </si>
  <si>
    <t>AC_INFO_CTT76</t>
  </si>
  <si>
    <t>FWCS_TX</t>
  </si>
  <si>
    <t>AC_INFO_CTT77</t>
  </si>
  <si>
    <t>SGMC_FWCODE_TB</t>
  </si>
  <si>
    <t>FWCD_ID</t>
  </si>
  <si>
    <t>AC_INFO_CTT78</t>
  </si>
  <si>
    <t>FWCD_SITE_ID</t>
  </si>
  <si>
    <t>AC_INFO_CTT79</t>
  </si>
  <si>
    <t>FWCD_MOD_DT</t>
  </si>
  <si>
    <t>AC_INFO_CTT80</t>
  </si>
  <si>
    <t>FWCD_MODUSER_ID</t>
  </si>
  <si>
    <t>AC_INFO_CTT81</t>
  </si>
  <si>
    <t>FWCD_REG_DT</t>
  </si>
  <si>
    <t>AC_INFO_CTT82</t>
  </si>
  <si>
    <t>FWCD_REGUSER_ID</t>
  </si>
  <si>
    <t>AC_INFO_CTT83</t>
  </si>
  <si>
    <t>FWCD_NM</t>
  </si>
  <si>
    <t>AC_INFO_CTT84</t>
  </si>
  <si>
    <t>FWCD_DESC_TX</t>
  </si>
  <si>
    <t>AC_INFO_CTT85</t>
  </si>
  <si>
    <t>FWCD_ORDER_NO</t>
  </si>
  <si>
    <t>AC_INFO_CTT86</t>
  </si>
  <si>
    <t>FWCD_FWCS_ID</t>
  </si>
  <si>
    <t>AC_INFO_CTT87</t>
  </si>
  <si>
    <t>SGMC_IOITEM_TB</t>
  </si>
  <si>
    <t>IOIT_ID</t>
  </si>
  <si>
    <t>AC_INFO_CTT88</t>
  </si>
  <si>
    <t>IOIT_SITE_ID</t>
  </si>
  <si>
    <t>AC_INFO_CTT89</t>
  </si>
  <si>
    <t>IOIT_MOD_DT</t>
  </si>
  <si>
    <t>AC_INFO_CTT90</t>
  </si>
  <si>
    <t>IOIT_MODUSER_ID</t>
  </si>
  <si>
    <t>AC_INFO_CTT91</t>
  </si>
  <si>
    <t>IOIT_REG_DT</t>
  </si>
  <si>
    <t>AC_INFO_CTT92</t>
  </si>
  <si>
    <t>IOIT_REGUSER_ID</t>
  </si>
  <si>
    <t>AC_INFO_CTT93</t>
  </si>
  <si>
    <t>IOIT_SQ</t>
  </si>
  <si>
    <t>AC_INFO_CTT94</t>
  </si>
  <si>
    <t>IOIT_IOSP_ID</t>
  </si>
  <si>
    <t>AC_INFO_CTT95</t>
  </si>
  <si>
    <t>IOIT_DATA_TY</t>
  </si>
  <si>
    <t>AC_INFO_CTT96</t>
  </si>
  <si>
    <t>IOIT_PARENTPATH_ID</t>
  </si>
  <si>
    <t>AC_INFO_CTT97</t>
  </si>
  <si>
    <t>IOIT_LENGTH_NO</t>
  </si>
  <si>
    <t>AC_INFO_CTT98</t>
  </si>
  <si>
    <t>IOIT_MANDATORY_YN</t>
  </si>
  <si>
    <t>AC_INFO_CTT99</t>
  </si>
  <si>
    <t>IOIT_DEFAULTVAL_NM</t>
  </si>
  <si>
    <t>AC_INFO_CTT100</t>
  </si>
  <si>
    <t>IOIT_DECIMAL_NO</t>
  </si>
  <si>
    <t>ERR_ORGN_TRSC_ID</t>
  </si>
  <si>
    <t>IOIT_DESC_TX</t>
  </si>
  <si>
    <t>ERR_ORGN_FILE_NM</t>
  </si>
  <si>
    <t>IOIT_HANGUL_YN</t>
  </si>
  <si>
    <t>ERR_ORGN_LINE_NO</t>
  </si>
  <si>
    <t>IOIT_POINT_YN</t>
  </si>
  <si>
    <t>STD_TMSG_ERR_CD2</t>
  </si>
  <si>
    <t>IOIT_VERSION_NO</t>
  </si>
  <si>
    <t>ERR_ORGN_FILE_NM2</t>
  </si>
  <si>
    <t>IOIT_TYPE_CD</t>
  </si>
  <si>
    <t>ERR_ORGN_LINE_NO2</t>
  </si>
  <si>
    <t>IOIT_SORT_CD</t>
  </si>
  <si>
    <t>STD_TMSG_ERR_CD3</t>
  </si>
  <si>
    <t>IOIT_REMARK_YN</t>
  </si>
  <si>
    <t>ERR_ORGN_FILE_NM3</t>
  </si>
  <si>
    <t>IOIT_SCALE_NO</t>
  </si>
  <si>
    <t>ERR_ORGN_LINE_NO3</t>
  </si>
  <si>
    <t>IOIT_FILLER_TX</t>
  </si>
  <si>
    <t>STD_TMSG_ERR_CD4</t>
  </si>
  <si>
    <t>IOIT_VALIDATE_NM</t>
  </si>
  <si>
    <t>ERR_ORGN_FILE_NM4</t>
  </si>
  <si>
    <t>IOIT_BT_FLD_TP_CD</t>
  </si>
  <si>
    <t>ERR_ORGN_LINE_NO4</t>
  </si>
  <si>
    <t>IOIT_BT_CHK_FLD_CD</t>
  </si>
  <si>
    <t>STD_TMSG_ERR_CD5</t>
  </si>
  <si>
    <t>IOIT_BT_CHK_FLD_YN</t>
  </si>
  <si>
    <t>ERR_ORGN_FILE_NM5</t>
  </si>
  <si>
    <t>IOIT_BT_FLD_VAL_CD</t>
  </si>
  <si>
    <t>ERR_ORGN_LINE_NO5</t>
  </si>
  <si>
    <t>IOIT_ORDER_NO</t>
  </si>
  <si>
    <t>STD_TMSG_ERR_CD6</t>
  </si>
  <si>
    <t>IOIT_ENCTP</t>
  </si>
  <si>
    <t>ERR_ORGN_FILE_NM6</t>
  </si>
  <si>
    <t>IOIT_ENCF1</t>
  </si>
  <si>
    <t>ERR_ORGN_LINE_NO6</t>
  </si>
  <si>
    <t>IOIT_ENCF2</t>
  </si>
  <si>
    <t>STD_TMSG_ERR_CD7</t>
  </si>
  <si>
    <t>IOIT_ENCF3</t>
  </si>
  <si>
    <t>ERR_ORGN_FILE_NM7</t>
  </si>
  <si>
    <t>IOIT_ENCF4</t>
  </si>
  <si>
    <t>ERR_ORGN_LINE_NO7</t>
  </si>
  <si>
    <t>SIGN_BIT_YN</t>
  </si>
  <si>
    <t>STD_TMSG_ERR_CD8</t>
  </si>
  <si>
    <t>SIGN_BIT_POS</t>
  </si>
  <si>
    <t>ERR_ORGN_FILE_NM8</t>
  </si>
  <si>
    <t>TRIM_TY</t>
  </si>
  <si>
    <t>ERR_ORGN_LINE_NO8</t>
  </si>
  <si>
    <t>WN_CHAR_OPTION</t>
  </si>
  <si>
    <t>STD_TMSG_ERR_CD9</t>
  </si>
  <si>
    <t>NON_ENC_CN_FM</t>
  </si>
  <si>
    <t>ERR_ORGN_FILE_NM9</t>
  </si>
  <si>
    <t>SGMC_IOSPEC_TB</t>
  </si>
  <si>
    <t>IOSP_ID</t>
  </si>
  <si>
    <t>ERR_ORGN_LINE_NO9</t>
  </si>
  <si>
    <t>IOSP_SITE_ID</t>
  </si>
  <si>
    <t>STD_TMSG_ERR_CD10</t>
  </si>
  <si>
    <t>IOSP_MOD_DT</t>
  </si>
  <si>
    <t>ERR_ORGN_FILE_NM10</t>
  </si>
  <si>
    <t>IOSP_MODUSER_ID</t>
  </si>
  <si>
    <t>ERR_ORGN_LINE_NO10</t>
  </si>
  <si>
    <t>IOSP_REG_DT</t>
  </si>
  <si>
    <t>STD_TMSG_ERR_CD11</t>
  </si>
  <si>
    <t>IOSP_REGUSER_ID</t>
  </si>
  <si>
    <t>ERR_ORGN_FILE_NM11</t>
  </si>
  <si>
    <t>IOSP_RESCGROUP_ID</t>
  </si>
  <si>
    <t>ERR_ORGN_LINE_NO11</t>
  </si>
  <si>
    <t>IOSP_IDEPACKAGE_NM</t>
  </si>
  <si>
    <t>STD_TMSG_ERR_CD12</t>
  </si>
  <si>
    <t>IOSP_TY</t>
  </si>
  <si>
    <t>ERR_ORGN_FILE_NM12</t>
  </si>
  <si>
    <t>IOSP_INCLUDE_YN</t>
  </si>
  <si>
    <t>ERR_ORGN_LINE_NO12</t>
  </si>
  <si>
    <t>IOSP_DESC_TX</t>
  </si>
  <si>
    <t>STD_TMSG_ERR_CD13</t>
  </si>
  <si>
    <t>IOSP_CHKOUT_YN</t>
  </si>
  <si>
    <t>ERR_ORGN_FILE_NM13</t>
  </si>
  <si>
    <t>IOSP_CHKOUT_DT</t>
  </si>
  <si>
    <t>ERR_ORGN_LINE_NO13</t>
  </si>
  <si>
    <t>IOSP_CHKOUTUSER_ID</t>
  </si>
  <si>
    <t>STD_TMSG_ERR_CD14</t>
  </si>
  <si>
    <t>IOSP_CHNGUSER_ID</t>
  </si>
  <si>
    <t>ERR_ORGN_FILE_NM14</t>
  </si>
  <si>
    <t>IOSP_CHNG_DT</t>
  </si>
  <si>
    <t>ERR_ORGN_LINE_NO14</t>
  </si>
  <si>
    <t>IOSP_VERSION_NO</t>
  </si>
  <si>
    <t>STD_TMSG_ERR_CD15</t>
  </si>
  <si>
    <t>IOSP_CTGR_ID</t>
  </si>
  <si>
    <t>ERR_ORGN_FILE_NM15</t>
  </si>
  <si>
    <t>SGMC_IOVERSION_TB</t>
  </si>
  <si>
    <t>IOVR_ID</t>
  </si>
  <si>
    <t>ERR_ORGN_LINE_NO15</t>
  </si>
  <si>
    <t>IOVR_SITE_ID</t>
  </si>
  <si>
    <t>SERE_DFRDDATA_TB01</t>
  </si>
  <si>
    <t>IOVR_MOD_DT</t>
  </si>
  <si>
    <t>IOVR_MODUSER_ID</t>
  </si>
  <si>
    <t>DB_INST_NO</t>
  </si>
  <si>
    <t>IOVR_REG_DT</t>
  </si>
  <si>
    <t>AP_NODE_NO</t>
  </si>
  <si>
    <t>IOVR_REGUSER_ID</t>
  </si>
  <si>
    <t>IOVR_VERSION_NO</t>
  </si>
  <si>
    <t>IOVR_DATA_CL</t>
  </si>
  <si>
    <t>PATH_NO</t>
  </si>
  <si>
    <t>IOVR_IOSP_ID</t>
  </si>
  <si>
    <t>SGMC_LABEL_TB</t>
  </si>
  <si>
    <t>LABL_ID</t>
  </si>
  <si>
    <t>TRAN_TM</t>
  </si>
  <si>
    <t>LABL_SITE_ID</t>
  </si>
  <si>
    <t>LABL_MOD_DT</t>
  </si>
  <si>
    <t>SYS_DT</t>
  </si>
  <si>
    <t>LABL_MODUSER_ID</t>
  </si>
  <si>
    <t>TRAN_HEADER</t>
  </si>
  <si>
    <t>LABL_REG_DT</t>
  </si>
  <si>
    <t>IN_DATA1</t>
  </si>
  <si>
    <t>LABL_REGUSER_ID</t>
  </si>
  <si>
    <t>IN_DATA2</t>
  </si>
  <si>
    <t>LABL_TYPE_CD</t>
  </si>
  <si>
    <t>SERE_DFRDDATA_TB02</t>
  </si>
  <si>
    <t>LABL_REFERLABEL_GU</t>
  </si>
  <si>
    <t>LABL_CATEGORY_ID</t>
  </si>
  <si>
    <t>SGMC_LABLTOLANG_TB</t>
  </si>
  <si>
    <t>LBLG_LABL_ID</t>
  </si>
  <si>
    <t>LBLG_SITE_ID</t>
  </si>
  <si>
    <t>LBLG_LANG_CD</t>
  </si>
  <si>
    <t>LBLG_MOD_DT</t>
  </si>
  <si>
    <t>LBLG_MODUSER_ID</t>
  </si>
  <si>
    <t>LBLG_REG_DT</t>
  </si>
  <si>
    <t>LBLG_REGUSER_ID</t>
  </si>
  <si>
    <t>LBLG_TX</t>
  </si>
  <si>
    <t>SGMC_LANGUAGE_TB</t>
  </si>
  <si>
    <t>LANG_ID</t>
  </si>
  <si>
    <t>LANG_SITE_ID</t>
  </si>
  <si>
    <t>LANG_MOD_DT</t>
  </si>
  <si>
    <t>LANG_MODUSER_ID</t>
  </si>
  <si>
    <t>SERE_DFRDDATA_TB03</t>
  </si>
  <si>
    <t>LANG_REG_DT</t>
  </si>
  <si>
    <t>LANG_REGUSER_ID</t>
  </si>
  <si>
    <t>LANG_NM</t>
  </si>
  <si>
    <t>LANG_DEFAULT_YN</t>
  </si>
  <si>
    <t>SGMC_LEDGER_TB</t>
  </si>
  <si>
    <t>LEGR_ID</t>
  </si>
  <si>
    <t>LEGR_SITE_ID</t>
  </si>
  <si>
    <t>LEGR_MOD_DT</t>
  </si>
  <si>
    <t>LEGR_MODUSER_ID</t>
  </si>
  <si>
    <t>LEGR_REG_DT</t>
  </si>
  <si>
    <t>LEGR_REGUSER_ID</t>
  </si>
  <si>
    <t>LEGR_TBLKOR_NM</t>
  </si>
  <si>
    <t>LEGR_TBLPK_NM</t>
  </si>
  <si>
    <t>LEGR_MANAGED_YN</t>
  </si>
  <si>
    <t>SERE_DFRDDATA_TB04</t>
  </si>
  <si>
    <t>LEGR_TGTTBL_NM</t>
  </si>
  <si>
    <t>LEGR_TGTTBLKOR_NM</t>
  </si>
  <si>
    <t>LEGR_TGTDS_NM</t>
  </si>
  <si>
    <t>SGMC_LINKNODE_TB</t>
  </si>
  <si>
    <t>LNDE_ID</t>
  </si>
  <si>
    <t>LNDE_SITE_ID</t>
  </si>
  <si>
    <t>LNDE_MOD_DT</t>
  </si>
  <si>
    <t>LNDE_MODUSER_ID</t>
  </si>
  <si>
    <t>LNDE_REG_DT</t>
  </si>
  <si>
    <t>LNDE_REGUSER_ID</t>
  </si>
  <si>
    <t>LNDE_IP_TX</t>
  </si>
  <si>
    <t>LNDE_PORT_NO</t>
  </si>
  <si>
    <t>LNDE_PROTOCOL_CD</t>
  </si>
  <si>
    <t>LNDE_CONNECT_CD</t>
  </si>
  <si>
    <t>LNDE_IOSP_ID</t>
  </si>
  <si>
    <t>SERE_DFRDDATA_TB05</t>
  </si>
  <si>
    <t>LNDE_TIMEOUT_NO</t>
  </si>
  <si>
    <t>LNDE_PATH_TX</t>
  </si>
  <si>
    <t>LNDE_POOLSIZE_NO</t>
  </si>
  <si>
    <t>LNDE_ENCODING_NM</t>
  </si>
  <si>
    <t>LNDE_RECOUNT_NO</t>
  </si>
  <si>
    <t>LNDE_ADAPTER_CD</t>
  </si>
  <si>
    <t>LNDE_INCONVERTER_CD</t>
  </si>
  <si>
    <t>LNDE_OUTCONVERTER_CD</t>
  </si>
  <si>
    <t>LNDE_LOGN_ID</t>
  </si>
  <si>
    <t>SGMC_LINKORGN_TB</t>
  </si>
  <si>
    <t>LOGN_ID</t>
  </si>
  <si>
    <t>LOGN_SITE_ID</t>
  </si>
  <si>
    <t>LOGN_MOD_DT</t>
  </si>
  <si>
    <t>LOGN_MODUSER_ID</t>
  </si>
  <si>
    <t>LOGN_REG_DT</t>
  </si>
  <si>
    <t>SERE_DFRDDATA_TB06</t>
  </si>
  <si>
    <t>LOGN_REGUSER_ID</t>
  </si>
  <si>
    <t>LOGN_NM</t>
  </si>
  <si>
    <t>SGMC_LINKTRAN_TB</t>
  </si>
  <si>
    <t>LTRN_ID</t>
  </si>
  <si>
    <t>LTRN_SITE_ID</t>
  </si>
  <si>
    <t>LTRN_MOD_DT</t>
  </si>
  <si>
    <t>LTRN_MODUSER_ID</t>
  </si>
  <si>
    <t>LTRN_REG_DT</t>
  </si>
  <si>
    <t>LTRN_REGUSER_ID</t>
  </si>
  <si>
    <t>LTRN_NM</t>
  </si>
  <si>
    <t>LTRN_DESC_TX</t>
  </si>
  <si>
    <t>LTRN_PATH_TX</t>
  </si>
  <si>
    <t>LTRN_RSRP_CD</t>
  </si>
  <si>
    <t>LTRN_TESTUSE_YN</t>
  </si>
  <si>
    <t>LTRN_INTERFACE_ID</t>
  </si>
  <si>
    <t>SERE_DFRDDATA_TB07</t>
  </si>
  <si>
    <t>LTRN_ORG_CD</t>
  </si>
  <si>
    <t>LTRN_ASYNCRESTRAN_ID</t>
  </si>
  <si>
    <t>LTRN_ERRORTRAN_ID</t>
  </si>
  <si>
    <t>LTRN_TIMEOUTTRAN_ID</t>
  </si>
  <si>
    <t>LTRN_CALLTRAN_ID</t>
  </si>
  <si>
    <t>LTRN_LOGN_ID</t>
  </si>
  <si>
    <t>LTRN_LNDE_ID</t>
  </si>
  <si>
    <t>LTRN_INIOSP_ID</t>
  </si>
  <si>
    <t>LTRN_OUTIOSP_ID</t>
  </si>
  <si>
    <t>LTRN_TIMEOUT</t>
  </si>
  <si>
    <t>LTRN_CALLBACKTRAN_ID</t>
  </si>
  <si>
    <t>LTRN_ERRIOSP_ID</t>
  </si>
  <si>
    <t>SGMC_LTRNTEST_TB</t>
  </si>
  <si>
    <t>LTST_ID</t>
  </si>
  <si>
    <t>LTST_SITE_ID</t>
  </si>
  <si>
    <t>SERE_DFRDDATA_TB08</t>
  </si>
  <si>
    <t>LTST_MOD_DT</t>
  </si>
  <si>
    <t>LTST_MODUSER_ID</t>
  </si>
  <si>
    <t>LTST_REG_DT</t>
  </si>
  <si>
    <t>LTST_REGUSER_ID</t>
  </si>
  <si>
    <t>LTST_ORDER_NO</t>
  </si>
  <si>
    <t>LTST_TESTDATA_CL</t>
  </si>
  <si>
    <t>LTST_REQRES_CD</t>
  </si>
  <si>
    <t>LTST_LOOPBACK_CL</t>
  </si>
  <si>
    <t>LTST_ADAPTOR_ID</t>
  </si>
  <si>
    <t>LTST_URI_NM</t>
  </si>
  <si>
    <t>LTST_HEADER_CL</t>
  </si>
  <si>
    <t>LTST_SUCCESS_CD</t>
  </si>
  <si>
    <t>LTST_DIRECTINPUT_YN</t>
  </si>
  <si>
    <t>LTST_TRAN_ID</t>
  </si>
  <si>
    <t>SERE_DFRDDATA_TB09</t>
  </si>
  <si>
    <t>LTST_LTRN_ID</t>
  </si>
  <si>
    <t>SGMC_MACHINE_TB</t>
  </si>
  <si>
    <t>MCHN_ID</t>
  </si>
  <si>
    <t>MCHN_SITE_ID</t>
  </si>
  <si>
    <t>MCHN_MOD_DT</t>
  </si>
  <si>
    <t>MCHN_MODUSER_ID</t>
  </si>
  <si>
    <t>MCHN_REG_DT</t>
  </si>
  <si>
    <t>MCHN_REGUSER_ID</t>
  </si>
  <si>
    <t>MCHN_NM</t>
  </si>
  <si>
    <t>MCHN_ORDER_NO</t>
  </si>
  <si>
    <t>MCHN_SNTC_TX</t>
  </si>
  <si>
    <t>MCHN_OS_NM</t>
  </si>
  <si>
    <t>MCHN_BROWSER_NM</t>
  </si>
  <si>
    <t>MCHN_MINWIDTH_NO</t>
  </si>
  <si>
    <t>MCHN_MAXWIDTH_NO</t>
  </si>
  <si>
    <t>SERE_DFRDDATA_TB10</t>
  </si>
  <si>
    <t>MCHN_DVCE_ID</t>
  </si>
  <si>
    <t>SGMC_MENUPRAM_TB</t>
  </si>
  <si>
    <t>MNPR_ID</t>
  </si>
  <si>
    <t>MNPR_SITE_ID</t>
  </si>
  <si>
    <t>MNPR_MOD_DT</t>
  </si>
  <si>
    <t>MNPR_MODUSER_ID</t>
  </si>
  <si>
    <t>MNPR_REG_DT</t>
  </si>
  <si>
    <t>MNPR_REGUSER_ID</t>
  </si>
  <si>
    <t>MNPR_SQ</t>
  </si>
  <si>
    <t>MNPR_NM</t>
  </si>
  <si>
    <t>MNPR_VALUE_TX</t>
  </si>
  <si>
    <t>MNPR_DESC_TX</t>
  </si>
  <si>
    <t>MNPR_MENU_ID</t>
  </si>
  <si>
    <t>SGMC_MENU_TB</t>
  </si>
  <si>
    <t>MENU_ID</t>
  </si>
  <si>
    <t>MENU_SITE_ID</t>
  </si>
  <si>
    <t>SERE_DFRDDATA_TB11</t>
  </si>
  <si>
    <t>MENU_MOD_DT</t>
  </si>
  <si>
    <t>MENU_MODUSER_ID</t>
  </si>
  <si>
    <t>MENU_REG_DT</t>
  </si>
  <si>
    <t>MENU_REGUSER_ID</t>
  </si>
  <si>
    <t>MENU_LEVEL_NO</t>
  </si>
  <si>
    <t>MENU_ORDER_NO</t>
  </si>
  <si>
    <t>MENU_PARENT_ID</t>
  </si>
  <si>
    <t>MENU_ENG_NM</t>
  </si>
  <si>
    <t>MENU_DESC_TX</t>
  </si>
  <si>
    <t>MENU_LINKTYPE_CD</t>
  </si>
  <si>
    <t>MENU_LINKTARGET_CD</t>
  </si>
  <si>
    <t>MENU_LINKURL_TX</t>
  </si>
  <si>
    <t>MENU_LABEL_ID</t>
  </si>
  <si>
    <t>MENU_SCRN_ID</t>
  </si>
  <si>
    <t>SERE_DFRDDATA_TB12</t>
  </si>
  <si>
    <t>SGMC_MESGTOLANG_TB</t>
  </si>
  <si>
    <t>MGLG_MESG_ID</t>
  </si>
  <si>
    <t>MGLG_SITE_ID</t>
  </si>
  <si>
    <t>MGLG_LANG_CD</t>
  </si>
  <si>
    <t>MGLG_MOD_DT</t>
  </si>
  <si>
    <t>MGLG_MODUSER_ID</t>
  </si>
  <si>
    <t>MGLG_REG_DT</t>
  </si>
  <si>
    <t>MGLG_REGUSER_ID</t>
  </si>
  <si>
    <t>MGLG_TX</t>
  </si>
  <si>
    <t>SGMC_MESSAGE_TB</t>
  </si>
  <si>
    <t>MESG_ID</t>
  </si>
  <si>
    <t>MESG_SITE_ID</t>
  </si>
  <si>
    <t>MESG_MOD_DT</t>
  </si>
  <si>
    <t>MESG_MODUSER_ID</t>
  </si>
  <si>
    <t>MESG_REG_DT</t>
  </si>
  <si>
    <t>MESG_REGUSER_ID</t>
  </si>
  <si>
    <t>SERE_DFRDDATA_TB13</t>
  </si>
  <si>
    <t>MESG_TYPE_CD</t>
  </si>
  <si>
    <t>MESG_REFERMESG_ID</t>
  </si>
  <si>
    <t>MESG_CTGR_ID</t>
  </si>
  <si>
    <t>SGMC_ROLETOMENU_TL</t>
  </si>
  <si>
    <t>RLMN_MENU_ID</t>
  </si>
  <si>
    <t>RLMN_ROLE_ID</t>
  </si>
  <si>
    <t>RLMN_SITE_ID</t>
  </si>
  <si>
    <t>RLMN_MOD_DT</t>
  </si>
  <si>
    <t>RLMN_MODUSER_ID</t>
  </si>
  <si>
    <t>RLMN_REG_DT</t>
  </si>
  <si>
    <t>RLMN_REGUSER_ID</t>
  </si>
  <si>
    <t>SGMC_ROLETOSCRN_TL</t>
  </si>
  <si>
    <t>RLSR_ROLE_ID</t>
  </si>
  <si>
    <t>RLSR_SCRN_ID</t>
  </si>
  <si>
    <t>RLSR_SITE_ID</t>
  </si>
  <si>
    <t>RLSR_MOD_DT</t>
  </si>
  <si>
    <t>SERE_DFRDDATA_TB14</t>
  </si>
  <si>
    <t>RLSR_MODUSER_ID</t>
  </si>
  <si>
    <t>RLSR_REG_DT</t>
  </si>
  <si>
    <t>RLSR_REGUSER_ID</t>
  </si>
  <si>
    <t>SGMC_ROLETOTRAN_TL</t>
  </si>
  <si>
    <t>RLTR_TRAN_ID</t>
  </si>
  <si>
    <t>RLTR_ROLE_ID</t>
  </si>
  <si>
    <t>RLTR_SITE_ID</t>
  </si>
  <si>
    <t>RLTR_MOD_DT</t>
  </si>
  <si>
    <t>RLTR_MODUSER_ID</t>
  </si>
  <si>
    <t>RLTR_REG_DT</t>
  </si>
  <si>
    <t>RLTR_REGUSER_ID</t>
  </si>
  <si>
    <t>SGMC_SCREEN_TB</t>
  </si>
  <si>
    <t>SCRN_SITE_ID</t>
  </si>
  <si>
    <t>SCRN_MOD_DT</t>
  </si>
  <si>
    <t>SCRN_MODUSER_ID</t>
  </si>
  <si>
    <t>SERE_DFRDDATA_TB15</t>
  </si>
  <si>
    <t>SCRN_REG_DT</t>
  </si>
  <si>
    <t>SCRN_REGUSER_ID</t>
  </si>
  <si>
    <t>SCRN_NM</t>
  </si>
  <si>
    <t>SCRN_TYPE_CD</t>
  </si>
  <si>
    <t>SCRN_DESC_TX</t>
  </si>
  <si>
    <t>SCRN_SCRIPT_TX</t>
  </si>
  <si>
    <t>SCRN_CATEGORY_ID</t>
  </si>
  <si>
    <t>SCRN_TEMP_ID</t>
  </si>
  <si>
    <t>SGMC_SCRNADD_TB</t>
  </si>
  <si>
    <t>SRAD_ID</t>
  </si>
  <si>
    <t>SRAD_SITE_ID</t>
  </si>
  <si>
    <t>SRAD_MOD_DT</t>
  </si>
  <si>
    <t>SRAD_MODUSER_ID</t>
  </si>
  <si>
    <t>SRAD_REG_DT</t>
  </si>
  <si>
    <t>SRAD_REGUSER_ID</t>
  </si>
  <si>
    <t>SERE_DFRDDATA_TB16</t>
  </si>
  <si>
    <t>SRAD_NM</t>
  </si>
  <si>
    <t>SRAD_TYPE_CD</t>
  </si>
  <si>
    <t>SRAD_DESC_TX</t>
  </si>
  <si>
    <t>SRAD_SCRIPT_TX</t>
  </si>
  <si>
    <t>SRAD_DEVICE_ID</t>
  </si>
  <si>
    <t>SRAD_LANG_ID</t>
  </si>
  <si>
    <t>SRAD_CATEGORY_ID</t>
  </si>
  <si>
    <t>SRAD_TEMP_ID</t>
  </si>
  <si>
    <t>SGMC_SCRNAREA_TB</t>
  </si>
  <si>
    <t>AREA_ID</t>
  </si>
  <si>
    <t>AREA_SITE_ID</t>
  </si>
  <si>
    <t>AREA_MOD_DT</t>
  </si>
  <si>
    <t>AREA_MODUSER_ID</t>
  </si>
  <si>
    <t>AREA_REG_DT</t>
  </si>
  <si>
    <t>AREA_REGUSER_ID</t>
  </si>
  <si>
    <t>SERE_DFRDDATA_TB17</t>
  </si>
  <si>
    <t>AREA_TYPE_CD</t>
  </si>
  <si>
    <t>AREA_LABL_ID</t>
  </si>
  <si>
    <t>AREA_SCRN_ID</t>
  </si>
  <si>
    <t>AREA_SRAD_ID</t>
  </si>
  <si>
    <t>AREA_CMPT_ID</t>
  </si>
  <si>
    <t>AREA_TEMP_ID</t>
  </si>
  <si>
    <t>AREA_NM</t>
  </si>
  <si>
    <t>SGMC_SCRNCMPT_TB</t>
  </si>
  <si>
    <t>CMPT_ID</t>
  </si>
  <si>
    <t>CMPT_SITE_ID</t>
  </si>
  <si>
    <t>CMPT_MOD_DT</t>
  </si>
  <si>
    <t>CMPT_MODUSER_ID</t>
  </si>
  <si>
    <t>CMPT_REG_DT</t>
  </si>
  <si>
    <t>CMPT_REGUSER_ID</t>
  </si>
  <si>
    <t>CMPT_NM</t>
  </si>
  <si>
    <t>SERE_DFRDDATA_TB18</t>
  </si>
  <si>
    <t>CMPT_DESC_TX</t>
  </si>
  <si>
    <t>CMPT_FILEPATH_TX</t>
  </si>
  <si>
    <t>CMPT_STYLEPATH_TX</t>
  </si>
  <si>
    <t>CMPT_CATEGORY_ID</t>
  </si>
  <si>
    <t>SGMC_SCRNTEMP_TB</t>
  </si>
  <si>
    <t>TEMP_ID</t>
  </si>
  <si>
    <t>TEMP_SITE_ID</t>
  </si>
  <si>
    <t>TEMP_MOD_DT</t>
  </si>
  <si>
    <t>TEMP_MODUSER_ID</t>
  </si>
  <si>
    <t>TEMP_REG_DT</t>
  </si>
  <si>
    <t>TEMP_REGUSER_ID</t>
  </si>
  <si>
    <t>TEMP_NM</t>
  </si>
  <si>
    <t>TEMP_TYPE_CD</t>
  </si>
  <si>
    <t>TEMP_DESC_TX</t>
  </si>
  <si>
    <t>TEMP_FILEPATH_TX</t>
  </si>
  <si>
    <t>SERE_DFRDDATA_TB19</t>
  </si>
  <si>
    <t>TEMP_STYLEPATH_TX</t>
  </si>
  <si>
    <t>TEMP_DEFAULT_YN</t>
  </si>
  <si>
    <t>SGMC_SERVER_TB</t>
  </si>
  <si>
    <t>SERV_ID</t>
  </si>
  <si>
    <t>SERV_SITE_ID</t>
  </si>
  <si>
    <t>SERV_MOD_DT</t>
  </si>
  <si>
    <t>SERV_MODUSER_ID</t>
  </si>
  <si>
    <t>SERV_REG_DT</t>
  </si>
  <si>
    <t>SERV_REGUSER_ID</t>
  </si>
  <si>
    <t>SERV_IP_NM</t>
  </si>
  <si>
    <t>SERV_PORT_NO</t>
  </si>
  <si>
    <t>SERV_NM</t>
  </si>
  <si>
    <t>SERV_DESC_TX</t>
  </si>
  <si>
    <t>SERV_CONTEXT_NM</t>
  </si>
  <si>
    <t>SERV_HOMEDIR_NM</t>
  </si>
  <si>
    <t>SERE_DFRDDATA_TB20</t>
  </si>
  <si>
    <t>SERV_MASTER_YN</t>
  </si>
  <si>
    <t>SGMC_SRVCROLE_TB</t>
  </si>
  <si>
    <t>SVRL_ID</t>
  </si>
  <si>
    <t>SVRL_SITE_ID</t>
  </si>
  <si>
    <t>SVRL_MOD_DT</t>
  </si>
  <si>
    <t>SVRL_MODUSER_ID</t>
  </si>
  <si>
    <t>SVRL_REG_DT</t>
  </si>
  <si>
    <t>SVRL_REGUSER_ID</t>
  </si>
  <si>
    <t>SVRL_NM</t>
  </si>
  <si>
    <t>SVRL_DESC_TX</t>
  </si>
  <si>
    <t>SVRL_DEVICE_NM</t>
  </si>
  <si>
    <t>SGMC_TESTHST_TB</t>
  </si>
  <si>
    <t>THST_ID</t>
  </si>
  <si>
    <t>THST_SITE_ID</t>
  </si>
  <si>
    <t>THST_MOD_DT</t>
  </si>
  <si>
    <t>THST_MODUSER_ID</t>
  </si>
  <si>
    <t>SERE_DFRDDATA_TB21</t>
  </si>
  <si>
    <t>THST_REG_DT</t>
  </si>
  <si>
    <t>THST_REGUSER_ID</t>
  </si>
  <si>
    <t>THST_BIZ_CD</t>
  </si>
  <si>
    <t>THST_SVR_ID</t>
  </si>
  <si>
    <t>THST_TESTRSLT_CD</t>
  </si>
  <si>
    <t>THST_INDATA_CL</t>
  </si>
  <si>
    <t>THST_OUTDATA_CL</t>
  </si>
  <si>
    <t>THST_TESTDESC_TX</t>
  </si>
  <si>
    <t>THST_TRAN_ID</t>
  </si>
  <si>
    <t>SGMC_TESTSVR_TB</t>
  </si>
  <si>
    <t>TSVR_ID</t>
  </si>
  <si>
    <t>TSVR_SITE_ID</t>
  </si>
  <si>
    <t>TSVR_MOD_DT</t>
  </si>
  <si>
    <t>TSVR_MODUSER_ID</t>
  </si>
  <si>
    <t>TSVR_REG_DT</t>
  </si>
  <si>
    <t>SERE_DFRDDATA_TB22</t>
  </si>
  <si>
    <t>TSVR_REGUSER_ID</t>
  </si>
  <si>
    <t>TSVR_SEQ_SQ</t>
  </si>
  <si>
    <t>TSVR_URL_TX</t>
  </si>
  <si>
    <t>TSVR_DESC_TX</t>
  </si>
  <si>
    <t>TSVR_REQTY_CD</t>
  </si>
  <si>
    <t>TSVR_EVIRN_CD</t>
  </si>
  <si>
    <t>SGMC_TRANBZPRAM_TB</t>
  </si>
  <si>
    <t>TBPR_ID</t>
  </si>
  <si>
    <t>TBPR_SITE_ID</t>
  </si>
  <si>
    <t>TBPR_MOD_DT</t>
  </si>
  <si>
    <t>TBPR_MODUSER_ID</t>
  </si>
  <si>
    <t>TBPR_REG_DT</t>
  </si>
  <si>
    <t>TBPR_REGUSER_ID</t>
  </si>
  <si>
    <t>TBPR_NM</t>
  </si>
  <si>
    <t>TBPR_DESC_TX</t>
  </si>
  <si>
    <t>SERE_DFRDDATA_TB23</t>
  </si>
  <si>
    <t>TBPR_BASICVALUE_TX</t>
  </si>
  <si>
    <t>TBPR_TRAN_ID</t>
  </si>
  <si>
    <t>SGMC_TRANCTRL_TB</t>
  </si>
  <si>
    <t>TCTR_ID</t>
  </si>
  <si>
    <t>TCTR_SITE_ID</t>
  </si>
  <si>
    <t>TCTR_MOD_DT</t>
  </si>
  <si>
    <t>TCTR_MODUSER_ID</t>
  </si>
  <si>
    <t>TCTR_REG_DT</t>
  </si>
  <si>
    <t>TCTR_REGUSER_ID</t>
  </si>
  <si>
    <t>TCTR_NM</t>
  </si>
  <si>
    <t>TCTR_DESC_TX</t>
  </si>
  <si>
    <t>TCTR_CONTROL_CD</t>
  </si>
  <si>
    <t>TCTR_SCHEDULE_CD</t>
  </si>
  <si>
    <t>TCTR_WEEKDAY_NM</t>
  </si>
  <si>
    <t>TCTR_HOLYDAY_NM</t>
  </si>
  <si>
    <t>SERE_DFRDDATA_TB24</t>
  </si>
  <si>
    <t>TCTR_MONTH_NM</t>
  </si>
  <si>
    <t>TCTR_DAY_NM</t>
  </si>
  <si>
    <t>TCTR_STARTDATE_NM</t>
  </si>
  <si>
    <t>TCTR_ENDDATE_NM</t>
  </si>
  <si>
    <t>TCTR_STARTTIME_NM</t>
  </si>
  <si>
    <t>TCTR_ENDTIME_NM</t>
  </si>
  <si>
    <t>TCTR_DEVICE_NM</t>
  </si>
  <si>
    <t>SGMC_TRANEXPRAM_TB</t>
  </si>
  <si>
    <t>TXPR_ID</t>
  </si>
  <si>
    <t>TXPR_SITE_ID</t>
  </si>
  <si>
    <t>TXPR_MOD_DT</t>
  </si>
  <si>
    <t>TXPR_MODUSER_ID</t>
  </si>
  <si>
    <t>TXPR_REG_DT</t>
  </si>
  <si>
    <t>TXPR_REGUSER_ID</t>
  </si>
  <si>
    <t>TXPR_TYPE_CD</t>
  </si>
  <si>
    <t>SERE_DFRDDATA_TB25</t>
  </si>
  <si>
    <t>TXPR_GROUP_CD</t>
  </si>
  <si>
    <t>TXPR_GLOBAL_YN</t>
  </si>
  <si>
    <t>TXPR_BASICVALUE_TX</t>
  </si>
  <si>
    <t>TXPR_NM</t>
  </si>
  <si>
    <t>TXPR_DESC_TX</t>
  </si>
  <si>
    <t>TXPR_TAGTYPE_CD</t>
  </si>
  <si>
    <t>SGMC_TRANLKPRAM_TB</t>
  </si>
  <si>
    <t>TLPR_ID</t>
  </si>
  <si>
    <t>TLPR_SITE_ID</t>
  </si>
  <si>
    <t>TLPR_MOD_DT</t>
  </si>
  <si>
    <t>TLPR_MODUSER_ID</t>
  </si>
  <si>
    <t>TLPR_REG_DT</t>
  </si>
  <si>
    <t>TLPR_REGUSER_ID</t>
  </si>
  <si>
    <t>TLPR_NM</t>
  </si>
  <si>
    <t>TLPR_TYPE_CD</t>
  </si>
  <si>
    <t>SERE_DFRDDATA_TB26</t>
  </si>
  <si>
    <t>TLPR_TX_YN</t>
  </si>
  <si>
    <t>TLPR_LOG_YN</t>
  </si>
  <si>
    <t>TLPR_PRESURFIX_YN</t>
  </si>
  <si>
    <t>TLPR_CALLERTRAN_ID</t>
  </si>
  <si>
    <t>TLPR_CALLEETRAN_ID</t>
  </si>
  <si>
    <t>TLPR_USE_YN</t>
  </si>
  <si>
    <t>SGMC_TRANNAVI_TB</t>
  </si>
  <si>
    <t>TNAV_ID</t>
  </si>
  <si>
    <t>TNAV_SITE_ID</t>
  </si>
  <si>
    <t>TNAV_MOD_DT</t>
  </si>
  <si>
    <t>TNAV_MODUSER_ID</t>
  </si>
  <si>
    <t>TNAV_REG_DT</t>
  </si>
  <si>
    <t>TNAV_REGUSER_ID</t>
  </si>
  <si>
    <t>TNAV_SQ</t>
  </si>
  <si>
    <t>TNAV_TYPE_CD</t>
  </si>
  <si>
    <t>SERE_DFRDDATA_TB27</t>
  </si>
  <si>
    <t>TNAV_NM</t>
  </si>
  <si>
    <t>TNAV_HANDLER_CD</t>
  </si>
  <si>
    <t>TNAV_SCRNTYPE_CD</t>
  </si>
  <si>
    <t>TNAV_SCRN_ID</t>
  </si>
  <si>
    <t>TNAV_LINKURL_TX</t>
  </si>
  <si>
    <t>TNAV_TEMPCLASS_NM</t>
  </si>
  <si>
    <t>TNAV_TEMPINTER_NM</t>
  </si>
  <si>
    <t>TNAV_TRAN_ID</t>
  </si>
  <si>
    <t>SGMC_TRANREQ_TB</t>
  </si>
  <si>
    <t>TREQ_ID</t>
  </si>
  <si>
    <t>TREQ_TRAN_ID</t>
  </si>
  <si>
    <t>TREQ_SITE_ID</t>
  </si>
  <si>
    <t>TREQ_MOD_DT</t>
  </si>
  <si>
    <t>TREQ_MODUSER_ID</t>
  </si>
  <si>
    <t>TREQ_REG_DT</t>
  </si>
  <si>
    <t>SERE_DFRDDATA_TB28</t>
  </si>
  <si>
    <t>TREQ_REGUSER_ID</t>
  </si>
  <si>
    <t>TREQ_NM</t>
  </si>
  <si>
    <t>TREQ_GLBLEXCEPT_YN</t>
  </si>
  <si>
    <t>SGMC_TRANTOTCTR_TL</t>
  </si>
  <si>
    <t>TTCT_TRAN_ID</t>
  </si>
  <si>
    <t>TTCT_TCTR_ID</t>
  </si>
  <si>
    <t>TTCT_SITE_ID</t>
  </si>
  <si>
    <t>TTCT_MOD_DT</t>
  </si>
  <si>
    <t>TTCT_MODUSER_ID</t>
  </si>
  <si>
    <t>TTCT_REG_DT</t>
  </si>
  <si>
    <t>TTCT_REGUSER_ID</t>
  </si>
  <si>
    <t>SGMC_TRANTOTXPR_TL</t>
  </si>
  <si>
    <t>TTXP_TRAN_ID</t>
  </si>
  <si>
    <t>TTXP_TXPR_ID</t>
  </si>
  <si>
    <t>TTXP_SITE_ID</t>
  </si>
  <si>
    <t>TTXP_MOD_DT</t>
  </si>
  <si>
    <t>SERE_DFRDDATA_TB29</t>
  </si>
  <si>
    <t>TTXP_MODUSER_ID</t>
  </si>
  <si>
    <t>TTXP_REG_DT</t>
  </si>
  <si>
    <t>TTXP_REGUSER_ID</t>
  </si>
  <si>
    <t>TTXP_BASICVALUE_TX</t>
  </si>
  <si>
    <t>TTXP_TRANVALUE_TX</t>
  </si>
  <si>
    <t>SGMC_TRANVALD_TB</t>
  </si>
  <si>
    <t>TVLD_ID</t>
  </si>
  <si>
    <t>TVLD_SITE_ID</t>
  </si>
  <si>
    <t>TVLD_MOD_DT</t>
  </si>
  <si>
    <t>TVLD_MODUSER_ID</t>
  </si>
  <si>
    <t>TVLD_REG_DT</t>
  </si>
  <si>
    <t>TVLD_REGUSER_ID</t>
  </si>
  <si>
    <t>TVLD_DESC_TX</t>
  </si>
  <si>
    <t>TVLD_BASICVALUE_YN</t>
  </si>
  <si>
    <t>TVLD_BASICVALUE_TX</t>
  </si>
  <si>
    <t>SERE_DFRDDATA_TB30</t>
  </si>
  <si>
    <t>SGMC_TRAN_TB</t>
  </si>
  <si>
    <t>TRAN_SITE_ID</t>
  </si>
  <si>
    <t>TRAN_MOD_DT</t>
  </si>
  <si>
    <t>TRAN_MODUSER_ID</t>
  </si>
  <si>
    <t>TRAN_REG_DT</t>
  </si>
  <si>
    <t>TRAN_REGUSER_ID</t>
  </si>
  <si>
    <t>TRAN_TYPE_CD</t>
  </si>
  <si>
    <t>TRAN_NM</t>
  </si>
  <si>
    <t>TRAN_DESC_TX</t>
  </si>
  <si>
    <t>TRAN_REQCLASS_TX</t>
  </si>
  <si>
    <t>TRAN_REQMETHOD_TX</t>
  </si>
  <si>
    <t>TRAN_PRESURCLASS_TX</t>
  </si>
  <si>
    <t>TRAN_REQSPEC_CD</t>
  </si>
  <si>
    <t>TRAN_KIND_CD</t>
  </si>
  <si>
    <t>SERE_DFRDDATA_TB31</t>
  </si>
  <si>
    <t>TRAN_TIMEOUT_NO</t>
  </si>
  <si>
    <t>TRAN_IMAGEINLOG_YN</t>
  </si>
  <si>
    <t>TRAN_IMAGEOUTLOG_YN</t>
  </si>
  <si>
    <t>TRAN_SYSLOGLEVEL_CD</t>
  </si>
  <si>
    <t>TRAN_TRACEOPTION_CD</t>
  </si>
  <si>
    <t>TRAN_TRACELOGLEVEL_NO</t>
  </si>
  <si>
    <t>TRAN_VALDFROM_NM</t>
  </si>
  <si>
    <t>TRAN_VALDTO_NM</t>
  </si>
  <si>
    <t>TRAN_CTRL_YN</t>
  </si>
  <si>
    <t>TRAN_ABEND_YN</t>
  </si>
  <si>
    <t>TRAN_SIMULATION_YN</t>
  </si>
  <si>
    <t>TRAN_ACCCTRL_YN</t>
  </si>
  <si>
    <t>TRAN_VALIDATE_YN</t>
  </si>
  <si>
    <t>TRAN_DUPLICATE_YN</t>
  </si>
  <si>
    <t>TRAN_CTGR_ID</t>
  </si>
  <si>
    <t>DFRD_BLOCK_SEQ</t>
  </si>
  <si>
    <t>TRAN_INIOSP_ID</t>
  </si>
  <si>
    <t>STRT_DFRD_SEQ</t>
  </si>
  <si>
    <t>TRAN_OUTIOSP_ID</t>
  </si>
  <si>
    <t>END_DFRD_SEQ</t>
  </si>
  <si>
    <t>SGMC_TREQTOTVLD_TL</t>
  </si>
  <si>
    <t>TRTV_TVLD_ID</t>
  </si>
  <si>
    <t>TRTV_TREQ_ID</t>
  </si>
  <si>
    <t>DIST_STRT_DT</t>
  </si>
  <si>
    <t>TRTV_TREQ_TRAN_ID</t>
  </si>
  <si>
    <t>DIST_END_DT</t>
  </si>
  <si>
    <t>TRTV_SITE_ID</t>
  </si>
  <si>
    <t>TRTV_MOD_DT</t>
  </si>
  <si>
    <t>TRTV_MODUSER_ID</t>
  </si>
  <si>
    <t>PROC_DFRD_SEQ</t>
  </si>
  <si>
    <t>TRTV_REG_DT</t>
  </si>
  <si>
    <t>NOR_END_CNT</t>
  </si>
  <si>
    <t>TRTV_REGUSER_ID</t>
  </si>
  <si>
    <t>ERR_END_CNT</t>
  </si>
  <si>
    <t>TRTV_ORDER_NO</t>
  </si>
  <si>
    <t>CFM_END_CNT</t>
  </si>
  <si>
    <t>TRTV_BASICVALUE_TX</t>
  </si>
  <si>
    <t>PROC_INST_NM</t>
  </si>
  <si>
    <t>TRTV_TREQVALUE_TX</t>
  </si>
  <si>
    <t>PROC_DFRD_ID</t>
  </si>
  <si>
    <t>SGMM_LOGLOGIN_TB</t>
  </si>
  <si>
    <t>LGUS_ID</t>
  </si>
  <si>
    <t>PROC_THREAD_ID</t>
  </si>
  <si>
    <t>LGUS_SITE_ID</t>
  </si>
  <si>
    <t>SERE_DFRDDATPROC_TB</t>
  </si>
  <si>
    <t>LGUS_MOD_DT</t>
  </si>
  <si>
    <t>LGUS_MODUSER_ID</t>
  </si>
  <si>
    <t>LGUS_REG_DT</t>
  </si>
  <si>
    <t>LGUS_REGUSER_ID</t>
  </si>
  <si>
    <t>LGUS_LOGIN_DT</t>
  </si>
  <si>
    <t>LGUS_IP_NM</t>
  </si>
  <si>
    <t>LGUS_BROWSER_NM</t>
  </si>
  <si>
    <t>LGUS_MGTUSER_ID</t>
  </si>
  <si>
    <t>LGUS_MGTADMIN_ID</t>
  </si>
  <si>
    <t>SGRS_CODE</t>
  </si>
  <si>
    <t>ERR_SEQ</t>
  </si>
  <si>
    <t>GROUP_CD</t>
  </si>
  <si>
    <t>CD</t>
  </si>
  <si>
    <t>CD_NM</t>
  </si>
  <si>
    <t>PRINT_ORD</t>
  </si>
  <si>
    <t>APLY_PERIOD</t>
  </si>
  <si>
    <t>APPLY_START_DATE</t>
  </si>
  <si>
    <t>APPLY_END_DATE</t>
  </si>
  <si>
    <t>SGRS_DEVICEMACHINE</t>
  </si>
  <si>
    <t>DEVICE_MACHINE_ID</t>
  </si>
  <si>
    <t>DEVICE_NM</t>
  </si>
  <si>
    <t>MIN_WIDTH</t>
  </si>
  <si>
    <t>MAX_WIDTH</t>
  </si>
  <si>
    <t>DEVICE_ORD</t>
  </si>
  <si>
    <t>MACHINE_ORD</t>
  </si>
  <si>
    <t>DSTG_SNTC</t>
  </si>
  <si>
    <t>OS</t>
  </si>
  <si>
    <t>BROWSER</t>
  </si>
  <si>
    <t>SGRS_FORM</t>
  </si>
  <si>
    <t>SERE_DFRDRETRYDATA_TB</t>
  </si>
  <si>
    <t>SGRS_IOSPECITEM</t>
  </si>
  <si>
    <t>SPEC_ID</t>
  </si>
  <si>
    <t>IOIT_INCLUDE_YN</t>
  </si>
  <si>
    <t>RETRY_PROC_ST</t>
  </si>
  <si>
    <t>ITEM_ID</t>
  </si>
  <si>
    <t>SGRS_LABEL</t>
  </si>
  <si>
    <t>LABL_CTNT</t>
  </si>
  <si>
    <t>SGRS_LEDGER</t>
  </si>
  <si>
    <t>TABLE_KOR_NM</t>
  </si>
  <si>
    <t>TABLE_PRIMARY_KEY</t>
  </si>
  <si>
    <t>MANAGED_YN</t>
  </si>
  <si>
    <t>TARGET_TABLE_NM</t>
  </si>
  <si>
    <t>TARGET_TABLE_KOR_NM</t>
  </si>
  <si>
    <t>TARGET_DS_NM</t>
  </si>
  <si>
    <t>SGRS_LINKINFO</t>
  </si>
  <si>
    <t>LOGN_CD</t>
  </si>
  <si>
    <t>LNDE_CD</t>
  </si>
  <si>
    <t>LNDE_HEADER_NM</t>
  </si>
  <si>
    <t>SGRS_LINKTRAN</t>
  </si>
  <si>
    <t>LTRN_TESTUSE_CD</t>
  </si>
  <si>
    <t>SGRS_MENUACCCTRL</t>
  </si>
  <si>
    <t>MENUACCCTRL_KEY</t>
  </si>
  <si>
    <t>UPPER_MENU_ID</t>
  </si>
  <si>
    <t>MENU_NM</t>
  </si>
  <si>
    <t>MENU_ORD</t>
  </si>
  <si>
    <t>LINK_TY</t>
  </si>
  <si>
    <t>LINK_URL</t>
  </si>
  <si>
    <t>MENU_LEVEL</t>
  </si>
  <si>
    <t>LOW_MENU_YN</t>
  </si>
  <si>
    <t>PARAM</t>
  </si>
  <si>
    <t>SGRS_MESSAGE</t>
  </si>
  <si>
    <t>IMPORTANT_YN</t>
  </si>
  <si>
    <t>MESG_CTNT</t>
  </si>
  <si>
    <t>SGRS_NSCREEN</t>
  </si>
  <si>
    <t>NSCREEN_KEY</t>
  </si>
  <si>
    <t>SCRIPT_FILE</t>
  </si>
  <si>
    <t>TEMP_TY</t>
  </si>
  <si>
    <t>TEMP_FILE</t>
  </si>
  <si>
    <t>TEMP_STYLE</t>
  </si>
  <si>
    <t>AREA_TY</t>
  </si>
  <si>
    <t>AREA_TARGET_ID</t>
  </si>
  <si>
    <t>AREA_TARGET_RESOURCE</t>
  </si>
  <si>
    <t>AREA_TARGET_STYLE</t>
  </si>
  <si>
    <t>DEVICE</t>
  </si>
  <si>
    <t>LANG</t>
  </si>
  <si>
    <t>SGRS_SCREENACCCTRL</t>
  </si>
  <si>
    <t>SCREENACCCTRL_KEY</t>
  </si>
  <si>
    <t>SCREEN_ID</t>
  </si>
  <si>
    <t>SCREEN_NM</t>
  </si>
  <si>
    <t>SCREEN_TY</t>
  </si>
  <si>
    <t>SGRS_TRAN</t>
  </si>
  <si>
    <t>TRAN_CALL_CLASS</t>
  </si>
  <si>
    <t>TRAN_CALL_METHOD</t>
  </si>
  <si>
    <t>TRAN_PRESUR_CLASS</t>
  </si>
  <si>
    <t>TRAN_SPEC_CD</t>
  </si>
  <si>
    <t>TRAN_VALD_FROMTIME</t>
  </si>
  <si>
    <t>TRAN_VALD_TOTIME</t>
  </si>
  <si>
    <t>TRAN_SAVEDTOKEN_YN</t>
  </si>
  <si>
    <t>SGRS_TRANACCCTRL</t>
  </si>
  <si>
    <t>TRANACCCTRL_KEY</t>
  </si>
  <si>
    <t>TRAN_TY</t>
  </si>
  <si>
    <t>SGRS_TRANBIZPARAM</t>
  </si>
  <si>
    <t>TRAN_PRAM_ID</t>
  </si>
  <si>
    <t>TRAN_PRAM_VALUE</t>
  </si>
  <si>
    <t>SGRS_TRANCTRL</t>
  </si>
  <si>
    <t>TRANCTRL_KEY</t>
  </si>
  <si>
    <t>TRAN_CTRL_ID</t>
  </si>
  <si>
    <t>TRAN_CTRL_TY</t>
  </si>
  <si>
    <t>SCHEDULE_TY</t>
  </si>
  <si>
    <t>APPT_WEEKDAY</t>
  </si>
  <si>
    <t>APPT_MONTH</t>
  </si>
  <si>
    <t>APPT_DATE</t>
  </si>
  <si>
    <t>APPT_HOLYDAY</t>
  </si>
  <si>
    <t>START_DATE</t>
  </si>
  <si>
    <t>END_DATE</t>
  </si>
  <si>
    <t>SGRS_TRANEXTPARAM</t>
  </si>
  <si>
    <t>SGRS_TRANLNKPARAM</t>
  </si>
  <si>
    <t>SGRS_TRANVALD</t>
  </si>
  <si>
    <t>TVLD_VALUE_TX</t>
  </si>
  <si>
    <t>GLBLEXCEPT_YN</t>
  </si>
  <si>
    <t>TVLD_ORDER_NO</t>
  </si>
  <si>
    <t>SGRS_TRANWEBPARAM</t>
  </si>
  <si>
    <t>TRAN_SEQ</t>
  </si>
  <si>
    <t>TRAN_RESULT_CD</t>
  </si>
  <si>
    <t>TRAN_SUCCASE_NM</t>
  </si>
  <si>
    <t>TRAN_RETURN_HANDLER_CD</t>
  </si>
  <si>
    <t>TRAN_RETURN_CD</t>
  </si>
  <si>
    <t>TRAN_RETURN_PATH</t>
  </si>
  <si>
    <t>SERE_DYNMCALPRAM_TB</t>
  </si>
  <si>
    <t>ORG_CLSS_FUL_NM</t>
  </si>
  <si>
    <t>CAL_COND_KEY</t>
  </si>
  <si>
    <t>CAL_COND_VAL</t>
  </si>
  <si>
    <t>TGT_CLSS_FUL_NM</t>
  </si>
  <si>
    <t>DESC_TX</t>
  </si>
  <si>
    <t>SERE_DYNMCCOMPCOND_TB</t>
  </si>
  <si>
    <t>COMP_COND_ID</t>
  </si>
  <si>
    <t>COND_KEY_1</t>
  </si>
  <si>
    <t>COND_VAL_1</t>
  </si>
  <si>
    <t>COND_KEY_2</t>
  </si>
  <si>
    <t>COND_VAL_2</t>
  </si>
  <si>
    <t>SERE_EXTLINKPARAM_TB</t>
  </si>
  <si>
    <t>LINK_NM</t>
  </si>
  <si>
    <t>ORG_CD</t>
  </si>
  <si>
    <t>CONV_RULE_ID</t>
  </si>
  <si>
    <t>SNDR_RULE_ID</t>
  </si>
  <si>
    <t>SND_TYPE_CD</t>
  </si>
  <si>
    <t>SNR_KND_CD</t>
  </si>
  <si>
    <t>SND_IOSP_ID</t>
  </si>
  <si>
    <t>RES_IOSP_ID</t>
  </si>
  <si>
    <t>EXT_IOSP_ID1</t>
  </si>
  <si>
    <t>EXT_IOSP_ID2</t>
  </si>
  <si>
    <t>SND_LOG_YN</t>
  </si>
  <si>
    <t>RES_LOG_YN</t>
  </si>
  <si>
    <t>SIMUL_YN</t>
  </si>
  <si>
    <t>ASYNC_RES_TRAN_ID</t>
  </si>
  <si>
    <t>TMOUT_SEC</t>
  </si>
  <si>
    <t>TMOUT_PROC_CD</t>
  </si>
  <si>
    <t>MAX_RETRY_CNT</t>
  </si>
  <si>
    <t>TMOUT_TRAN_ID</t>
  </si>
  <si>
    <t>PATH_TX</t>
  </si>
  <si>
    <t>AFT_TMOR_PROC_CD</t>
  </si>
  <si>
    <t>UNI_CD</t>
  </si>
  <si>
    <t>INF_ID</t>
  </si>
  <si>
    <t>STD_YN</t>
  </si>
  <si>
    <t>CALL_TRAN_ID</t>
  </si>
  <si>
    <t>THREAD_POOL_MAX_NUM</t>
  </si>
  <si>
    <t>THREAD_POOL_MIN_NUM</t>
  </si>
  <si>
    <t>SERE_EXTPARAM_TB</t>
  </si>
  <si>
    <t>PARAM_SET_ID</t>
  </si>
  <si>
    <t>PARAM_OWNER_ID</t>
  </si>
  <si>
    <t>PARAM_KEY_ID</t>
  </si>
  <si>
    <t>PARAM_VAL_TX</t>
  </si>
  <si>
    <t>SERE_FORM_TB</t>
  </si>
  <si>
    <t>FORM_TYPE_CD</t>
  </si>
  <si>
    <t>DFT_SCRN_ID</t>
  </si>
  <si>
    <t>DTL_TYPE_CD</t>
  </si>
  <si>
    <t>SERE_JOBNODE_TB_BK</t>
  </si>
  <si>
    <t>CC_INST_TY</t>
  </si>
  <si>
    <t>SERE_JOURNALLOG_TB</t>
  </si>
  <si>
    <t>PART_KEY</t>
  </si>
  <si>
    <t>JRNL_ID</t>
  </si>
  <si>
    <t>JRNL_ORD</t>
  </si>
  <si>
    <t>TR_GUID</t>
  </si>
  <si>
    <t>TR_GUID_SEQ</t>
  </si>
  <si>
    <t>TR_ORG_GUID</t>
  </si>
  <si>
    <t>ELAPSE_MS</t>
  </si>
  <si>
    <t>MSG_FMT_CD</t>
  </si>
  <si>
    <t>MSG_SPEC</t>
  </si>
  <si>
    <t>SERE_LINKADAPTOR_TB</t>
  </si>
  <si>
    <t>ADTR_ID</t>
  </si>
  <si>
    <t>ADTR_NM</t>
  </si>
  <si>
    <t>SND_RULE_ID</t>
  </si>
  <si>
    <t>SERVER_NM</t>
  </si>
  <si>
    <t>BACKUP_YN</t>
  </si>
  <si>
    <t>ADAP_CLS_NM</t>
  </si>
  <si>
    <t>TGT_ADDR_NM</t>
  </si>
  <si>
    <t>TGT_PORT_NM</t>
  </si>
  <si>
    <t>TGT_PATH_TX</t>
  </si>
  <si>
    <t>HLT_ADDR_NM</t>
  </si>
  <si>
    <t>HLT_PORT_NM</t>
  </si>
  <si>
    <t>HLT_PATH_TX</t>
  </si>
  <si>
    <t>NORMAL_YN</t>
  </si>
  <si>
    <t>ERR_TM</t>
  </si>
  <si>
    <t>LOAD_VAL</t>
  </si>
  <si>
    <t>HLT_CHK_YN</t>
  </si>
  <si>
    <t>SERE_LINKLOG_TB</t>
  </si>
  <si>
    <t>SYS_DD</t>
  </si>
  <si>
    <t>SYS_PATH_NO</t>
  </si>
  <si>
    <t>CALLER_TRAN_ID</t>
  </si>
  <si>
    <t>CALLEE_TRAN_ID</t>
  </si>
  <si>
    <t>CALLEE_IN_IOSPEC_ID</t>
  </si>
  <si>
    <t>CALLEE_OUT_IOSPEC_ID</t>
  </si>
  <si>
    <t>IN_MSG_CTT1</t>
  </si>
  <si>
    <t>IN_MSG_CTT2</t>
  </si>
  <si>
    <t>OUT_MSG_CTT1</t>
  </si>
  <si>
    <t>OUT_MSG_CTT2</t>
  </si>
  <si>
    <t>ERR_MSG_CTT</t>
  </si>
  <si>
    <t>SERE_LINKTIMER_TB</t>
  </si>
  <si>
    <t>DATA_SEQ</t>
  </si>
  <si>
    <t>EXT_HDR_KEY1</t>
  </si>
  <si>
    <t>EXT_HDR_VAL_TX1</t>
  </si>
  <si>
    <t>EXT_HDR_KEY2</t>
  </si>
  <si>
    <t>EXT_HDR_VAL_TX2</t>
  </si>
  <si>
    <t>PGRS_STAT_CD</t>
  </si>
  <si>
    <t>RETRY_CNT</t>
  </si>
  <si>
    <t>MULTI_ROW_YN</t>
  </si>
  <si>
    <t>SERE_LOOPBACK_TB</t>
  </si>
  <si>
    <t>LOOPBACK_DATA_ID</t>
  </si>
  <si>
    <t>RSPS_TRAN_ID</t>
  </si>
  <si>
    <t>DIRECT_INPUT_YN</t>
  </si>
  <si>
    <t>INPUT_TX</t>
  </si>
  <si>
    <t>TEST_DATA_CL</t>
  </si>
  <si>
    <t>SERE_PRESERVATION_ST</t>
  </si>
  <si>
    <t>SERE_PRESVEX_TB</t>
  </si>
  <si>
    <t>EXECLUDE_REASON_TX</t>
  </si>
  <si>
    <t>SERE_QUEUE_TB</t>
  </si>
  <si>
    <t>MESSAGE_CRYPTO_NM</t>
  </si>
  <si>
    <t>DURABLE_YN</t>
  </si>
  <si>
    <t>EXCLUSIVE_YN</t>
  </si>
  <si>
    <t>AUTODELETE_YN</t>
  </si>
  <si>
    <t>SENDER_CLASS_NM</t>
  </si>
  <si>
    <t>CONSUMER_CLASS_NM</t>
  </si>
  <si>
    <t>BRCH_CD</t>
  </si>
  <si>
    <t>GRP_COMP_CD</t>
  </si>
  <si>
    <t>QUERY_ID</t>
  </si>
  <si>
    <t>SERE_SEQ_SPEC_TB</t>
  </si>
  <si>
    <t>SEQ_SPEC_ID</t>
  </si>
  <si>
    <t>SEQ_SPEC_NM</t>
  </si>
  <si>
    <t>SEQ_CLSS</t>
  </si>
  <si>
    <t>COMP_SEQ_KEY_DESC</t>
  </si>
  <si>
    <t>SEQ_SIZE</t>
  </si>
  <si>
    <t>FILL_CHAR</t>
  </si>
  <si>
    <t>INIT_VALUE</t>
  </si>
  <si>
    <t>SERE_SNDRULE_TB</t>
  </si>
  <si>
    <t>SND_RULE_NM</t>
  </si>
  <si>
    <t>LOAD_BAL_CD</t>
  </si>
  <si>
    <t>SERE_TOPIC_TB</t>
  </si>
  <si>
    <t>TOPIC_NM</t>
  </si>
  <si>
    <t>EXCHANGE_NM</t>
  </si>
  <si>
    <t>SERE_TRANCTRLELEM_TB</t>
  </si>
  <si>
    <t>CTRL_RULE_ID</t>
  </si>
  <si>
    <t>ELEM_SEQ</t>
  </si>
  <si>
    <t>ELEM_NM</t>
  </si>
  <si>
    <t>CTRL_TYPE_ID</t>
  </si>
  <si>
    <t>CTRL_VALUE</t>
  </si>
  <si>
    <t>SERE_TRANCTRLRULE_TB</t>
  </si>
  <si>
    <t>CTRL_RULE_NM</t>
  </si>
  <si>
    <t>DEF_ENV_CD</t>
  </si>
  <si>
    <t>DEF_RUN_TYPE_CD</t>
  </si>
  <si>
    <t>APLY_STRT_DD</t>
  </si>
  <si>
    <t>APLY_STRT_TM</t>
  </si>
  <si>
    <t>APLY_END_DD</t>
  </si>
  <si>
    <t>APLY_END_TM</t>
  </si>
  <si>
    <t>SERE_TRANCTRLTYPE_TB</t>
  </si>
  <si>
    <t>CTRL_TYPE_NM</t>
  </si>
  <si>
    <t>CTRL_SRC_ID</t>
  </si>
  <si>
    <t>CTRL_SRC_KEY</t>
  </si>
  <si>
    <t>TYPE_KIND_CD</t>
  </si>
  <si>
    <t>MNG_MULTI_SRC_CD</t>
  </si>
  <si>
    <t>MNG_MULTI_SRC_KEY</t>
  </si>
  <si>
    <t>CTRL_TYPE_CLASS</t>
  </si>
  <si>
    <t>SERE_TRANCTRL_TB</t>
  </si>
  <si>
    <t>ENV_CD</t>
  </si>
  <si>
    <t>RUN_TYPE_CD</t>
  </si>
  <si>
    <t>EXCL_TRAN_ID</t>
  </si>
  <si>
    <t>SERL_PARAMETER_TB</t>
  </si>
  <si>
    <t>UUID</t>
  </si>
  <si>
    <t>MIGRATION_TYPE_CD</t>
  </si>
  <si>
    <t>SYS_TIME</t>
  </si>
  <si>
    <t>FILE_PATH_NM</t>
  </si>
  <si>
    <t>PARAMETER_TYPE_CD</t>
  </si>
  <si>
    <t>PARAMETER_ID</t>
  </si>
  <si>
    <t>HOST_IP</t>
  </si>
  <si>
    <t>DATA_JSON</t>
  </si>
  <si>
    <t>PARENT_UUID</t>
  </si>
  <si>
    <t>SGMC_MASKING_SAMPLE_TB</t>
  </si>
  <si>
    <t>MASKING_YN</t>
  </si>
  <si>
    <t>SERV_MNG_CALL_YN</t>
  </si>
  <si>
    <t>SGMC_SRVCRLCTGR_TB</t>
  </si>
  <si>
    <t>SVCT_SVRL_ID</t>
  </si>
  <si>
    <t>SVCT_CTGR_ID</t>
  </si>
  <si>
    <t>SVCT_EXE_CD</t>
  </si>
  <si>
    <t>TRAN_USE_YN</t>
  </si>
  <si>
    <t>TRAN_THREAD_POOL_MAX_NUM</t>
  </si>
  <si>
    <t>TRAN_THREAD_POOL_MIN_NUM</t>
  </si>
  <si>
    <t>Flag ChangePass default</t>
  </si>
  <si>
    <t>EndDate Active Password</t>
  </si>
  <si>
    <t>Number of Login Fail (Max X)</t>
  </si>
  <si>
    <t>Flag Lock Account</t>
  </si>
  <si>
    <t>Create a new account</t>
  </si>
  <si>
    <t>Must change default pass</t>
  </si>
  <si>
    <t>Lưu</t>
  </si>
  <si>
    <t>Gửi mail</t>
  </si>
  <si>
    <t>Đăng nhập lần đầu =&gt; Hiển thị màn hình yêu cầu đồi password =&gt; Đổi pass</t>
  </si>
  <si>
    <t>now() + X</t>
  </si>
  <si>
    <t>Change Password</t>
  </si>
  <si>
    <t>Chưa quá X ngày</t>
  </si>
  <si>
    <t>Vào changePass =&gt; đổi password</t>
  </si>
  <si>
    <t>Quá X ngày</t>
  </si>
  <si>
    <t>Đăng nhập =&gt; Hiển thị màn hình yêu cầu đồi password =&gt; Đổi pass</t>
  </si>
  <si>
    <t>Đăng nhập lỗi</t>
  </si>
  <si>
    <t>X - 1</t>
  </si>
  <si>
    <t>Thông báo lỗi bình thường</t>
  </si>
  <si>
    <t>X</t>
  </si>
  <si>
    <t>Thông báo lỗi khoá account</t>
  </si>
  <si>
    <t>Đăng nhập thành công</t>
  </si>
  <si>
    <t>Admin Unlock Account</t>
  </si>
  <si>
    <r>
      <rPr>
        <sz val="11"/>
        <color rgb="FF000000"/>
        <rFont val="Times New Roman"/>
      </rPr>
      <t xml:space="preserve">Email thông báo TK được mở khoá + User/ </t>
    </r>
    <r>
      <rPr>
        <b/>
        <sz val="11"/>
        <color rgb="FFFF0000"/>
        <rFont val="Times New Roman"/>
      </rPr>
      <t xml:space="preserve">Defaul </t>
    </r>
    <r>
      <rPr>
        <sz val="11"/>
        <color rgb="FF000000"/>
        <rFont val="Times New Roman"/>
      </rPr>
      <t>Password</t>
    </r>
  </si>
  <si>
    <t>Info</t>
  </si>
  <si>
    <t>Waning</t>
  </si>
  <si>
    <t>Error</t>
  </si>
  <si>
    <t>Fatal</t>
  </si>
  <si>
    <t>ALL</t>
  </si>
  <si>
    <t>#</t>
  </si>
  <si>
    <t>Menu</t>
  </si>
  <si>
    <t>Menu 1</t>
  </si>
  <si>
    <t>Menu 2</t>
  </si>
  <si>
    <t>Menu 3</t>
  </si>
  <si>
    <t>Menu 4</t>
  </si>
  <si>
    <t>Menu 5</t>
  </si>
  <si>
    <t>Menu 6</t>
  </si>
  <si>
    <t>Menu 7</t>
  </si>
  <si>
    <t>Menu 8</t>
  </si>
  <si>
    <t>Menu 9</t>
  </si>
  <si>
    <t>Menu 10</t>
  </si>
  <si>
    <t>Menu 11</t>
  </si>
  <si>
    <t>Menu 12</t>
  </si>
  <si>
    <t>Menu 13</t>
  </si>
  <si>
    <t>Menu 14</t>
  </si>
  <si>
    <t>MESSAGE</t>
  </si>
  <si>
    <t>SHOW ARCHITECH - TÍNH NĂNG CÓ TRÊN HỆ THỐNG</t>
  </si>
  <si>
    <t>1 SLIDE</t>
  </si>
  <si>
    <t>2PHUT</t>
  </si>
  <si>
    <t>HOW TO IMPLEMENT</t>
  </si>
  <si>
    <t>Chụp ảnh code quan trọng - Interface
Nếu cần show code thì thời gian ~ 5PHUT</t>
  </si>
  <si>
    <t xml:space="preserve">HOW TO USE:
</t>
  </si>
  <si>
    <t>2 SLIDE</t>
  </si>
  <si>
    <t>&gt;=5 là OK</t>
  </si>
  <si>
    <t>FE</t>
  </si>
  <si>
    <t>&lt;5 là NOT OK</t>
  </si>
  <si>
    <t>BE</t>
  </si>
  <si>
    <t>DEMO</t>
  </si>
  <si>
    <t>Thêm mới 1 COMMON message</t>
  </si>
  <si>
    <t>5PHUT</t>
  </si>
  <si>
    <t>Thêm mới 1 FN message</t>
  </si>
  <si>
    <t>Thêm mới 1 Lable</t>
  </si>
  <si>
    <t xml:space="preserve">Thêm mới 1 ngôn ngữ mới =&gt; Apply message cho 1 màn hình đơn giải </t>
  </si>
  <si>
    <t>Field</t>
  </si>
  <si>
    <t>Information</t>
  </si>
  <si>
    <t>Request Date</t>
  </si>
  <si>
    <t>Requester Name</t>
  </si>
  <si>
    <t>Department</t>
  </si>
  <si>
    <t>Contact Number</t>
  </si>
  <si>
    <t>Purpose of Trip</t>
  </si>
  <si>
    <t>Meeting / Event Name</t>
  </si>
  <si>
    <t>Pickup Date</t>
  </si>
  <si>
    <t>Pickup Time</t>
  </si>
  <si>
    <t>Pickup Location</t>
  </si>
  <si>
    <t>Destination</t>
  </si>
  <si>
    <t>Estimated Return Time</t>
  </si>
  <si>
    <t>Number of Passengers</t>
  </si>
  <si>
    <t>Cost Center / Project Code</t>
  </si>
  <si>
    <t>Special Request</t>
  </si>
  <si>
    <t>Lịch nghỉ 2025</t>
  </si>
  <si>
    <t>Onboard: 05.05</t>
  </si>
  <si>
    <t>Annual Leave</t>
  </si>
  <si>
    <t>Unpaid Leave</t>
  </si>
  <si>
    <t>Special Leave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</si>
  <si>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</si>
  <si>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</si>
  <si>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</si>
  <si>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</si>
  <si>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</si>
  <si>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</si>
  <si>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</si>
  <si>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</si>
  <si>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Onboard: 5.5</t>
  </si>
  <si>
    <t>Số ngày phép 2025</t>
  </si>
  <si>
    <t>Tính nghỉ phép tháng 5</t>
  </si>
  <si>
    <t>Thì năm 2026 có 12 ngày phép</t>
  </si>
  <si>
    <t>Không tính nghỉ phép tháng 5</t>
  </si>
  <si>
    <t>Thì năm 2026 có 11 ngày phép</t>
  </si>
  <si>
    <t>Chức năng</t>
  </si>
  <si>
    <t>Mục tiêu</t>
  </si>
  <si>
    <t>Nội dung tồn đọng</t>
  </si>
  <si>
    <t>MASTER</t>
  </si>
  <si>
    <t>CATEGORY/ STATUS =&gt; MASTER DATA</t>
  </si>
  <si>
    <t>GENERAL CONFIG</t>
  </si>
  <si>
    <t>LƯU CÁC CONFIG CHÍNH CỦA HỆ THỐNG
FILE SIZE/ TYPE/ TOTAL FILE
VIEW/UPDATE/CRUD
CÁC PASSWORD TRÊN HỆ THỐNG;
LABLE/ MESSAGE</t>
  </si>
  <si>
    <t>Lưu ở đâu? lưu như nào?</t>
  </si>
  <si>
    <t>Solution Classification</t>
  </si>
  <si>
    <t>1level</t>
  </si>
  <si>
    <t>2level</t>
  </si>
  <si>
    <t>3level</t>
  </si>
  <si>
    <t>4level</t>
  </si>
  <si>
    <t>Transfer Type</t>
  </si>
  <si>
    <t>COMPARE TO FUNDAMENTAL</t>
  </si>
  <si>
    <t>DISTIONARY</t>
  </si>
  <si>
    <t>LABLE/ MESSAGE</t>
  </si>
  <si>
    <t>MENU/ ROLE/MENU ROLE/ USER</t>
  </si>
  <si>
    <t>FIRST NAME/ LAST NAME =&gt; BỎ
ĐANG BỎ AUTHOR TRÊN TOÀN BỘ HỆ THỐNG;</t>
  </si>
  <si>
    <t>DevOn Enterprise</t>
  </si>
  <si>
    <t>Execution Environment</t>
  </si>
  <si>
    <t>Common Functions</t>
  </si>
  <si>
    <t>Data Access Object</t>
  </si>
  <si>
    <t>AutoDao Series</t>
  </si>
  <si>
    <t>engine</t>
  </si>
  <si>
    <t>SESSION MONITOR</t>
  </si>
  <si>
    <t>CONFIG DEFAULT COLUMN</t>
  </si>
  <si>
    <t/>
  </si>
  <si>
    <t>LTransactionManager</t>
  </si>
  <si>
    <t>LLog</t>
  </si>
  <si>
    <t>Trace Log</t>
  </si>
  <si>
    <t>System Log</t>
  </si>
  <si>
    <t>Util</t>
  </si>
  <si>
    <t>Extension Sub Util</t>
  </si>
  <si>
    <t>Configur ATi on</t>
  </si>
  <si>
    <t>LConfigur ATi on</t>
  </si>
  <si>
    <t>BBS</t>
  </si>
  <si>
    <t>CHƯA REVIEW</t>
  </si>
  <si>
    <t>Cache</t>
  </si>
  <si>
    <t>LCache &amp; EhCache</t>
  </si>
  <si>
    <t>Parameter caching</t>
  </si>
  <si>
    <t>Parameter Refresh</t>
  </si>
  <si>
    <t>Global Cache Linkage</t>
  </si>
  <si>
    <t>DOUMENTATION</t>
  </si>
  <si>
    <t>LContext (thread local)</t>
  </si>
  <si>
    <t>ARCHITECH &amp; DESIGN</t>
  </si>
  <si>
    <t>online</t>
  </si>
  <si>
    <t>logging</t>
  </si>
  <si>
    <t>DETAIL DESIGN - SRS</t>
  </si>
  <si>
    <t>DB DESIGN</t>
  </si>
  <si>
    <t>Journal Log</t>
  </si>
  <si>
    <t>API SPECS</t>
  </si>
  <si>
    <t>DEV GUIDE</t>
  </si>
  <si>
    <t>Conduct transactions</t>
  </si>
  <si>
    <t>Professional parsing</t>
  </si>
  <si>
    <t>USER GUIDE</t>
  </si>
  <si>
    <t>Service Processing</t>
  </si>
  <si>
    <t>Service trailing processing</t>
  </si>
  <si>
    <t>Create response/error full text</t>
  </si>
  <si>
    <t>Trading Parameters</t>
  </si>
  <si>
    <t>Trading Extension Parameters</t>
  </si>
  <si>
    <t>Trading Individual Parameters</t>
  </si>
  <si>
    <t>Transaction Verification</t>
  </si>
  <si>
    <t>Professional header verification</t>
  </si>
  <si>
    <t>Responsive professional maximum length control</t>
  </si>
  <si>
    <t>GUID duplicate validation</t>
  </si>
  <si>
    <t>Transaction Control</t>
  </si>
  <si>
    <t>Automatic Trading Control</t>
  </si>
  <si>
    <t>Complex Transaction Control</t>
  </si>
  <si>
    <t>Control of curfew time</t>
  </si>
  <si>
    <t>interface</t>
  </si>
  <si>
    <t>Affiliate Parameters</t>
  </si>
  <si>
    <t>Linked Transaction Logging</t>
  </si>
  <si>
    <t>Support for asynchronous transactions</t>
  </si>
  <si>
    <t>timer</t>
  </si>
  <si>
    <t>send rule</t>
  </si>
  <si>
    <t>Various Linked Adapters</t>
  </si>
  <si>
    <t>Integrated transactions</t>
  </si>
  <si>
    <t>Integration Parameters</t>
  </si>
  <si>
    <t>Integration Log</t>
  </si>
  <si>
    <t>Transaction Management</t>
  </si>
  <si>
    <t>Manage timeouts by service</t>
  </si>
  <si>
    <t>Nested Tx Support</t>
  </si>
  <si>
    <t>Special Trading Patterns</t>
  </si>
  <si>
    <t>Simulated Trading</t>
  </si>
  <si>
    <t>Bulk I/O</t>
  </si>
  <si>
    <t>Passbook Statement</t>
  </si>
  <si>
    <t>Approval of the person in charge</t>
  </si>
  <si>
    <t>Ledger Correction</t>
  </si>
  <si>
    <t>HotDeploy</t>
  </si>
  <si>
    <t>Source Dynamic Reflection</t>
  </si>
  <si>
    <t>arrangement</t>
  </si>
  <si>
    <t>Batch execution</t>
  </si>
  <si>
    <t>Perform regular batches</t>
  </si>
  <si>
    <t>Perform Ondemand Placement</t>
  </si>
  <si>
    <t>Trace Log Settings</t>
  </si>
  <si>
    <t>System Log Settings</t>
  </si>
  <si>
    <t>Reader/Writer</t>
  </si>
  <si>
    <t>Support file processing of various formats (SAM, SSAM, csv, txt, raw, etc.)</t>
  </si>
  <si>
    <t>Managing File Layouts</t>
  </si>
  <si>
    <t>Support for DB In/Out processing</t>
  </si>
  <si>
    <t>Support for large-scale DB processing</t>
  </si>
  <si>
    <t>worker</t>
  </si>
  <si>
    <t>Redundancy Execution Control</t>
  </si>
  <si>
    <t>Set task dependencies</t>
  </si>
  <si>
    <t>Manage commit count</t>
  </si>
  <si>
    <t>Sharing Work Center Information (Context)</t>
  </si>
  <si>
    <t>Batch History Management</t>
  </si>
  <si>
    <t>Batch execution history inquiry function</t>
  </si>
  <si>
    <t>Batch Execution Parameter Inquiry</t>
  </si>
  <si>
    <t>Error Log Inquiry</t>
  </si>
  <si>
    <t>CenterCut</t>
  </si>
  <si>
    <t>Perform a centercut</t>
  </si>
  <si>
    <t>Centercut Maneuver Placement</t>
  </si>
  <si>
    <t>Parallel Processing</t>
  </si>
  <si>
    <t>Handling of pre/after-service</t>
  </si>
  <si>
    <t>Pause and resume</t>
  </si>
  <si>
    <t>Reprocessing</t>
  </si>
  <si>
    <t>Reuse online services</t>
  </si>
  <si>
    <t>CenterCut Logging</t>
  </si>
  <si>
    <t>CenterCut Control</t>
  </si>
  <si>
    <t>Preventing double start of the main service</t>
  </si>
  <si>
    <t>Controlling the number of commits</t>
  </si>
  <si>
    <t>Control no-run time</t>
  </si>
  <si>
    <t>CenterCut Management</t>
  </si>
  <si>
    <t>Aggregate information provided by Center Cut</t>
  </si>
  <si>
    <t>Execution history</t>
  </si>
  <si>
    <t>Daemon/Trailing</t>
  </si>
  <si>
    <t>Performing daemons</t>
  </si>
  <si>
    <t>Resident Daemon Disposal</t>
  </si>
  <si>
    <t>Online Caller</t>
  </si>
  <si>
    <t>Daemon Logging</t>
  </si>
  <si>
    <t>Daemon Control</t>
  </si>
  <si>
    <t>Managing the daemon</t>
  </si>
  <si>
    <t>Provision of aggregate information</t>
  </si>
  <si>
    <t>Trailing</t>
  </si>
  <si>
    <t>Task log</t>
  </si>
  <si>
    <t>Reprocessing error data</t>
  </si>
  <si>
    <t>Creating a trailing data block Job</t>
  </si>
  <si>
    <t>Performing trailing data processing jobs</t>
  </si>
  <si>
    <t xml:space="preserve">
DOE202504-982</t>
  </si>
  <si>
    <t>[R26006] KB Card custormizing - dmon - Daemon Service History</t>
  </si>
  <si>
    <t>[R26006][35] Admin- Notice - RW</t>
  </si>
  <si>
    <t>DOE202504-876</t>
  </si>
  <si>
    <t>[R26006] KB Card - onlineRuntime - Test Server List</t>
  </si>
  <si>
    <t>[R26006][34] Admin - Agent Server - RW</t>
  </si>
  <si>
    <t>DOE202504-1072</t>
  </si>
  <si>
    <t>[R26006] KB Card - onlineRuntime - Cache Clear</t>
  </si>
  <si>
    <t>[R26006][34] Admin - Login Log - RW</t>
  </si>
  <si>
    <t>DOE202504-1039</t>
  </si>
  <si>
    <t>[R26006] KB Card - intDeferred - Deferred Biz Log</t>
  </si>
  <si>
    <t>[R26006][34] Admin - Menu Management - RW</t>
  </si>
  <si>
    <t>DOE202504-1004</t>
  </si>
  <si>
    <t>[R26006] KB Card custormizing - enterprise - Job Node</t>
  </si>
  <si>
    <t>[R26006][34] Admin- Menu Role Management - RW</t>
  </si>
  <si>
    <t>DOE202504-1003</t>
  </si>
  <si>
    <t>[R26006] KB Card custormizing - enterprise - Message</t>
  </si>
  <si>
    <t>[R26006][35] Admin- Role Management - RW</t>
  </si>
  <si>
    <t>DOE202504-941</t>
  </si>
  <si>
    <t>[R26006] KB Card custormizing - Centercut History</t>
  </si>
  <si>
    <t>[R26006][34] Admin- User Management - RW</t>
  </si>
  <si>
    <t>DOE202504-989</t>
  </si>
  <si>
    <t>[R26006] KB Card custormizing - dmon - Daemon Service</t>
  </si>
  <si>
    <t>[R26006][33] Transaction - Transaction Extension Parameter - RW</t>
  </si>
  <si>
    <t>DOE202504-1465</t>
  </si>
  <si>
    <t>[R26006] SP4 KB Card - Batch - Batch Path</t>
  </si>
  <si>
    <t>[R26006][32] Transaction - Transaction Individual Parameter - RW</t>
  </si>
  <si>
    <t>DOE202504-934</t>
  </si>
  <si>
    <t>[R26006] KB Card - Batch Collect Info</t>
  </si>
  <si>
    <t>[R26006] SP3 - KB Card - Telegram - Telegram List - RW</t>
  </si>
  <si>
    <t>DOE202504-927</t>
  </si>
  <si>
    <t>[R26006] KB Card custormizing - Batch DB Info</t>
  </si>
  <si>
    <t>[R26006] SP3 - KB Card - IntDeferred - Int Deferred Biz Mng - RW</t>
  </si>
  <si>
    <t>DOE202504-1086</t>
  </si>
  <si>
    <t>[R26006][31] Transaction - Transaction List</t>
  </si>
  <si>
    <t>[R26006] SP3 - KB Card - IntDeferred - Int Deferred Reproc - RW</t>
  </si>
  <si>
    <t>DOE202504-948</t>
  </si>
  <si>
    <t>[R26006] KB Card custormizing - centerCut - Centercut Main</t>
  </si>
  <si>
    <t>[R26006] SP3 - KB Card - IntDeferred - Int Deferred Data - RW</t>
  </si>
  <si>
    <t>DOE202504-875</t>
  </si>
  <si>
    <t>[R26006] KB Card - Log - Transaction Log</t>
  </si>
  <si>
    <t>[R26006] SP3 - KB Card - config - Category Management - RW</t>
  </si>
  <si>
    <t>DOE202504-1065</t>
  </si>
  <si>
    <t>[R26006] KB Card - OnlineRuntime - Server List</t>
  </si>
  <si>
    <t>[R26006] SP3 - KB Card - config - Language Management - RW</t>
  </si>
  <si>
    <t>DOE202504-996</t>
  </si>
  <si>
    <t>[R26006] KB Card custormizing - dmon - Daemon Main</t>
  </si>
  <si>
    <t>[R26006] SP3 - KB Card - Batch File Info - RW</t>
  </si>
  <si>
    <t>DOE202504-1052</t>
  </si>
  <si>
    <t>[R26006] KB Card - Interface - Interface Adaptor</t>
  </si>
  <si>
    <t>[R26006] SP3 - KB Card - Batch History - RW</t>
  </si>
  <si>
    <t>DOE202504-874</t>
  </si>
  <si>
    <t>[R26006] KB Card - Interface - Interface Parameter</t>
  </si>
  <si>
    <t>[R26006] SP3 - KB Card - Batch Main - RW</t>
  </si>
  <si>
    <t>DOE202504-1666</t>
  </si>
  <si>
    <t>[R26006] SP3 - KB Card - Batch Shell - RW</t>
  </si>
  <si>
    <t>DOE202504-1676</t>
  </si>
  <si>
    <t>[R26006] SP3 - KB Card - Batch Server - RW</t>
  </si>
  <si>
    <t>DOE202504-1686</t>
  </si>
  <si>
    <t>[R26006] SP3 - KB Card - config - FW Code Management - RW</t>
  </si>
  <si>
    <t>DOE202504-1685</t>
  </si>
  <si>
    <t>DOE202504-1684</t>
  </si>
  <si>
    <t>DOE202504-1682</t>
  </si>
  <si>
    <t>DOE202504-1680</t>
  </si>
  <si>
    <t>DOE202504-1681</t>
  </si>
  <si>
    <t>DOE202504-1011</t>
  </si>
  <si>
    <t>[R26006] SP3 - KB Card - intDeferred - Int Deferred Proc Mng</t>
  </si>
  <si>
    <t>DOE202504-1018</t>
  </si>
  <si>
    <t>[R26006] SP3 - KB Card - intDeferred - Int Deferred Proc Status</t>
  </si>
  <si>
    <t>DOE202504-1672</t>
  </si>
  <si>
    <t>DOE202504-1671</t>
  </si>
  <si>
    <t>DOE202504-1673</t>
  </si>
  <si>
    <t>DOE202504-1678</t>
  </si>
  <si>
    <t>DOE202504-1679</t>
  </si>
  <si>
    <t>DOE202504-1663</t>
  </si>
  <si>
    <t>DOE202504-1668</t>
  </si>
  <si>
    <t>DOE202504-1667</t>
  </si>
  <si>
    <t>DOE202504-1664</t>
  </si>
  <si>
    <t>DOE202504-1665</t>
  </si>
  <si>
    <t>DOE202504-1670</t>
  </si>
  <si>
    <t>DOE202504-1669</t>
  </si>
  <si>
    <t>DOE202504-1683</t>
  </si>
  <si>
    <t>USER ACCEPTANCE TEST</t>
  </si>
  <si>
    <t>김희주 책임/DevOn솔루션팀</t>
  </si>
  <si>
    <t>3rd party TEST</t>
  </si>
  <si>
    <t>LE THI NGA Specialist/(Part) Solution Test</t>
  </si>
  <si>
    <t>김한나 선임/DevOn솔루션팀</t>
  </si>
  <si>
    <t>Design Review(HQ)</t>
  </si>
  <si>
    <t>Code Review(HQ)</t>
  </si>
  <si>
    <t>DEVELOPMENT</t>
  </si>
  <si>
    <t>THAI ANH LAM Specialist/(Part) DevOn R&amp;D</t>
  </si>
  <si>
    <t>TAO HOAI DUONG Professional/(Part) DevOn R&amp;D</t>
  </si>
  <si>
    <t>Analysis Review(HQ)</t>
  </si>
  <si>
    <t>Batch - Batch Path</t>
  </si>
  <si>
    <t>Admin - Agent Server - RW</t>
  </si>
  <si>
    <t>Batch Collect Info</t>
  </si>
  <si>
    <t>Admin - Login Log - RW</t>
  </si>
  <si>
    <t>Admin - Menu Management - RW</t>
  </si>
  <si>
    <t>Custormizing - Batch DB Info</t>
  </si>
  <si>
    <t>Admin - Menu Role Management - RW</t>
  </si>
  <si>
    <t>Custormizing - centerCut - Centercut Main</t>
  </si>
  <si>
    <t>Admin - Notice - RW</t>
  </si>
  <si>
    <t>Custormizing - Centercut History</t>
  </si>
  <si>
    <t>Admin - Role Management - RW</t>
  </si>
  <si>
    <t>Custormizing - dmon - Daemon Main</t>
  </si>
  <si>
    <t>Admin - User Management - RW</t>
  </si>
  <si>
    <t>Custormizing - dmon - Daemon Service</t>
  </si>
  <si>
    <t>Custormizing - enterprise - Job Node</t>
  </si>
  <si>
    <t>Batch File Info - RW</t>
  </si>
  <si>
    <t>Custormizing - enterprise - Message</t>
  </si>
  <si>
    <t>Batch History - RW</t>
  </si>
  <si>
    <t>Batch Main - RW</t>
  </si>
  <si>
    <t>IntDeferred - Deferred Biz Log</t>
  </si>
  <si>
    <t>Batch Server - RW</t>
  </si>
  <si>
    <t>IntDeferred - Int Deferred Proc Mng</t>
  </si>
  <si>
    <t>Batch Shell - RW</t>
  </si>
  <si>
    <t>IntDeferred - Int Deferred Proc Status</t>
  </si>
  <si>
    <t>Config - Category Management - RW</t>
  </si>
  <si>
    <t>Interface - Interface Adaptor</t>
  </si>
  <si>
    <t>Config - FW Code Management - RW</t>
  </si>
  <si>
    <t>Interface - Interface Parameter</t>
  </si>
  <si>
    <t>Config - Language Management - RW</t>
  </si>
  <si>
    <t>Log - Transaction Log</t>
  </si>
  <si>
    <t>Custormizing - dmon - Daemon Service History</t>
  </si>
  <si>
    <t>OnlineRuntime - Cache Clear</t>
  </si>
  <si>
    <t>IntDeferred - Int Deferred Biz Mng - RW</t>
  </si>
  <si>
    <t>OnlineRuntime - Server List</t>
  </si>
  <si>
    <t>IntDeferred - Int Deferred Data - RW</t>
  </si>
  <si>
    <t>OnlineRuntime - Test Server List</t>
  </si>
  <si>
    <t>IntDeferred - Int Deferred Proc Mng - RW</t>
  </si>
  <si>
    <t>IntDeferred - Int Deferred Proc Status - RW</t>
  </si>
  <si>
    <t>Transaction - Transaction List</t>
  </si>
  <si>
    <t>IntDeferred - Int Deferred Reproc - RW</t>
  </si>
  <si>
    <t>Telegram - Telegram List - RW</t>
  </si>
  <si>
    <t>Transaction - Transaction Extension Parameter - RW</t>
  </si>
  <si>
    <t>Transaction - Transaction Individual Parameter - RW</t>
  </si>
  <si>
    <t>22tr</t>
  </si>
  <si>
    <t>Tỷ lệ hoàn thành thấp ở Design (8/13) - Dev (6/12) - 3rd party (7/13)</t>
  </si>
  <si>
    <t>Design</t>
  </si>
  <si>
    <t>HQ chậm review</t>
  </si>
  <si>
    <t>Dev</t>
  </si>
  <si>
    <t>3rd Party</t>
  </si>
  <si>
    <t>Controller</t>
  </si>
  <si>
    <t>Thực hiện nhận request đẩy vào blocking Queue</t>
  </si>
  <si>
    <t>Design queue: size: 10.000</t>
  </si>
  <si>
    <t>Local thread =&gt; 1,2,3 (pull/poke)</t>
  </si>
  <si>
    <t>Thread -&gt; item process =&gt; Batch size = 500 (1s) save DB</t>
  </si>
  <si>
    <t>Dữ liệu mới: Query Data = null</t>
  </si>
  <si>
    <t>Phân tích</t>
  </si>
  <si>
    <t>Save DB</t>
  </si>
  <si>
    <t>Schedule - AnalyzerData</t>
  </si>
  <si>
    <t>Collect raw data</t>
  </si>
  <si>
    <t>API receive - Controller</t>
  </si>
  <si>
    <t>True /false =&gt; 5s retry</t>
  </si>
  <si>
    <t>Logic / status</t>
  </si>
  <si>
    <t>Queue Design</t>
  </si>
  <si>
    <t>DB</t>
  </si>
  <si>
    <t>Table</t>
  </si>
  <si>
    <t>Status Null</t>
  </si>
  <si>
    <t>Aggregate Data</t>
  </si>
  <si>
    <t xml:space="preserve">Schedule Job </t>
  </si>
  <si>
    <t>Dữ liệu mới</t>
  </si>
  <si>
    <t>Intevel time</t>
  </si>
  <si>
    <t>Dữ liệu retry</t>
  </si>
  <si>
    <t>Detail logic</t>
  </si>
  <si>
    <t>Retry count / Status Err</t>
  </si>
  <si>
    <t>APIs for Dashboard</t>
  </si>
  <si>
    <t>Chức năng nhiệm vụ của Instrumentation là</t>
  </si>
  <si>
    <t>Implement như nào</t>
  </si>
  <si>
    <t>Đặt ở đâu - khai bao</t>
  </si>
  <si>
    <t>Instance</t>
  </si>
  <si>
    <t>Đọc cấu hình</t>
  </si>
  <si>
    <t>Logic</t>
  </si>
  <si>
    <t xml:space="preserve">Show main function + giải thích </t>
  </si>
  <si>
    <t xml:space="preserve">Blackbox: Tính năng </t>
  </si>
  <si>
    <t xml:space="preserve">Converter chuẩn </t>
  </si>
  <si>
    <t>Chuẩn - thêm bớt thuộc tính</t>
  </si>
  <si>
    <t xml:space="preserve">Lý do thêm thuộc tính - chọn các thuộc devon -&gt; gán vào: chỉ tiêu </t>
  </si>
  <si>
    <t>Send Data qua phương thức</t>
  </si>
  <si>
    <t>Json</t>
  </si>
  <si>
    <t>Overview -&gt; general picture</t>
  </si>
  <si>
    <t>Entry point -&gt; collect data -&gt; Không ảnh hưởng tới performance/logic của nghiệp vụ hiện tại</t>
  </si>
  <si>
    <t>Start trace:  khai báo trace cha;</t>
  </si>
  <si>
    <t>Thực hiện log các span – collect as children of a trace</t>
  </si>
  <si>
    <t>Start span – end span</t>
  </si>
  <si>
    <t>End trace</t>
  </si>
  <si>
    <t>Final</t>
  </si>
  <si>
    <t>Step implement</t>
  </si>
  <si>
    <t>Instance -&gt; khai báo thông qua config</t>
  </si>
  <si>
    <t>Implement logic ở đây + minh họa code</t>
  </si>
  <si>
    <t>DAO</t>
  </si>
  <si>
    <t>Service Link</t>
  </si>
  <si>
    <r>
      <rPr>
        <sz val="11"/>
        <color rgb="FF000000"/>
        <rFont val="Aptos Narrow"/>
        <scheme val="minor"/>
      </rPr>
      <t xml:space="preserve">Send </t>
    </r>
    <r>
      <rPr>
        <b/>
        <sz val="11"/>
        <color rgb="FFFF0000"/>
        <rFont val="Aptos Narrow"/>
        <scheme val="minor"/>
      </rPr>
      <t>/ retry</t>
    </r>
  </si>
  <si>
    <t>Phân tích kế hoạch và chi phí thực hiện</t>
  </si>
  <si>
    <t>Hạng mục
(1)</t>
  </si>
  <si>
    <t>Bước thực hiện
(2)</t>
  </si>
  <si>
    <t>Số lượng cán bộ thực hiện
(3)</t>
  </si>
  <si>
    <t>Đơn vị thực hiện
(4)</t>
  </si>
  <si>
    <t>Số ngày thực hiện
(5)</t>
  </si>
  <si>
    <t>Tổng số ngày (Manday) 
(3) x (5)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</si>
  <si>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</si>
  <si>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</si>
  <si>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</si>
  <si>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</si>
  <si>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</si>
  <si>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</si>
  <si>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</si>
  <si>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</si>
  <si>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</si>
  <si>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</si>
  <si>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</si>
  <si>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</si>
  <si>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</si>
  <si>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 + 30</t>
  </si>
  <si>
    <t>Ghi chú</t>
  </si>
  <si>
    <t>Tư vấn</t>
  </si>
  <si>
    <t>Thực hiện tiếp xúc &amp; đề xuất triển khai trường trình</t>
  </si>
  <si>
    <t>x</t>
  </si>
  <si>
    <t>Chuẩn bị trước đào tạo</t>
  </si>
  <si>
    <t>Tạo file khảo sát</t>
  </si>
  <si>
    <t>ĐV triển khai</t>
  </si>
  <si>
    <t xml:space="preserve">Thực hiện khảo sát </t>
  </si>
  <si>
    <t>2 đơn vị</t>
  </si>
  <si>
    <t>Không giới hạn cán bộ trên địa bàn phường quản lý</t>
  </si>
  <si>
    <t>Phân tích kết quả khảo sát - đề xuất nội dung khóa học</t>
  </si>
  <si>
    <t>Triển khai đào tạo</t>
  </si>
  <si>
    <t>Nội dung cơ bản &amp; Nội dung chuyên môn dựa trên kết quả khảo sát</t>
  </si>
  <si>
    <t>Triển khai</t>
  </si>
  <si>
    <t>Hỗ trợ sau Đào tạo</t>
  </si>
  <si>
    <t>Hạng mục</t>
  </si>
  <si>
    <t>Thời gian 
(Tổng Manday)</t>
  </si>
  <si>
    <t>Chi phí dự kiến
(Triệu VND)</t>
  </si>
  <si>
    <t>Tổng thời gian tiếp xúc tư vấn</t>
  </si>
  <si>
    <t>Hỗ trợ sau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</si>
</sst>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77" formatCode="_-* #,##0.0_-;\-* #,##0.0_-;_-* &quot;-&quot;?_-;_-@_-"/>
  </numFmts>
  <fonts count="2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Times New Roman"/>
    </font>
    <font>
      <sz val="14"/>
      <color theme="1"/>
      <name val="Times New Roman"/>
    </font>
    <font>
      <b/>
      <sz val="14"/>
      <color theme="1"/>
      <name val="Times New Roman"/>
    </font>
    <font>
      <u/>
      <sz val="14"/>
      <color theme="10"/>
      <name val="Times New Roman"/>
    </font>
    <font>
      <sz val="11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sz val="2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Times New Roman"/>
    </font>
    <font>
      <b/>
      <sz val="11"/>
      <color rgb="FFFF0000"/>
      <name val="Times New Roman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172B4D"/>
      <name val="LG스마트체 Regular"/>
      <charset val="1"/>
    </font>
    <font>
      <b/>
      <sz val="8"/>
      <color rgb="FF0747A6"/>
      <name val="LG스마트체 Regular"/>
      <charset val="1"/>
    </font>
    <font>
      <b/>
      <sz val="8"/>
      <color rgb="FF006644"/>
      <name val="LG스마트체 Regular"/>
      <charset val="1"/>
    </font>
    <font>
      <b/>
      <sz val="11"/>
      <color rgb="FFFF0000"/>
      <name val="Aptos Narrow"/>
      <family val="2"/>
      <scheme val="minor"/>
    </font>
    <font>
      <sz val="10"/>
      <color rgb="FF000000"/>
      <name val="Aptos"/>
      <charset val="1"/>
    </font>
    <font>
      <sz val="11"/>
      <color rgb="FF000000"/>
      <name val="Aptos Narrow"/>
      <scheme val="minor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  <font>
      <b/>
      <sz val="24"/>
      <color theme="1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F"/>
        <bgColor indexed="64"/>
      </patternFill>
    </fill>
    <fill>
      <patternFill patternType="solid">
        <fgColor rgb="FFEBECF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1C7D0"/>
      </bottom>
      <diagonal/>
    </border>
    <border>
      <left style="thick">
        <color rgb="FF6B778C"/>
      </left>
      <right/>
      <top/>
      <bottom/>
      <diagonal/>
    </border>
    <border>
      <left style="thick">
        <color rgb="FF6B778C"/>
      </left>
      <right/>
      <top/>
      <bottom style="thin">
        <color rgb="FFC1C7D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1">
    <xf numFmtId="0" fontId="0" fillId="0" borderId="0" xfId="0"/>
    <xf numFmtId="0" fontId="1" fillId="0" borderId="0" xfId="1"/>
    <xf numFmtId="0" fontId="2" fillId="5" borderId="0" xfId="0" applyFont="1" applyFill="1"/>
    <xf numFmtId="0" fontId="2" fillId="5" borderId="8" xfId="0" applyFont="1" applyFill="1" applyBorder="1"/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0" fontId="3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5" fillId="0" borderId="0" xfId="1" applyFont="1"/>
    <xf numFmtId="0" fontId="3" fillId="6" borderId="1" xfId="0" applyFont="1" applyFill="1" applyBorder="1"/>
    <xf numFmtId="0" fontId="3" fillId="0" borderId="1" xfId="0" applyFont="1" applyBorder="1"/>
    <xf numFmtId="14" fontId="3" fillId="0" borderId="0" xfId="0" applyNumberFormat="1" applyFont="1"/>
    <xf numFmtId="0" fontId="4" fillId="7" borderId="0" xfId="0" applyFont="1" applyFill="1"/>
    <xf numFmtId="0" fontId="3" fillId="7" borderId="0" xfId="0" applyFont="1" applyFill="1"/>
    <xf numFmtId="0" fontId="3" fillId="7" borderId="0" xfId="0" applyFont="1" applyFill="1" applyAlignment="1">
      <alignment wrapText="1"/>
    </xf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2" fillId="5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quotePrefix="1" applyFont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4" fillId="9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9" fillId="0" borderId="0" xfId="0" applyFont="1"/>
    <xf numFmtId="41" fontId="9" fillId="7" borderId="0" xfId="0" applyNumberFormat="1" applyFont="1" applyFill="1"/>
    <xf numFmtId="41" fontId="9" fillId="0" borderId="0" xfId="0" applyNumberFormat="1" applyFont="1"/>
    <xf numFmtId="0" fontId="9" fillId="0" borderId="1" xfId="0" applyFont="1" applyBorder="1"/>
    <xf numFmtId="41" fontId="9" fillId="0" borderId="1" xfId="0" applyNumberFormat="1" applyFont="1" applyBorder="1"/>
    <xf numFmtId="0" fontId="9" fillId="7" borderId="0" xfId="0" applyFont="1" applyFill="1"/>
    <xf numFmtId="0" fontId="6" fillId="0" borderId="0" xfId="0" applyFont="1"/>
    <xf numFmtId="0" fontId="8" fillId="1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0" fillId="0" borderId="0" xfId="0" applyFont="1"/>
    <xf numFmtId="0" fontId="0" fillId="7" borderId="0" xfId="0" applyFill="1"/>
    <xf numFmtId="0" fontId="7" fillId="1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0" fontId="6" fillId="0" borderId="1" xfId="0" applyFont="1" applyBorder="1"/>
    <xf numFmtId="0" fontId="6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/>
    <xf numFmtId="0" fontId="13" fillId="9" borderId="1" xfId="0" applyFont="1" applyFill="1" applyBorder="1"/>
    <xf numFmtId="0" fontId="14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indent="1"/>
    </xf>
    <xf numFmtId="0" fontId="13" fillId="9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1" xfId="0" applyFont="1" applyBorder="1"/>
    <xf numFmtId="0" fontId="13" fillId="0" borderId="1" xfId="0" applyFont="1" applyBorder="1" applyAlignment="1">
      <alignment horizontal="left" indent="1"/>
    </xf>
    <xf numFmtId="0" fontId="1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0" fontId="6" fillId="0" borderId="0" xfId="0" quotePrefix="1" applyFont="1"/>
    <xf numFmtId="0" fontId="15" fillId="0" borderId="1" xfId="0" applyFont="1" applyBorder="1"/>
    <xf numFmtId="0" fontId="6" fillId="7" borderId="1" xfId="0" applyFont="1" applyFill="1" applyBorder="1"/>
    <xf numFmtId="0" fontId="8" fillId="0" borderId="1" xfId="0" applyFont="1" applyBorder="1"/>
    <xf numFmtId="0" fontId="8" fillId="0" borderId="13" xfId="0" applyFont="1" applyBorder="1"/>
    <xf numFmtId="0" fontId="8" fillId="7" borderId="13" xfId="0" applyFont="1" applyFill="1" applyBorder="1"/>
    <xf numFmtId="0" fontId="16" fillId="0" borderId="13" xfId="0" applyFont="1" applyBorder="1"/>
    <xf numFmtId="0" fontId="6" fillId="0" borderId="1" xfId="0" applyFont="1" applyBorder="1" applyAlignment="1">
      <alignment horizontal="left" indent="11"/>
    </xf>
    <xf numFmtId="0" fontId="6" fillId="6" borderId="1" xfId="0" applyFont="1" applyFill="1" applyBorder="1"/>
    <xf numFmtId="0" fontId="8" fillId="7" borderId="1" xfId="0" applyFont="1" applyFill="1" applyBorder="1"/>
    <xf numFmtId="0" fontId="18" fillId="5" borderId="1" xfId="0" applyFont="1" applyFill="1" applyBorder="1"/>
    <xf numFmtId="0" fontId="0" fillId="0" borderId="8" xfId="0" applyBorder="1"/>
    <xf numFmtId="0" fontId="0" fillId="0" borderId="0" xfId="0" applyAlignment="1">
      <alignment vertical="center"/>
    </xf>
    <xf numFmtId="0" fontId="17" fillId="12" borderId="0" xfId="0" applyFont="1" applyFill="1" applyAlignment="1">
      <alignment vertical="center"/>
    </xf>
    <xf numFmtId="0" fontId="19" fillId="15" borderId="14" xfId="0" applyFont="1" applyFill="1" applyBorder="1"/>
    <xf numFmtId="0" fontId="1" fillId="13" borderId="14" xfId="1" applyFill="1" applyBorder="1" applyAlignment="1"/>
    <xf numFmtId="0" fontId="19" fillId="13" borderId="14" xfId="0" applyFont="1" applyFill="1" applyBorder="1"/>
    <xf numFmtId="0" fontId="20" fillId="13" borderId="14" xfId="0" applyFont="1" applyFill="1" applyBorder="1"/>
    <xf numFmtId="0" fontId="1" fillId="15" borderId="14" xfId="1" applyFill="1" applyBorder="1" applyAlignment="1"/>
    <xf numFmtId="0" fontId="20" fillId="13" borderId="0" xfId="0" applyFont="1" applyFill="1"/>
    <xf numFmtId="0" fontId="21" fillId="13" borderId="0" xfId="0" applyFont="1" applyFill="1"/>
    <xf numFmtId="0" fontId="21" fillId="15" borderId="0" xfId="0" applyFont="1" applyFill="1"/>
    <xf numFmtId="0" fontId="1" fillId="13" borderId="0" xfId="1" applyFill="1" applyBorder="1" applyAlignment="1"/>
    <xf numFmtId="0" fontId="0" fillId="0" borderId="14" xfId="0" applyBorder="1"/>
    <xf numFmtId="0" fontId="1" fillId="14" borderId="0" xfId="1" applyFill="1" applyBorder="1" applyAlignment="1"/>
    <xf numFmtId="0" fontId="1" fillId="13" borderId="0" xfId="1" applyFill="1" applyAlignment="1"/>
    <xf numFmtId="0" fontId="1" fillId="13" borderId="15" xfId="1" applyFill="1" applyBorder="1" applyAlignment="1"/>
    <xf numFmtId="0" fontId="1" fillId="15" borderId="15" xfId="1" applyFill="1" applyBorder="1" applyAlignment="1"/>
    <xf numFmtId="0" fontId="1" fillId="13" borderId="16" xfId="1" applyFill="1" applyBorder="1" applyAlignment="1"/>
    <xf numFmtId="0" fontId="0" fillId="13" borderId="0" xfId="0" applyFill="1"/>
    <xf numFmtId="0" fontId="0" fillId="13" borderId="14" xfId="0" applyFill="1" applyBorder="1"/>
    <xf numFmtId="0" fontId="1" fillId="15" borderId="0" xfId="1" applyFill="1" applyAlignment="1"/>
    <xf numFmtId="0" fontId="0" fillId="15" borderId="0" xfId="0" applyFill="1"/>
    <xf numFmtId="0" fontId="0" fillId="15" borderId="14" xfId="0" applyFill="1" applyBorder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2" fillId="0" borderId="1" xfId="0" applyFont="1" applyBorder="1"/>
    <xf numFmtId="0" fontId="23" fillId="0" borderId="0" xfId="0" applyFont="1" applyAlignment="1">
      <alignment readingOrder="1"/>
    </xf>
    <xf numFmtId="0" fontId="26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4" fillId="10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27" fillId="10" borderId="0" xfId="0" applyFont="1" applyFill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14" fillId="9" borderId="8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Bình thường" xfId="0" builtinId="0"/>
    <cellStyle name="Hyperlink" xfId="1" xr:uid="{00000000-000B-0000-0000-000008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22/11/relationships/FeaturePropertyBag" Target="featurePropertyBag/featurePropertyBag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ire.lgcns.com/confluence/display/SVBPS10180422/Step2.+cache%2C+log%2C+online-transaction%2C+transaction+control" TargetMode="External"/><Relationship Id="rId2" Type="http://schemas.openxmlformats.org/officeDocument/2006/relationships/hyperlink" Target="https://lgcns.sharepoint.com/:x:/r/sites/SolutionCoEGroup-1/_layouts/15/Doc.aspx?sourcedoc=%7BF6DDE3D3-61F4-45A7-9133-2D7FEBB76970%7D&amp;file=Plan%20T6.xlsx&amp;action=default&amp;mobileredirect=true" TargetMode="External"/><Relationship Id="rId1" Type="http://schemas.openxmlformats.org/officeDocument/2006/relationships/hyperlink" Target="https://lgcns-my.sharepoint.com/:x:/r/personal/linhlt_lgcns_com/_layouts/15/doc2.aspx?sourcedoc=%7B839D656F-5388-4071-9840-C3285FE839E0%7D&amp;file=Detail%20Task%20Phase2.xlsx&amp;fromShare=true&amp;action=default&amp;mobileredirect=tru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ire.lgcns.com/confluence/display/SVBPS10180422/Step2.+cache%2C+log%2C+online-transaction%2C+transaction+control" TargetMode="External"/><Relationship Id="rId2" Type="http://schemas.openxmlformats.org/officeDocument/2006/relationships/hyperlink" Target="https://lgcns.sharepoint.com/:x:/r/sites/SolutionCoEGroup-1/_layouts/15/Doc.aspx?sourcedoc=%7BF6DDE3D3-61F4-45A7-9133-2D7FEBB76970%7D&amp;file=Plan%20T6.xlsx&amp;action=default&amp;mobileredirect=true" TargetMode="External"/><Relationship Id="rId1" Type="http://schemas.openxmlformats.org/officeDocument/2006/relationships/hyperlink" Target="https://lgcns-my.sharepoint.com/:x:/r/personal/linhlt_lgcns_com/_layouts/15/doc2.aspx?sourcedoc=%7B839D656F-5388-4071-9840-C3285FE839E0%7D&amp;file=Detail%20Task%20Phase2.xlsx&amp;fromShare=true&amp;action=default&amp;mobileredirect=tru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nv@lgcns.com" TargetMode="External"/><Relationship Id="rId2" Type="http://schemas.openxmlformats.org/officeDocument/2006/relationships/hyperlink" Target="mailto:ductm@lgcns.com" TargetMode="External"/><Relationship Id="rId1" Type="http://schemas.openxmlformats.org/officeDocument/2006/relationships/hyperlink" Target="mailto:nghia.do@lgcns.com" TargetMode="External"/><Relationship Id="rId5" Type="http://schemas.openxmlformats.org/officeDocument/2006/relationships/hyperlink" Target="mailto:thang.nq1007@lgcns.com" TargetMode="External"/><Relationship Id="rId4" Type="http://schemas.openxmlformats.org/officeDocument/2006/relationships/hyperlink" Target="mailto:nampham1569@lgcns.com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re.lgcns.com/jira/browse/DOE202504-1685" TargetMode="External"/><Relationship Id="rId21" Type="http://schemas.openxmlformats.org/officeDocument/2006/relationships/hyperlink" Target="https://wire.lgcns.com/jira/browse/DOE202504-927" TargetMode="External"/><Relationship Id="rId42" Type="http://schemas.openxmlformats.org/officeDocument/2006/relationships/hyperlink" Target="https://wire.lgcns.com/jira/browse/DOE202504-1686" TargetMode="External"/><Relationship Id="rId63" Type="http://schemas.openxmlformats.org/officeDocument/2006/relationships/hyperlink" Target="https://wire.lgcns.com/jira/browse/DOE202504-1673" TargetMode="External"/><Relationship Id="rId84" Type="http://schemas.openxmlformats.org/officeDocument/2006/relationships/hyperlink" Target="https://wire.lgcns.com/jira/secure/ViewProfile.jspa?name=79899" TargetMode="External"/><Relationship Id="rId138" Type="http://schemas.openxmlformats.org/officeDocument/2006/relationships/hyperlink" Target="https://wire.lgcns.com/jira/browse/DOE202504-1086" TargetMode="External"/><Relationship Id="rId107" Type="http://schemas.openxmlformats.org/officeDocument/2006/relationships/hyperlink" Target="https://wire.lgcns.com/jira/secure/ViewProfile.jspa?name=79899" TargetMode="External"/><Relationship Id="rId11" Type="http://schemas.openxmlformats.org/officeDocument/2006/relationships/hyperlink" Target="https://wire.lgcns.com/jira/browse/DOE202504-1003" TargetMode="External"/><Relationship Id="rId32" Type="http://schemas.openxmlformats.org/officeDocument/2006/relationships/hyperlink" Target="https://wire.lgcns.com/jira/browse/DOE202504-996" TargetMode="External"/><Relationship Id="rId53" Type="http://schemas.openxmlformats.org/officeDocument/2006/relationships/hyperlink" Target="https://wire.lgcns.com/jira/browse/DOE202504-1086" TargetMode="External"/><Relationship Id="rId74" Type="http://schemas.openxmlformats.org/officeDocument/2006/relationships/hyperlink" Target="https://wire.lgcns.com/jira/browse/DOE202504-1664" TargetMode="External"/><Relationship Id="rId128" Type="http://schemas.openxmlformats.org/officeDocument/2006/relationships/hyperlink" Target="https://wire.lgcns.com/jira/browse/DOE202504-1671" TargetMode="External"/><Relationship Id="rId149" Type="http://schemas.openxmlformats.org/officeDocument/2006/relationships/hyperlink" Target="https://wire.lgcns.com/jira/browse/DOE202504-948" TargetMode="External"/><Relationship Id="rId5" Type="http://schemas.openxmlformats.org/officeDocument/2006/relationships/hyperlink" Target="https://wire.lgcns.com/jira/browse/DOE202504-1072" TargetMode="External"/><Relationship Id="rId95" Type="http://schemas.openxmlformats.org/officeDocument/2006/relationships/hyperlink" Target="https://wire.lgcns.com/jira/secure/ViewProfile.jspa?name=80623" TargetMode="External"/><Relationship Id="rId22" Type="http://schemas.openxmlformats.org/officeDocument/2006/relationships/hyperlink" Target="https://wire.lgcns.com/jira/browse/DOE202504-927" TargetMode="External"/><Relationship Id="rId27" Type="http://schemas.openxmlformats.org/officeDocument/2006/relationships/hyperlink" Target="https://wire.lgcns.com/jira/browse/DOE202504-875" TargetMode="External"/><Relationship Id="rId43" Type="http://schemas.openxmlformats.org/officeDocument/2006/relationships/hyperlink" Target="https://wire.lgcns.com/jira/browse/DOE202504-1685" TargetMode="External"/><Relationship Id="rId48" Type="http://schemas.openxmlformats.org/officeDocument/2006/relationships/hyperlink" Target="https://wire.lgcns.com/jira/browse/DOE202504-1682" TargetMode="External"/><Relationship Id="rId64" Type="http://schemas.openxmlformats.org/officeDocument/2006/relationships/hyperlink" Target="https://wire.lgcns.com/jira/browse/DOE202504-1678" TargetMode="External"/><Relationship Id="rId69" Type="http://schemas.openxmlformats.org/officeDocument/2006/relationships/hyperlink" Target="https://wire.lgcns.com/jira/browse/DOE202504-1663" TargetMode="External"/><Relationship Id="rId113" Type="http://schemas.openxmlformats.org/officeDocument/2006/relationships/hyperlink" Target="https://wire.lgcns.com/jira/secure/ViewProfile.jspa?name=79899" TargetMode="External"/><Relationship Id="rId118" Type="http://schemas.openxmlformats.org/officeDocument/2006/relationships/hyperlink" Target="https://wire.lgcns.com/jira/browse/DOE202504-1684" TargetMode="External"/><Relationship Id="rId134" Type="http://schemas.openxmlformats.org/officeDocument/2006/relationships/hyperlink" Target="https://wire.lgcns.com/jira/browse/DOE202504-1665" TargetMode="External"/><Relationship Id="rId139" Type="http://schemas.openxmlformats.org/officeDocument/2006/relationships/hyperlink" Target="https://wire.lgcns.com/jira/browse/DOE202504-1072" TargetMode="External"/><Relationship Id="rId80" Type="http://schemas.openxmlformats.org/officeDocument/2006/relationships/hyperlink" Target="https://wire.lgcns.com/jira/browse/DOE202504-1669" TargetMode="External"/><Relationship Id="rId85" Type="http://schemas.openxmlformats.org/officeDocument/2006/relationships/hyperlink" Target="https://wire.lgcns.com/jira/secure/ViewProfile.jspa?name=79899" TargetMode="External"/><Relationship Id="rId150" Type="http://schemas.openxmlformats.org/officeDocument/2006/relationships/hyperlink" Target="https://wire.lgcns.com/jira/browse/DOE202504-941" TargetMode="External"/><Relationship Id="rId12" Type="http://schemas.openxmlformats.org/officeDocument/2006/relationships/hyperlink" Target="https://wire.lgcns.com/jira/browse/DOE202504-1003" TargetMode="External"/><Relationship Id="rId17" Type="http://schemas.openxmlformats.org/officeDocument/2006/relationships/hyperlink" Target="https://wire.lgcns.com/jira/browse/DOE202504-1465" TargetMode="External"/><Relationship Id="rId33" Type="http://schemas.openxmlformats.org/officeDocument/2006/relationships/hyperlink" Target="https://wire.lgcns.com/jira/browse/DOE202504-1052" TargetMode="External"/><Relationship Id="rId38" Type="http://schemas.openxmlformats.org/officeDocument/2006/relationships/hyperlink" Target="https://wire.lgcns.com/jira/browse/DOE202504-1666" TargetMode="External"/><Relationship Id="rId59" Type="http://schemas.openxmlformats.org/officeDocument/2006/relationships/hyperlink" Target="https://wire.lgcns.com/jira/browse/DOE202504-1672" TargetMode="External"/><Relationship Id="rId103" Type="http://schemas.openxmlformats.org/officeDocument/2006/relationships/hyperlink" Target="https://wire.lgcns.com/jira/secure/ViewProfile.jspa?name=63200646" TargetMode="External"/><Relationship Id="rId108" Type="http://schemas.openxmlformats.org/officeDocument/2006/relationships/hyperlink" Target="https://wire.lgcns.com/jira/secure/ViewProfile.jspa?name=79899" TargetMode="External"/><Relationship Id="rId124" Type="http://schemas.openxmlformats.org/officeDocument/2006/relationships/hyperlink" Target="https://wire.lgcns.com/jira/browse/DOE202504-1678" TargetMode="External"/><Relationship Id="rId129" Type="http://schemas.openxmlformats.org/officeDocument/2006/relationships/hyperlink" Target="https://wire.lgcns.com/jira/browse/DOE202504-1670" TargetMode="External"/><Relationship Id="rId54" Type="http://schemas.openxmlformats.org/officeDocument/2006/relationships/hyperlink" Target="https://wire.lgcns.com/jira/browse/DOE202504-1011" TargetMode="External"/><Relationship Id="rId70" Type="http://schemas.openxmlformats.org/officeDocument/2006/relationships/hyperlink" Target="https://wire.lgcns.com/jira/browse/DOE202504-1668" TargetMode="External"/><Relationship Id="rId75" Type="http://schemas.openxmlformats.org/officeDocument/2006/relationships/hyperlink" Target="https://wire.lgcns.com/jira/browse/DOE202504-1664" TargetMode="External"/><Relationship Id="rId91" Type="http://schemas.openxmlformats.org/officeDocument/2006/relationships/hyperlink" Target="https://wire.lgcns.com/jira/secure/ViewProfile.jspa?name=63200546" TargetMode="External"/><Relationship Id="rId96" Type="http://schemas.openxmlformats.org/officeDocument/2006/relationships/hyperlink" Target="https://wire.lgcns.com/jira/secure/ViewProfile.jspa?name=80623" TargetMode="External"/><Relationship Id="rId140" Type="http://schemas.openxmlformats.org/officeDocument/2006/relationships/hyperlink" Target="https://wire.lgcns.com/jira/browse/DOE202504-1065" TargetMode="External"/><Relationship Id="rId145" Type="http://schemas.openxmlformats.org/officeDocument/2006/relationships/hyperlink" Target="https://wire.lgcns.com/jira/browse/DOE202504-1003" TargetMode="External"/><Relationship Id="rId1" Type="http://schemas.openxmlformats.org/officeDocument/2006/relationships/hyperlink" Target="https://wire.lgcns.com/jira/browse/DOE202504-982" TargetMode="External"/><Relationship Id="rId6" Type="http://schemas.openxmlformats.org/officeDocument/2006/relationships/hyperlink" Target="https://wire.lgcns.com/jira/browse/DOE202504-1072" TargetMode="External"/><Relationship Id="rId23" Type="http://schemas.openxmlformats.org/officeDocument/2006/relationships/hyperlink" Target="https://wire.lgcns.com/jira/browse/DOE202504-1086" TargetMode="External"/><Relationship Id="rId28" Type="http://schemas.openxmlformats.org/officeDocument/2006/relationships/hyperlink" Target="https://wire.lgcns.com/jira/browse/DOE202504-875" TargetMode="External"/><Relationship Id="rId49" Type="http://schemas.openxmlformats.org/officeDocument/2006/relationships/hyperlink" Target="https://wire.lgcns.com/jira/browse/DOE202504-1680" TargetMode="External"/><Relationship Id="rId114" Type="http://schemas.openxmlformats.org/officeDocument/2006/relationships/hyperlink" Target="https://wire.lgcns.com/jira/secure/ViewProfile.jspa?name=79899" TargetMode="External"/><Relationship Id="rId119" Type="http://schemas.openxmlformats.org/officeDocument/2006/relationships/hyperlink" Target="https://wire.lgcns.com/jira/browse/DOE202504-1683" TargetMode="External"/><Relationship Id="rId44" Type="http://schemas.openxmlformats.org/officeDocument/2006/relationships/hyperlink" Target="https://wire.lgcns.com/jira/browse/DOE202504-1685" TargetMode="External"/><Relationship Id="rId60" Type="http://schemas.openxmlformats.org/officeDocument/2006/relationships/hyperlink" Target="https://wire.lgcns.com/jira/browse/DOE202504-1671" TargetMode="External"/><Relationship Id="rId65" Type="http://schemas.openxmlformats.org/officeDocument/2006/relationships/hyperlink" Target="https://wire.lgcns.com/jira/browse/DOE202504-1678" TargetMode="External"/><Relationship Id="rId81" Type="http://schemas.openxmlformats.org/officeDocument/2006/relationships/hyperlink" Target="https://wire.lgcns.com/jira/browse/DOE202504-1669" TargetMode="External"/><Relationship Id="rId86" Type="http://schemas.openxmlformats.org/officeDocument/2006/relationships/hyperlink" Target="https://wire.lgcns.com/jira/secure/ViewProfile.jspa?name=63200546" TargetMode="External"/><Relationship Id="rId130" Type="http://schemas.openxmlformats.org/officeDocument/2006/relationships/hyperlink" Target="https://wire.lgcns.com/jira/browse/DOE202504-1669" TargetMode="External"/><Relationship Id="rId135" Type="http://schemas.openxmlformats.org/officeDocument/2006/relationships/hyperlink" Target="https://wire.lgcns.com/jira/browse/DOE202504-1664" TargetMode="External"/><Relationship Id="rId151" Type="http://schemas.openxmlformats.org/officeDocument/2006/relationships/hyperlink" Target="https://wire.lgcns.com/jira/browse/DOE202504-934" TargetMode="External"/><Relationship Id="rId13" Type="http://schemas.openxmlformats.org/officeDocument/2006/relationships/hyperlink" Target="https://wire.lgcns.com/jira/browse/DOE202504-941" TargetMode="External"/><Relationship Id="rId18" Type="http://schemas.openxmlformats.org/officeDocument/2006/relationships/hyperlink" Target="https://wire.lgcns.com/jira/browse/DOE202504-1465" TargetMode="External"/><Relationship Id="rId39" Type="http://schemas.openxmlformats.org/officeDocument/2006/relationships/hyperlink" Target="https://wire.lgcns.com/jira/browse/DOE202504-1676" TargetMode="External"/><Relationship Id="rId109" Type="http://schemas.openxmlformats.org/officeDocument/2006/relationships/hyperlink" Target="https://wire.lgcns.com/jira/secure/ViewProfile.jspa?name=63200125" TargetMode="External"/><Relationship Id="rId34" Type="http://schemas.openxmlformats.org/officeDocument/2006/relationships/hyperlink" Target="https://wire.lgcns.com/jira/browse/DOE202504-1052" TargetMode="External"/><Relationship Id="rId50" Type="http://schemas.openxmlformats.org/officeDocument/2006/relationships/hyperlink" Target="https://wire.lgcns.com/jira/browse/DOE202504-1680" TargetMode="External"/><Relationship Id="rId55" Type="http://schemas.openxmlformats.org/officeDocument/2006/relationships/hyperlink" Target="https://wire.lgcns.com/jira/browse/DOE202504-1011" TargetMode="External"/><Relationship Id="rId76" Type="http://schemas.openxmlformats.org/officeDocument/2006/relationships/hyperlink" Target="https://wire.lgcns.com/jira/browse/DOE202504-1665" TargetMode="External"/><Relationship Id="rId97" Type="http://schemas.openxmlformats.org/officeDocument/2006/relationships/hyperlink" Target="https://wire.lgcns.com/jira/secure/ViewProfile.jspa?name=80623" TargetMode="External"/><Relationship Id="rId104" Type="http://schemas.openxmlformats.org/officeDocument/2006/relationships/hyperlink" Target="https://wire.lgcns.com/jira/secure/ViewProfile.jspa?name=79899" TargetMode="External"/><Relationship Id="rId120" Type="http://schemas.openxmlformats.org/officeDocument/2006/relationships/hyperlink" Target="https://wire.lgcns.com/jira/browse/DOE202504-1682" TargetMode="External"/><Relationship Id="rId125" Type="http://schemas.openxmlformats.org/officeDocument/2006/relationships/hyperlink" Target="https://wire.lgcns.com/jira/browse/DOE202504-1676" TargetMode="External"/><Relationship Id="rId141" Type="http://schemas.openxmlformats.org/officeDocument/2006/relationships/hyperlink" Target="https://wire.lgcns.com/jira/browse/DOE202504-1039" TargetMode="External"/><Relationship Id="rId146" Type="http://schemas.openxmlformats.org/officeDocument/2006/relationships/hyperlink" Target="https://wire.lgcns.com/jira/browse/DOE202504-996" TargetMode="External"/><Relationship Id="rId7" Type="http://schemas.openxmlformats.org/officeDocument/2006/relationships/hyperlink" Target="https://wire.lgcns.com/jira/browse/DOE202504-1039" TargetMode="External"/><Relationship Id="rId71" Type="http://schemas.openxmlformats.org/officeDocument/2006/relationships/hyperlink" Target="https://wire.lgcns.com/jira/browse/DOE202504-1668" TargetMode="External"/><Relationship Id="rId92" Type="http://schemas.openxmlformats.org/officeDocument/2006/relationships/hyperlink" Target="https://wire.lgcns.com/jira/secure/ViewProfile.jspa?name=80623" TargetMode="External"/><Relationship Id="rId2" Type="http://schemas.openxmlformats.org/officeDocument/2006/relationships/hyperlink" Target="https://wire.lgcns.com/jira/browse/DOE202504-982" TargetMode="External"/><Relationship Id="rId29" Type="http://schemas.openxmlformats.org/officeDocument/2006/relationships/hyperlink" Target="https://wire.lgcns.com/jira/browse/DOE202504-1065" TargetMode="External"/><Relationship Id="rId24" Type="http://schemas.openxmlformats.org/officeDocument/2006/relationships/hyperlink" Target="https://wire.lgcns.com/jira/browse/DOE202504-1086" TargetMode="External"/><Relationship Id="rId40" Type="http://schemas.openxmlformats.org/officeDocument/2006/relationships/hyperlink" Target="https://wire.lgcns.com/jira/browse/DOE202504-1676" TargetMode="External"/><Relationship Id="rId45" Type="http://schemas.openxmlformats.org/officeDocument/2006/relationships/hyperlink" Target="https://wire.lgcns.com/jira/browse/DOE202504-1684" TargetMode="External"/><Relationship Id="rId66" Type="http://schemas.openxmlformats.org/officeDocument/2006/relationships/hyperlink" Target="https://wire.lgcns.com/jira/browse/DOE202504-1679" TargetMode="External"/><Relationship Id="rId87" Type="http://schemas.openxmlformats.org/officeDocument/2006/relationships/hyperlink" Target="https://wire.lgcns.com/jira/secure/ViewProfile.jspa?name=63200546" TargetMode="External"/><Relationship Id="rId110" Type="http://schemas.openxmlformats.org/officeDocument/2006/relationships/hyperlink" Target="https://wire.lgcns.com/jira/secure/ViewProfile.jspa?name=79899" TargetMode="External"/><Relationship Id="rId115" Type="http://schemas.openxmlformats.org/officeDocument/2006/relationships/hyperlink" Target="https://wire.lgcns.com/jira/secure/ViewProfile.jspa?name=79899" TargetMode="External"/><Relationship Id="rId131" Type="http://schemas.openxmlformats.org/officeDocument/2006/relationships/hyperlink" Target="https://wire.lgcns.com/jira/browse/DOE202504-1668" TargetMode="External"/><Relationship Id="rId136" Type="http://schemas.openxmlformats.org/officeDocument/2006/relationships/hyperlink" Target="https://wire.lgcns.com/jira/browse/DOE202504-1663" TargetMode="External"/><Relationship Id="rId61" Type="http://schemas.openxmlformats.org/officeDocument/2006/relationships/hyperlink" Target="https://wire.lgcns.com/jira/browse/DOE202504-1671" TargetMode="External"/><Relationship Id="rId82" Type="http://schemas.openxmlformats.org/officeDocument/2006/relationships/hyperlink" Target="https://wire.lgcns.com/jira/browse/DOE202504-1683" TargetMode="External"/><Relationship Id="rId152" Type="http://schemas.openxmlformats.org/officeDocument/2006/relationships/hyperlink" Target="https://wire.lgcns.com/jira/browse/DOE202504-927" TargetMode="External"/><Relationship Id="rId19" Type="http://schemas.openxmlformats.org/officeDocument/2006/relationships/hyperlink" Target="https://wire.lgcns.com/jira/browse/DOE202504-934" TargetMode="External"/><Relationship Id="rId14" Type="http://schemas.openxmlformats.org/officeDocument/2006/relationships/hyperlink" Target="https://wire.lgcns.com/jira/browse/DOE202504-941" TargetMode="External"/><Relationship Id="rId30" Type="http://schemas.openxmlformats.org/officeDocument/2006/relationships/hyperlink" Target="https://wire.lgcns.com/jira/browse/DOE202504-1065" TargetMode="External"/><Relationship Id="rId35" Type="http://schemas.openxmlformats.org/officeDocument/2006/relationships/hyperlink" Target="https://wire.lgcns.com/jira/browse/DOE202504-874" TargetMode="External"/><Relationship Id="rId56" Type="http://schemas.openxmlformats.org/officeDocument/2006/relationships/hyperlink" Target="https://wire.lgcns.com/jira/browse/DOE202504-1018" TargetMode="External"/><Relationship Id="rId77" Type="http://schemas.openxmlformats.org/officeDocument/2006/relationships/hyperlink" Target="https://wire.lgcns.com/jira/browse/DOE202504-1665" TargetMode="External"/><Relationship Id="rId100" Type="http://schemas.openxmlformats.org/officeDocument/2006/relationships/hyperlink" Target="https://wire.lgcns.com/jira/secure/ViewProfile.jspa?name=79899" TargetMode="External"/><Relationship Id="rId105" Type="http://schemas.openxmlformats.org/officeDocument/2006/relationships/hyperlink" Target="https://wire.lgcns.com/jira/secure/ViewProfile.jspa?name=63200546" TargetMode="External"/><Relationship Id="rId126" Type="http://schemas.openxmlformats.org/officeDocument/2006/relationships/hyperlink" Target="https://wire.lgcns.com/jira/browse/DOE202504-1673" TargetMode="External"/><Relationship Id="rId147" Type="http://schemas.openxmlformats.org/officeDocument/2006/relationships/hyperlink" Target="https://wire.lgcns.com/jira/browse/DOE202504-989" TargetMode="External"/><Relationship Id="rId8" Type="http://schemas.openxmlformats.org/officeDocument/2006/relationships/hyperlink" Target="https://wire.lgcns.com/jira/browse/DOE202504-1039" TargetMode="External"/><Relationship Id="rId51" Type="http://schemas.openxmlformats.org/officeDocument/2006/relationships/hyperlink" Target="https://wire.lgcns.com/jira/browse/DOE202504-1681" TargetMode="External"/><Relationship Id="rId72" Type="http://schemas.openxmlformats.org/officeDocument/2006/relationships/hyperlink" Target="https://wire.lgcns.com/jira/browse/DOE202504-1667" TargetMode="External"/><Relationship Id="rId93" Type="http://schemas.openxmlformats.org/officeDocument/2006/relationships/hyperlink" Target="https://wire.lgcns.com/jira/secure/ViewProfile.jspa?name=80623" TargetMode="External"/><Relationship Id="rId98" Type="http://schemas.openxmlformats.org/officeDocument/2006/relationships/hyperlink" Target="https://wire.lgcns.com/jira/secure/ViewProfile.jspa?name=80623" TargetMode="External"/><Relationship Id="rId121" Type="http://schemas.openxmlformats.org/officeDocument/2006/relationships/hyperlink" Target="https://wire.lgcns.com/jira/browse/DOE202504-1681" TargetMode="External"/><Relationship Id="rId142" Type="http://schemas.openxmlformats.org/officeDocument/2006/relationships/hyperlink" Target="https://wire.lgcns.com/jira/browse/DOE202504-1018" TargetMode="External"/><Relationship Id="rId3" Type="http://schemas.openxmlformats.org/officeDocument/2006/relationships/hyperlink" Target="https://wire.lgcns.com/jira/browse/DOE202504-876" TargetMode="External"/><Relationship Id="rId25" Type="http://schemas.openxmlformats.org/officeDocument/2006/relationships/hyperlink" Target="https://wire.lgcns.com/jira/browse/DOE202504-948" TargetMode="External"/><Relationship Id="rId46" Type="http://schemas.openxmlformats.org/officeDocument/2006/relationships/hyperlink" Target="https://wire.lgcns.com/jira/browse/DOE202504-1684" TargetMode="External"/><Relationship Id="rId67" Type="http://schemas.openxmlformats.org/officeDocument/2006/relationships/hyperlink" Target="https://wire.lgcns.com/jira/browse/DOE202504-1679" TargetMode="External"/><Relationship Id="rId116" Type="http://schemas.openxmlformats.org/officeDocument/2006/relationships/hyperlink" Target="https://wire.lgcns.com/jira/browse/DOE202504-1686" TargetMode="External"/><Relationship Id="rId137" Type="http://schemas.openxmlformats.org/officeDocument/2006/relationships/hyperlink" Target="https://wire.lgcns.com/jira/browse/DOE202504-1465" TargetMode="External"/><Relationship Id="rId20" Type="http://schemas.openxmlformats.org/officeDocument/2006/relationships/hyperlink" Target="https://wire.lgcns.com/jira/browse/DOE202504-934" TargetMode="External"/><Relationship Id="rId41" Type="http://schemas.openxmlformats.org/officeDocument/2006/relationships/hyperlink" Target="https://wire.lgcns.com/jira/browse/DOE202504-1686" TargetMode="External"/><Relationship Id="rId62" Type="http://schemas.openxmlformats.org/officeDocument/2006/relationships/hyperlink" Target="https://wire.lgcns.com/jira/browse/DOE202504-1673" TargetMode="External"/><Relationship Id="rId83" Type="http://schemas.openxmlformats.org/officeDocument/2006/relationships/hyperlink" Target="https://wire.lgcns.com/jira/browse/DOE202504-1683" TargetMode="External"/><Relationship Id="rId88" Type="http://schemas.openxmlformats.org/officeDocument/2006/relationships/hyperlink" Target="https://wire.lgcns.com/jira/secure/ViewProfile.jspa?name=79899" TargetMode="External"/><Relationship Id="rId111" Type="http://schemas.openxmlformats.org/officeDocument/2006/relationships/hyperlink" Target="https://wire.lgcns.com/jira/secure/ViewProfile.jspa?name=79899" TargetMode="External"/><Relationship Id="rId132" Type="http://schemas.openxmlformats.org/officeDocument/2006/relationships/hyperlink" Target="https://wire.lgcns.com/jira/browse/DOE202504-1667" TargetMode="External"/><Relationship Id="rId15" Type="http://schemas.openxmlformats.org/officeDocument/2006/relationships/hyperlink" Target="https://wire.lgcns.com/jira/browse/DOE202504-989" TargetMode="External"/><Relationship Id="rId36" Type="http://schemas.openxmlformats.org/officeDocument/2006/relationships/hyperlink" Target="https://wire.lgcns.com/jira/browse/DOE202504-874" TargetMode="External"/><Relationship Id="rId57" Type="http://schemas.openxmlformats.org/officeDocument/2006/relationships/hyperlink" Target="https://wire.lgcns.com/jira/browse/DOE202504-1018" TargetMode="External"/><Relationship Id="rId106" Type="http://schemas.openxmlformats.org/officeDocument/2006/relationships/hyperlink" Target="https://wire.lgcns.com/jira/secure/ViewProfile.jspa?name=63200546" TargetMode="External"/><Relationship Id="rId127" Type="http://schemas.openxmlformats.org/officeDocument/2006/relationships/hyperlink" Target="https://wire.lgcns.com/jira/browse/DOE202504-1672" TargetMode="External"/><Relationship Id="rId10" Type="http://schemas.openxmlformats.org/officeDocument/2006/relationships/hyperlink" Target="https://wire.lgcns.com/jira/browse/DOE202504-1004" TargetMode="External"/><Relationship Id="rId31" Type="http://schemas.openxmlformats.org/officeDocument/2006/relationships/hyperlink" Target="https://wire.lgcns.com/jira/browse/DOE202504-996" TargetMode="External"/><Relationship Id="rId52" Type="http://schemas.openxmlformats.org/officeDocument/2006/relationships/hyperlink" Target="https://wire.lgcns.com/jira/browse/DOE202504-1681" TargetMode="External"/><Relationship Id="rId73" Type="http://schemas.openxmlformats.org/officeDocument/2006/relationships/hyperlink" Target="https://wire.lgcns.com/jira/browse/DOE202504-1667" TargetMode="External"/><Relationship Id="rId78" Type="http://schemas.openxmlformats.org/officeDocument/2006/relationships/hyperlink" Target="https://wire.lgcns.com/jira/browse/DOE202504-1670" TargetMode="External"/><Relationship Id="rId94" Type="http://schemas.openxmlformats.org/officeDocument/2006/relationships/hyperlink" Target="https://wire.lgcns.com/jira/secure/ViewProfile.jspa?name=80623" TargetMode="External"/><Relationship Id="rId99" Type="http://schemas.openxmlformats.org/officeDocument/2006/relationships/hyperlink" Target="https://wire.lgcns.com/jira/secure/ViewProfile.jspa?name=80623" TargetMode="External"/><Relationship Id="rId101" Type="http://schemas.openxmlformats.org/officeDocument/2006/relationships/hyperlink" Target="https://wire.lgcns.com/jira/secure/ViewProfile.jspa?name=63200546" TargetMode="External"/><Relationship Id="rId122" Type="http://schemas.openxmlformats.org/officeDocument/2006/relationships/hyperlink" Target="https://wire.lgcns.com/jira/browse/DOE202504-1680" TargetMode="External"/><Relationship Id="rId143" Type="http://schemas.openxmlformats.org/officeDocument/2006/relationships/hyperlink" Target="https://wire.lgcns.com/jira/browse/DOE202504-1011" TargetMode="External"/><Relationship Id="rId148" Type="http://schemas.openxmlformats.org/officeDocument/2006/relationships/hyperlink" Target="https://wire.lgcns.com/jira/browse/DOE202504-982" TargetMode="External"/><Relationship Id="rId4" Type="http://schemas.openxmlformats.org/officeDocument/2006/relationships/hyperlink" Target="https://wire.lgcns.com/jira/browse/DOE202504-876" TargetMode="External"/><Relationship Id="rId9" Type="http://schemas.openxmlformats.org/officeDocument/2006/relationships/hyperlink" Target="https://wire.lgcns.com/jira/browse/DOE202504-1004" TargetMode="External"/><Relationship Id="rId26" Type="http://schemas.openxmlformats.org/officeDocument/2006/relationships/hyperlink" Target="https://wire.lgcns.com/jira/browse/DOE202504-948" TargetMode="External"/><Relationship Id="rId47" Type="http://schemas.openxmlformats.org/officeDocument/2006/relationships/hyperlink" Target="https://wire.lgcns.com/jira/browse/DOE202504-1682" TargetMode="External"/><Relationship Id="rId68" Type="http://schemas.openxmlformats.org/officeDocument/2006/relationships/hyperlink" Target="https://wire.lgcns.com/jira/browse/DOE202504-1663" TargetMode="External"/><Relationship Id="rId89" Type="http://schemas.openxmlformats.org/officeDocument/2006/relationships/hyperlink" Target="https://wire.lgcns.com/jira/secure/ViewProfile.jspa?name=63200546" TargetMode="External"/><Relationship Id="rId112" Type="http://schemas.openxmlformats.org/officeDocument/2006/relationships/hyperlink" Target="https://wire.lgcns.com/jira/secure/ViewProfile.jspa?name=63200546" TargetMode="External"/><Relationship Id="rId133" Type="http://schemas.openxmlformats.org/officeDocument/2006/relationships/hyperlink" Target="https://wire.lgcns.com/jira/browse/DOE202504-1666" TargetMode="External"/><Relationship Id="rId16" Type="http://schemas.openxmlformats.org/officeDocument/2006/relationships/hyperlink" Target="https://wire.lgcns.com/jira/browse/DOE202504-989" TargetMode="External"/><Relationship Id="rId37" Type="http://schemas.openxmlformats.org/officeDocument/2006/relationships/hyperlink" Target="https://wire.lgcns.com/jira/browse/DOE202504-1666" TargetMode="External"/><Relationship Id="rId58" Type="http://schemas.openxmlformats.org/officeDocument/2006/relationships/hyperlink" Target="https://wire.lgcns.com/jira/browse/DOE202504-1672" TargetMode="External"/><Relationship Id="rId79" Type="http://schemas.openxmlformats.org/officeDocument/2006/relationships/hyperlink" Target="https://wire.lgcns.com/jira/browse/DOE202504-1670" TargetMode="External"/><Relationship Id="rId102" Type="http://schemas.openxmlformats.org/officeDocument/2006/relationships/hyperlink" Target="https://wire.lgcns.com/jira/secure/ViewProfile.jspa?name=79899" TargetMode="External"/><Relationship Id="rId123" Type="http://schemas.openxmlformats.org/officeDocument/2006/relationships/hyperlink" Target="https://wire.lgcns.com/jira/browse/DOE202504-1679" TargetMode="External"/><Relationship Id="rId144" Type="http://schemas.openxmlformats.org/officeDocument/2006/relationships/hyperlink" Target="https://wire.lgcns.com/jira/browse/DOE202504-1004" TargetMode="External"/><Relationship Id="rId90" Type="http://schemas.openxmlformats.org/officeDocument/2006/relationships/hyperlink" Target="https://wire.lgcns.com/jira/secure/ViewProfile.jspa?name=63200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017E-4B87-4F53-9CE3-965824E04CF9}">
  <dimension ref="A1:P41"/>
  <sheetViews>
    <sheetView workbookViewId="0">
      <selection activeCell="K46" sqref="K46"/>
    </sheetView>
  </sheetViews>
  <sheetFormatPr defaultRowHeight="18.75"/>
  <cols>
    <col min="1" max="1" width="7" style="7" customWidth="1"/>
    <col min="2" max="2" width="47.28515625" style="7" customWidth="1"/>
    <col min="3" max="3" width="12.28515625" style="7" customWidth="1"/>
    <col min="4" max="4" width="9.7109375" style="7" customWidth="1"/>
    <col min="5" max="5" width="49.7109375" style="7" customWidth="1"/>
    <col min="6" max="7" width="10.85546875" style="7" customWidth="1"/>
    <col min="8" max="8" width="40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38" style="7" customWidth="1"/>
    <col min="15" max="15" width="11.42578125" style="7" customWidth="1"/>
    <col min="16" max="16" width="15" style="7" bestFit="1" customWidth="1"/>
    <col min="17" max="16384" width="9.140625" style="7"/>
  </cols>
  <sheetData>
    <row r="1" spans="1:15">
      <c r="A1" s="2"/>
      <c r="B1" s="2" t="s">
        <v>0</v>
      </c>
      <c r="C1" s="3" t="s">
        <v>1</v>
      </c>
      <c r="D1" s="2" t="s">
        <v>2</v>
      </c>
      <c r="E1" s="2" t="s">
        <v>0</v>
      </c>
      <c r="F1" s="4" t="s">
        <v>1</v>
      </c>
      <c r="G1" s="2" t="s">
        <v>3</v>
      </c>
      <c r="H1" s="2" t="s">
        <v>0</v>
      </c>
      <c r="I1" s="5" t="s">
        <v>1</v>
      </c>
      <c r="J1" s="2" t="s">
        <v>4</v>
      </c>
      <c r="K1" s="2" t="s">
        <v>0</v>
      </c>
      <c r="L1" s="5" t="s">
        <v>1</v>
      </c>
      <c r="M1" s="2" t="s">
        <v>5</v>
      </c>
      <c r="N1" s="2" t="s">
        <v>0</v>
      </c>
      <c r="O1" s="6" t="s">
        <v>1</v>
      </c>
    </row>
    <row r="2" spans="1:15">
      <c r="A2" s="127" t="s">
        <v>6</v>
      </c>
      <c r="B2" s="8" t="s">
        <v>7</v>
      </c>
      <c r="C2" s="8" t="s">
        <v>8</v>
      </c>
      <c r="D2" s="130" t="s">
        <v>9</v>
      </c>
      <c r="E2" s="9" t="s">
        <v>10</v>
      </c>
      <c r="F2" s="9"/>
      <c r="G2" s="133" t="s">
        <v>11</v>
      </c>
      <c r="H2" s="8" t="s">
        <v>12</v>
      </c>
      <c r="I2" s="8"/>
      <c r="J2" s="130" t="s">
        <v>13</v>
      </c>
      <c r="K2" s="9" t="s">
        <v>12</v>
      </c>
      <c r="L2" s="9" t="s">
        <v>8</v>
      </c>
      <c r="M2" s="136" t="s">
        <v>14</v>
      </c>
      <c r="N2" s="8" t="s">
        <v>12</v>
      </c>
      <c r="O2" s="8" t="s">
        <v>8</v>
      </c>
    </row>
    <row r="3" spans="1:15">
      <c r="A3" s="128"/>
      <c r="B3" s="8" t="s">
        <v>12</v>
      </c>
      <c r="C3" s="8" t="s">
        <v>8</v>
      </c>
      <c r="D3" s="131"/>
      <c r="E3" s="9" t="s">
        <v>12</v>
      </c>
      <c r="F3" s="9"/>
      <c r="G3" s="134"/>
      <c r="H3" s="8" t="s">
        <v>15</v>
      </c>
      <c r="I3" s="8"/>
      <c r="J3" s="131"/>
      <c r="K3" s="9" t="s">
        <v>15</v>
      </c>
      <c r="L3" s="9" t="s">
        <v>8</v>
      </c>
      <c r="M3" s="137"/>
      <c r="N3" s="8" t="s">
        <v>15</v>
      </c>
      <c r="O3" s="8" t="s">
        <v>8</v>
      </c>
    </row>
    <row r="4" spans="1:15">
      <c r="A4" s="128"/>
      <c r="B4" s="8" t="s">
        <v>15</v>
      </c>
      <c r="C4" s="8" t="s">
        <v>8</v>
      </c>
      <c r="D4" s="131"/>
      <c r="E4" s="9" t="s">
        <v>15</v>
      </c>
      <c r="F4" s="9"/>
      <c r="G4" s="134"/>
      <c r="H4" s="8" t="s">
        <v>16</v>
      </c>
      <c r="I4" s="8"/>
      <c r="J4" s="131"/>
      <c r="K4" s="9" t="s">
        <v>16</v>
      </c>
      <c r="L4" s="9" t="s">
        <v>8</v>
      </c>
      <c r="M4" s="137"/>
      <c r="N4" s="8" t="s">
        <v>16</v>
      </c>
      <c r="O4" s="8" t="s">
        <v>8</v>
      </c>
    </row>
    <row r="5" spans="1:15">
      <c r="A5" s="128"/>
      <c r="B5" s="8" t="s">
        <v>16</v>
      </c>
      <c r="C5" s="8" t="s">
        <v>8</v>
      </c>
      <c r="D5" s="131"/>
      <c r="E5" s="9" t="s">
        <v>16</v>
      </c>
      <c r="F5" s="9"/>
      <c r="G5" s="134"/>
      <c r="H5" s="8" t="s">
        <v>17</v>
      </c>
      <c r="I5" s="8"/>
      <c r="J5" s="131"/>
      <c r="K5" s="9" t="s">
        <v>17</v>
      </c>
      <c r="L5" s="9" t="s">
        <v>8</v>
      </c>
      <c r="M5" s="137"/>
      <c r="N5" s="8" t="s">
        <v>17</v>
      </c>
      <c r="O5" s="8" t="s">
        <v>8</v>
      </c>
    </row>
    <row r="6" spans="1:15">
      <c r="A6" s="128"/>
      <c r="B6" s="8" t="s">
        <v>17</v>
      </c>
      <c r="C6" s="8" t="s">
        <v>8</v>
      </c>
      <c r="D6" s="131"/>
      <c r="E6" s="9" t="s">
        <v>17</v>
      </c>
      <c r="F6" s="9"/>
      <c r="G6" s="134"/>
      <c r="H6" s="8" t="s">
        <v>18</v>
      </c>
      <c r="I6" s="8"/>
      <c r="J6" s="131"/>
      <c r="K6" s="9" t="s">
        <v>18</v>
      </c>
      <c r="L6" s="9" t="s">
        <v>8</v>
      </c>
      <c r="M6" s="137"/>
      <c r="N6" s="8" t="s">
        <v>18</v>
      </c>
      <c r="O6" s="8" t="s">
        <v>8</v>
      </c>
    </row>
    <row r="7" spans="1:15">
      <c r="A7" s="128"/>
      <c r="B7" s="8" t="s">
        <v>18</v>
      </c>
      <c r="C7" s="8" t="s">
        <v>19</v>
      </c>
      <c r="D7" s="131"/>
      <c r="E7" s="9" t="s">
        <v>18</v>
      </c>
      <c r="F7" s="9"/>
      <c r="G7" s="134"/>
      <c r="H7" s="8"/>
      <c r="I7" s="8"/>
      <c r="J7" s="131"/>
      <c r="K7" s="9" t="s">
        <v>20</v>
      </c>
      <c r="L7" s="9"/>
      <c r="M7" s="137"/>
      <c r="N7" s="8"/>
      <c r="O7" s="8"/>
    </row>
    <row r="8" spans="1:15">
      <c r="A8" s="128"/>
      <c r="B8" s="8" t="s">
        <v>21</v>
      </c>
      <c r="C8" s="8" t="s">
        <v>8</v>
      </c>
      <c r="D8" s="131"/>
      <c r="E8" s="9"/>
      <c r="F8" s="9"/>
      <c r="G8" s="134"/>
      <c r="H8" s="8"/>
      <c r="I8" s="8"/>
      <c r="J8" s="131"/>
      <c r="K8" s="9" t="s">
        <v>22</v>
      </c>
      <c r="L8" s="9"/>
      <c r="M8" s="137"/>
      <c r="N8" s="8"/>
      <c r="O8" s="8"/>
    </row>
    <row r="9" spans="1:15">
      <c r="A9" s="128"/>
      <c r="B9" s="8"/>
      <c r="C9" s="8"/>
      <c r="D9" s="131"/>
      <c r="E9" s="9"/>
      <c r="F9" s="9"/>
      <c r="G9" s="134"/>
      <c r="H9" s="8"/>
      <c r="I9" s="8"/>
      <c r="J9" s="131"/>
      <c r="K9" s="9" t="s">
        <v>23</v>
      </c>
      <c r="L9" s="9"/>
      <c r="M9" s="137"/>
      <c r="N9" s="8"/>
      <c r="O9" s="8"/>
    </row>
    <row r="10" spans="1:15">
      <c r="A10" s="128"/>
      <c r="B10" s="8" t="s">
        <v>24</v>
      </c>
      <c r="C10" s="8" t="s">
        <v>8</v>
      </c>
      <c r="D10" s="131"/>
      <c r="E10" s="9" t="s">
        <v>25</v>
      </c>
      <c r="F10" s="9"/>
      <c r="G10" s="134"/>
      <c r="H10" s="8" t="s">
        <v>26</v>
      </c>
      <c r="I10" s="8"/>
      <c r="J10" s="131"/>
      <c r="K10" s="9" t="s">
        <v>27</v>
      </c>
      <c r="L10" s="9"/>
      <c r="M10" s="137"/>
      <c r="N10" s="8"/>
      <c r="O10" s="8"/>
    </row>
    <row r="11" spans="1:15">
      <c r="A11" s="128"/>
      <c r="B11" s="8"/>
      <c r="C11" s="8"/>
      <c r="D11" s="131"/>
      <c r="E11" s="9"/>
      <c r="F11" s="9"/>
      <c r="G11" s="134"/>
      <c r="H11" s="8"/>
      <c r="I11" s="8"/>
      <c r="J11" s="131"/>
      <c r="K11" s="9"/>
      <c r="L11" s="9"/>
      <c r="M11" s="137"/>
      <c r="N11" s="8"/>
      <c r="O11" s="8"/>
    </row>
    <row r="12" spans="1:15">
      <c r="A12" s="128"/>
      <c r="B12" s="8" t="s">
        <v>22</v>
      </c>
      <c r="C12" s="8" t="s">
        <v>28</v>
      </c>
      <c r="D12" s="131"/>
      <c r="E12" s="9" t="s">
        <v>22</v>
      </c>
      <c r="F12" s="9"/>
      <c r="G12" s="134"/>
      <c r="H12" s="8" t="s">
        <v>22</v>
      </c>
      <c r="I12" s="8"/>
      <c r="J12" s="131"/>
      <c r="K12" s="9"/>
      <c r="L12" s="9"/>
      <c r="M12" s="137"/>
      <c r="N12" s="8" t="s">
        <v>22</v>
      </c>
      <c r="O12" s="8" t="s">
        <v>28</v>
      </c>
    </row>
    <row r="13" spans="1:15">
      <c r="A13" s="128"/>
      <c r="B13" s="8" t="s">
        <v>23</v>
      </c>
      <c r="C13" s="8"/>
      <c r="D13" s="131"/>
      <c r="E13" s="9" t="s">
        <v>23</v>
      </c>
      <c r="F13" s="9"/>
      <c r="G13" s="134"/>
      <c r="H13" s="8" t="s">
        <v>23</v>
      </c>
      <c r="I13" s="8"/>
      <c r="J13" s="131"/>
      <c r="K13" s="9"/>
      <c r="L13" s="9"/>
      <c r="M13" s="137"/>
      <c r="N13" s="8" t="s">
        <v>23</v>
      </c>
      <c r="O13" s="8"/>
    </row>
    <row r="14" spans="1:15">
      <c r="A14" s="128"/>
      <c r="B14" s="8"/>
      <c r="C14" s="8"/>
      <c r="D14" s="131"/>
      <c r="E14" s="9"/>
      <c r="F14" s="9"/>
      <c r="G14" s="134"/>
      <c r="H14" s="8"/>
      <c r="I14" s="8"/>
      <c r="J14" s="131"/>
      <c r="K14" s="9"/>
      <c r="L14" s="9"/>
      <c r="M14" s="137"/>
      <c r="N14" s="8"/>
      <c r="O14" s="8"/>
    </row>
    <row r="15" spans="1:15">
      <c r="A15" s="129"/>
      <c r="B15" s="8" t="s">
        <v>29</v>
      </c>
      <c r="C15" s="8"/>
      <c r="D15" s="132"/>
      <c r="E15" s="9" t="s">
        <v>29</v>
      </c>
      <c r="F15" s="9"/>
      <c r="G15" s="135"/>
      <c r="H15" s="8" t="s">
        <v>29</v>
      </c>
      <c r="I15" s="8"/>
      <c r="J15" s="132"/>
      <c r="K15" s="9"/>
      <c r="L15" s="9"/>
      <c r="M15" s="138"/>
      <c r="N15" s="8" t="s">
        <v>29</v>
      </c>
      <c r="O15" s="8"/>
    </row>
    <row r="17" spans="4:16">
      <c r="H17" s="14" t="s">
        <v>26</v>
      </c>
      <c r="I17" s="7" t="s">
        <v>8</v>
      </c>
      <c r="K17" s="7" t="s">
        <v>30</v>
      </c>
    </row>
    <row r="19" spans="4:16">
      <c r="H19" s="14" t="s">
        <v>31</v>
      </c>
      <c r="I19" s="7" t="s">
        <v>8</v>
      </c>
      <c r="K19" s="14" t="s">
        <v>32</v>
      </c>
      <c r="L19" s="7" t="s">
        <v>33</v>
      </c>
    </row>
    <row r="20" spans="4:16">
      <c r="D20" s="8"/>
      <c r="E20" s="8" t="s">
        <v>34</v>
      </c>
      <c r="F20" s="8"/>
      <c r="K20" s="14" t="s">
        <v>35</v>
      </c>
      <c r="L20" s="7" t="s">
        <v>28</v>
      </c>
    </row>
    <row r="21" spans="4:16">
      <c r="D21" s="8" t="s">
        <v>6</v>
      </c>
      <c r="E21" s="8" t="s">
        <v>24</v>
      </c>
      <c r="F21" s="8" t="s">
        <v>36</v>
      </c>
      <c r="K21" s="14" t="s">
        <v>37</v>
      </c>
      <c r="L21" s="7" t="s">
        <v>33</v>
      </c>
      <c r="P21" s="13">
        <v>45868</v>
      </c>
    </row>
    <row r="22" spans="4:16">
      <c r="D22" s="11" t="s">
        <v>9</v>
      </c>
      <c r="E22" s="11" t="s">
        <v>25</v>
      </c>
      <c r="F22" s="11" t="s">
        <v>38</v>
      </c>
    </row>
    <row r="23" spans="4:16" ht="75">
      <c r="D23" s="11" t="s">
        <v>11</v>
      </c>
      <c r="E23" s="11" t="s">
        <v>26</v>
      </c>
      <c r="F23" s="11" t="s">
        <v>38</v>
      </c>
      <c r="K23" s="16" t="s">
        <v>39</v>
      </c>
    </row>
    <row r="24" spans="4:16">
      <c r="D24" s="12" t="s">
        <v>13</v>
      </c>
      <c r="E24" s="12"/>
      <c r="F24" s="12"/>
    </row>
    <row r="25" spans="4:16">
      <c r="D25" s="12" t="s">
        <v>14</v>
      </c>
      <c r="E25" s="11" t="s">
        <v>40</v>
      </c>
      <c r="F25" s="12"/>
    </row>
    <row r="26" spans="4:16">
      <c r="D26" s="11" t="s">
        <v>41</v>
      </c>
      <c r="E26" s="12" t="s">
        <v>42</v>
      </c>
      <c r="F26" s="12"/>
      <c r="K26" s="15" t="s">
        <v>43</v>
      </c>
      <c r="L26" s="7" t="s">
        <v>33</v>
      </c>
    </row>
    <row r="27" spans="4:16">
      <c r="D27" s="12"/>
      <c r="E27" s="12" t="s">
        <v>44</v>
      </c>
      <c r="F27" s="12"/>
    </row>
    <row r="30" spans="4:16">
      <c r="E30" s="7" t="s">
        <v>45</v>
      </c>
    </row>
    <row r="31" spans="4:16">
      <c r="E31" s="7" t="s">
        <v>46</v>
      </c>
    </row>
    <row r="32" spans="4:16">
      <c r="E32" s="7" t="s">
        <v>47</v>
      </c>
    </row>
    <row r="33" spans="5:9">
      <c r="E33" s="7" t="s">
        <v>48</v>
      </c>
    </row>
    <row r="37" spans="5:9">
      <c r="H37" s="7" t="s">
        <v>49</v>
      </c>
      <c r="I37" s="10" t="s">
        <v>50</v>
      </c>
    </row>
    <row r="38" spans="5:9">
      <c r="H38" s="7" t="s">
        <v>51</v>
      </c>
      <c r="I38" s="10" t="s">
        <v>52</v>
      </c>
    </row>
    <row r="41" spans="5:9">
      <c r="H41" s="7" t="s">
        <v>53</v>
      </c>
      <c r="I41" s="1" t="s">
        <v>54</v>
      </c>
    </row>
  </sheetData>
  <mergeCells count="5">
    <mergeCell ref="A2:A15"/>
    <mergeCell ref="D2:D15"/>
    <mergeCell ref="G2:G15"/>
    <mergeCell ref="J2:J15"/>
    <mergeCell ref="M2:M15"/>
  </mergeCells>
  <conditionalFormatting sqref="C1:C1048576">
    <cfRule type="containsText" dxfId="19" priority="1" operator="containsText" text="Done">
      <formula>NOT(ISERROR(SEARCH("Done",C1)))</formula>
    </cfRule>
  </conditionalFormatting>
  <dataValidations count="1">
    <dataValidation type="list" allowBlank="1" showInputMessage="1" showErrorMessage="1" sqref="C2:C15 F2:F15 I2:I15 L2:L15 O2:O15" xr:uid="{9737C7AA-CC06-45FA-9E68-DBDD4D1BB76F}">
      <formula1>"Open,Doing,Done"</formula1>
    </dataValidation>
  </dataValidations>
  <hyperlinks>
    <hyperlink ref="I37" r:id="rId1" xr:uid="{B24FE893-D18C-4F00-A255-9926C627767E}"/>
    <hyperlink ref="I38" r:id="rId2" xr:uid="{57F5DAB4-3933-43A7-B4EA-EA505AB7CCD3}"/>
    <hyperlink ref="I41" r:id="rId3" xr:uid="{D0778F22-8372-47E5-ACE2-812E1DB0C81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841D-6122-46A7-AE5E-2E6BD9564986}">
  <dimension ref="A1:AB39"/>
  <sheetViews>
    <sheetView workbookViewId="0">
      <selection activeCell="R25" sqref="R25"/>
    </sheetView>
  </sheetViews>
  <sheetFormatPr defaultRowHeight="18.75"/>
  <cols>
    <col min="1" max="1" width="7" style="7" customWidth="1"/>
    <col min="2" max="2" width="72.5703125" style="7" customWidth="1"/>
    <col min="3" max="3" width="12.28515625" style="7" customWidth="1"/>
    <col min="4" max="4" width="9.7109375" style="7" customWidth="1"/>
    <col min="5" max="5" width="49.7109375" style="7" customWidth="1"/>
    <col min="6" max="7" width="10.85546875" style="7" customWidth="1"/>
    <col min="8" max="8" width="40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38" style="7" customWidth="1"/>
    <col min="15" max="15" width="11.42578125" style="7" customWidth="1"/>
    <col min="16" max="16" width="15" style="7" bestFit="1" customWidth="1"/>
    <col min="17" max="24" width="9.140625" style="7"/>
    <col min="25" max="25" width="32.5703125" style="7" customWidth="1"/>
    <col min="26" max="26" width="43.7109375" style="7" customWidth="1"/>
    <col min="27" max="27" width="9.140625" style="7"/>
    <col min="28" max="28" width="48.85546875" style="7" customWidth="1"/>
    <col min="29" max="16384" width="9.140625" style="7"/>
  </cols>
  <sheetData>
    <row r="1" spans="1:28">
      <c r="A1" s="2"/>
      <c r="B1" s="2" t="s">
        <v>0</v>
      </c>
      <c r="C1" s="3" t="s">
        <v>1</v>
      </c>
      <c r="D1" s="2" t="s">
        <v>2</v>
      </c>
      <c r="E1" s="2" t="s">
        <v>0</v>
      </c>
      <c r="F1" s="4" t="s">
        <v>1</v>
      </c>
      <c r="G1" s="2" t="s">
        <v>3</v>
      </c>
      <c r="H1" s="2" t="s">
        <v>0</v>
      </c>
      <c r="I1" s="5" t="s">
        <v>1</v>
      </c>
      <c r="J1" s="2" t="s">
        <v>4</v>
      </c>
      <c r="K1" s="2" t="s">
        <v>0</v>
      </c>
      <c r="L1" s="5" t="s">
        <v>1</v>
      </c>
      <c r="M1" s="2" t="s">
        <v>5</v>
      </c>
      <c r="N1" s="2" t="s">
        <v>0</v>
      </c>
      <c r="O1" s="6" t="s">
        <v>1</v>
      </c>
    </row>
    <row r="2" spans="1:28">
      <c r="A2" s="127" t="s">
        <v>6</v>
      </c>
      <c r="B2" s="8" t="s">
        <v>7</v>
      </c>
      <c r="C2" s="8" t="s">
        <v>8</v>
      </c>
      <c r="D2" s="130" t="s">
        <v>9</v>
      </c>
      <c r="E2" s="9" t="s">
        <v>10</v>
      </c>
      <c r="F2" s="9" t="s">
        <v>8</v>
      </c>
      <c r="G2" s="133" t="s">
        <v>11</v>
      </c>
      <c r="H2" s="8" t="s">
        <v>12</v>
      </c>
      <c r="I2" s="8"/>
      <c r="J2" s="130" t="s">
        <v>13</v>
      </c>
      <c r="K2" s="9" t="s">
        <v>12</v>
      </c>
      <c r="L2" s="9" t="s">
        <v>8</v>
      </c>
      <c r="M2" s="136" t="s">
        <v>14</v>
      </c>
      <c r="N2" s="8" t="s">
        <v>12</v>
      </c>
      <c r="O2" s="8"/>
      <c r="X2" s="8"/>
      <c r="Y2" s="8" t="s">
        <v>34</v>
      </c>
      <c r="Z2" s="8"/>
    </row>
    <row r="3" spans="1:28">
      <c r="A3" s="128"/>
      <c r="B3" s="8" t="s">
        <v>12</v>
      </c>
      <c r="C3" s="8" t="s">
        <v>8</v>
      </c>
      <c r="D3" s="131"/>
      <c r="E3" s="9" t="s">
        <v>12</v>
      </c>
      <c r="F3" s="9" t="s">
        <v>8</v>
      </c>
      <c r="G3" s="134"/>
      <c r="H3" s="8" t="s">
        <v>15</v>
      </c>
      <c r="I3" s="8"/>
      <c r="J3" s="131"/>
      <c r="K3" s="9" t="s">
        <v>15</v>
      </c>
      <c r="L3" s="9" t="s">
        <v>8</v>
      </c>
      <c r="M3" s="137"/>
      <c r="N3" s="8" t="s">
        <v>15</v>
      </c>
      <c r="O3" s="8"/>
      <c r="X3" s="8" t="s">
        <v>6</v>
      </c>
      <c r="Y3" s="8" t="s">
        <v>24</v>
      </c>
      <c r="Z3" s="8" t="s">
        <v>36</v>
      </c>
    </row>
    <row r="4" spans="1:28">
      <c r="A4" s="128"/>
      <c r="B4" s="8" t="s">
        <v>15</v>
      </c>
      <c r="C4" s="8" t="s">
        <v>8</v>
      </c>
      <c r="D4" s="131"/>
      <c r="E4" s="9" t="s">
        <v>15</v>
      </c>
      <c r="F4" s="9"/>
      <c r="G4" s="134"/>
      <c r="H4" s="8" t="s">
        <v>16</v>
      </c>
      <c r="I4" s="8"/>
      <c r="J4" s="131"/>
      <c r="K4" s="9" t="s">
        <v>16</v>
      </c>
      <c r="L4" s="9" t="s">
        <v>8</v>
      </c>
      <c r="M4" s="137"/>
      <c r="N4" s="8" t="s">
        <v>16</v>
      </c>
      <c r="O4" s="8"/>
      <c r="X4" s="11" t="s">
        <v>9</v>
      </c>
      <c r="Y4" s="11" t="s">
        <v>25</v>
      </c>
      <c r="Z4" s="11" t="s">
        <v>38</v>
      </c>
    </row>
    <row r="5" spans="1:28">
      <c r="A5" s="128"/>
      <c r="B5" s="8" t="s">
        <v>16</v>
      </c>
      <c r="C5" s="8" t="s">
        <v>8</v>
      </c>
      <c r="D5" s="131"/>
      <c r="E5" s="9" t="s">
        <v>16</v>
      </c>
      <c r="F5" s="9" t="s">
        <v>8</v>
      </c>
      <c r="G5" s="134"/>
      <c r="H5" s="8" t="s">
        <v>17</v>
      </c>
      <c r="I5" s="8"/>
      <c r="J5" s="131"/>
      <c r="K5" s="9" t="s">
        <v>17</v>
      </c>
      <c r="L5" s="9" t="s">
        <v>8</v>
      </c>
      <c r="M5" s="137"/>
      <c r="N5" s="8" t="s">
        <v>17</v>
      </c>
      <c r="O5" s="8"/>
      <c r="X5" s="11" t="s">
        <v>11</v>
      </c>
      <c r="Y5" s="11" t="s">
        <v>26</v>
      </c>
      <c r="Z5" s="11" t="s">
        <v>38</v>
      </c>
    </row>
    <row r="6" spans="1:28">
      <c r="A6" s="128"/>
      <c r="B6" s="8" t="s">
        <v>17</v>
      </c>
      <c r="C6" s="8" t="s">
        <v>8</v>
      </c>
      <c r="D6" s="131"/>
      <c r="E6" s="9" t="s">
        <v>17</v>
      </c>
      <c r="F6" s="9"/>
      <c r="G6" s="134"/>
      <c r="H6" s="8" t="s">
        <v>18</v>
      </c>
      <c r="I6" s="8"/>
      <c r="J6" s="131"/>
      <c r="K6" s="9" t="s">
        <v>18</v>
      </c>
      <c r="L6" s="9"/>
      <c r="M6" s="137"/>
      <c r="N6" s="8" t="s">
        <v>18</v>
      </c>
      <c r="O6" s="8"/>
      <c r="X6" s="12" t="s">
        <v>13</v>
      </c>
      <c r="Y6" s="12"/>
      <c r="Z6" s="12"/>
    </row>
    <row r="7" spans="1:28">
      <c r="A7" s="128"/>
      <c r="B7" s="8" t="s">
        <v>18</v>
      </c>
      <c r="C7" s="8"/>
      <c r="D7" s="131"/>
      <c r="E7" s="9" t="s">
        <v>18</v>
      </c>
      <c r="F7" s="9"/>
      <c r="G7" s="134"/>
      <c r="H7" s="7" t="s">
        <v>55</v>
      </c>
      <c r="I7" s="8"/>
      <c r="J7" s="131"/>
      <c r="K7" s="9" t="s">
        <v>20</v>
      </c>
      <c r="L7" s="9"/>
      <c r="M7" s="137"/>
      <c r="N7" s="8"/>
      <c r="O7" s="8"/>
      <c r="X7" s="12" t="s">
        <v>14</v>
      </c>
      <c r="Y7" s="11" t="s">
        <v>40</v>
      </c>
      <c r="Z7" s="12"/>
    </row>
    <row r="8" spans="1:28">
      <c r="A8" s="128"/>
      <c r="B8" s="8" t="s">
        <v>21</v>
      </c>
      <c r="C8" s="8"/>
      <c r="D8" s="131"/>
      <c r="E8" s="7" t="s">
        <v>55</v>
      </c>
      <c r="F8" s="9"/>
      <c r="G8" s="134"/>
      <c r="H8" s="8"/>
      <c r="I8" s="8"/>
      <c r="J8" s="131"/>
      <c r="K8" s="9" t="s">
        <v>22</v>
      </c>
      <c r="L8" s="9"/>
      <c r="M8" s="137"/>
      <c r="N8" s="8"/>
      <c r="O8" s="8"/>
      <c r="X8" s="11" t="s">
        <v>41</v>
      </c>
      <c r="Y8" s="12" t="s">
        <v>42</v>
      </c>
      <c r="Z8" s="12"/>
      <c r="AB8" s="7" t="s">
        <v>45</v>
      </c>
    </row>
    <row r="9" spans="1:28">
      <c r="A9" s="128"/>
      <c r="B9" s="7" t="s">
        <v>55</v>
      </c>
      <c r="C9" s="8"/>
      <c r="D9" s="131"/>
      <c r="E9" s="9"/>
      <c r="F9" s="9"/>
      <c r="G9" s="134"/>
      <c r="H9" s="8"/>
      <c r="I9" s="8"/>
      <c r="J9" s="131"/>
      <c r="K9" s="9" t="s">
        <v>23</v>
      </c>
      <c r="L9" s="9"/>
      <c r="M9" s="137"/>
      <c r="N9" s="8"/>
      <c r="O9" s="8"/>
      <c r="X9" s="12"/>
      <c r="Y9" s="12" t="s">
        <v>44</v>
      </c>
      <c r="Z9" s="12"/>
      <c r="AB9" s="7" t="s">
        <v>46</v>
      </c>
    </row>
    <row r="10" spans="1:28">
      <c r="A10" s="128"/>
      <c r="B10" s="8" t="s">
        <v>24</v>
      </c>
      <c r="C10" s="8" t="s">
        <v>8</v>
      </c>
      <c r="D10" s="131"/>
      <c r="E10" s="9" t="s">
        <v>25</v>
      </c>
      <c r="F10" s="9"/>
      <c r="G10" s="134"/>
      <c r="H10" s="8" t="s">
        <v>26</v>
      </c>
      <c r="I10" s="8"/>
      <c r="J10" s="131"/>
      <c r="K10" s="9" t="s">
        <v>27</v>
      </c>
      <c r="L10" s="9"/>
      <c r="M10" s="137"/>
      <c r="N10" s="8"/>
      <c r="O10" s="8"/>
      <c r="AB10" s="7" t="s">
        <v>47</v>
      </c>
    </row>
    <row r="11" spans="1:28">
      <c r="A11" s="128"/>
      <c r="B11" s="8"/>
      <c r="C11" s="8"/>
      <c r="D11" s="131"/>
      <c r="E11" s="9"/>
      <c r="F11" s="9"/>
      <c r="G11" s="134"/>
      <c r="H11" s="8"/>
      <c r="I11" s="8"/>
      <c r="J11" s="131"/>
      <c r="K11" s="7" t="s">
        <v>55</v>
      </c>
      <c r="L11" s="9"/>
      <c r="M11" s="137"/>
      <c r="N11" s="7" t="s">
        <v>55</v>
      </c>
      <c r="O11" s="8"/>
      <c r="AB11" s="7" t="s">
        <v>48</v>
      </c>
    </row>
    <row r="12" spans="1:28">
      <c r="A12" s="128"/>
      <c r="B12" s="8" t="s">
        <v>22</v>
      </c>
      <c r="C12" s="8" t="s">
        <v>28</v>
      </c>
      <c r="D12" s="131"/>
      <c r="E12" s="9" t="s">
        <v>22</v>
      </c>
      <c r="F12" s="9"/>
      <c r="G12" s="134"/>
      <c r="H12" s="8" t="s">
        <v>22</v>
      </c>
      <c r="I12" s="8"/>
      <c r="J12" s="131"/>
      <c r="K12" s="9"/>
      <c r="L12" s="9"/>
      <c r="M12" s="137"/>
      <c r="N12" s="8" t="s">
        <v>22</v>
      </c>
      <c r="O12" s="8"/>
    </row>
    <row r="13" spans="1:28">
      <c r="A13" s="128"/>
      <c r="B13" s="8" t="s">
        <v>23</v>
      </c>
      <c r="C13" s="8" t="s">
        <v>8</v>
      </c>
      <c r="D13" s="131"/>
      <c r="E13" s="9" t="s">
        <v>23</v>
      </c>
      <c r="F13" s="9"/>
      <c r="G13" s="134"/>
      <c r="H13" s="8" t="s">
        <v>23</v>
      </c>
      <c r="I13" s="8"/>
      <c r="J13" s="131"/>
      <c r="K13" s="9"/>
      <c r="L13" s="9"/>
      <c r="M13" s="137"/>
      <c r="N13" s="8" t="s">
        <v>23</v>
      </c>
      <c r="O13" s="8"/>
    </row>
    <row r="14" spans="1:28">
      <c r="A14" s="128"/>
      <c r="B14" s="8"/>
      <c r="C14" s="8"/>
      <c r="D14" s="131"/>
      <c r="E14" s="9"/>
      <c r="F14" s="9"/>
      <c r="G14" s="134"/>
      <c r="H14" s="8"/>
      <c r="I14" s="8"/>
      <c r="J14" s="131"/>
      <c r="K14" s="9"/>
      <c r="L14" s="9"/>
      <c r="M14" s="137"/>
      <c r="N14" s="8"/>
      <c r="O14" s="8"/>
    </row>
    <row r="15" spans="1:28">
      <c r="A15" s="129"/>
      <c r="B15" s="8" t="s">
        <v>29</v>
      </c>
      <c r="C15" s="8"/>
      <c r="D15" s="132"/>
      <c r="E15" s="9" t="s">
        <v>29</v>
      </c>
      <c r="F15" s="9"/>
      <c r="G15" s="135"/>
      <c r="H15" s="8" t="s">
        <v>29</v>
      </c>
      <c r="I15" s="8"/>
      <c r="J15" s="132"/>
      <c r="K15" s="9"/>
      <c r="L15" s="9"/>
      <c r="M15" s="138"/>
      <c r="N15" s="8" t="s">
        <v>29</v>
      </c>
      <c r="O15" s="8"/>
    </row>
    <row r="18" spans="2:14">
      <c r="N18" s="7" t="s">
        <v>56</v>
      </c>
    </row>
    <row r="20" spans="2:14">
      <c r="B20" s="7" t="s">
        <v>57</v>
      </c>
      <c r="C20" s="7" t="s">
        <v>8</v>
      </c>
    </row>
    <row r="21" spans="2:14">
      <c r="B21" s="7" t="s">
        <v>58</v>
      </c>
      <c r="C21" s="7" t="s">
        <v>8</v>
      </c>
      <c r="K21" s="7" t="s">
        <v>59</v>
      </c>
    </row>
    <row r="22" spans="2:14">
      <c r="E22" s="7" t="s">
        <v>60</v>
      </c>
      <c r="F22" s="7" t="s">
        <v>8</v>
      </c>
    </row>
    <row r="24" spans="2:14">
      <c r="E24" s="7" t="s">
        <v>61</v>
      </c>
      <c r="F24" s="7" t="s">
        <v>8</v>
      </c>
      <c r="K24" s="7" t="s">
        <v>62</v>
      </c>
    </row>
    <row r="25" spans="2:14">
      <c r="E25" s="7" t="s">
        <v>63</v>
      </c>
      <c r="F25" s="7" t="s">
        <v>28</v>
      </c>
    </row>
    <row r="28" spans="2:14">
      <c r="K28" s="7" t="s">
        <v>64</v>
      </c>
      <c r="L28" s="7" t="s">
        <v>8</v>
      </c>
    </row>
    <row r="29" spans="2:14">
      <c r="K29" s="7" t="s">
        <v>65</v>
      </c>
      <c r="L29" s="7" t="s">
        <v>19</v>
      </c>
    </row>
    <row r="30" spans="2:14">
      <c r="K30" s="7" t="s">
        <v>66</v>
      </c>
      <c r="L30" s="7" t="s">
        <v>28</v>
      </c>
    </row>
    <row r="31" spans="2:14">
      <c r="K31" s="7" t="s">
        <v>67</v>
      </c>
      <c r="L31" s="7" t="s">
        <v>19</v>
      </c>
    </row>
    <row r="35" spans="8:9">
      <c r="H35" s="7" t="s">
        <v>49</v>
      </c>
      <c r="I35" s="10" t="s">
        <v>50</v>
      </c>
    </row>
    <row r="36" spans="8:9">
      <c r="H36" s="7" t="s">
        <v>51</v>
      </c>
      <c r="I36" s="10" t="s">
        <v>52</v>
      </c>
    </row>
    <row r="39" spans="8:9">
      <c r="H39" s="7" t="s">
        <v>53</v>
      </c>
      <c r="I39" s="1" t="s">
        <v>54</v>
      </c>
    </row>
  </sheetData>
  <mergeCells count="5">
    <mergeCell ref="A2:A15"/>
    <mergeCell ref="D2:D15"/>
    <mergeCell ref="G2:G15"/>
    <mergeCell ref="J2:J15"/>
    <mergeCell ref="M2:M15"/>
  </mergeCells>
  <conditionalFormatting sqref="C1:C21 C23:C1048576 F22">
    <cfRule type="containsText" dxfId="18" priority="3" operator="containsText" text="Done">
      <formula>NOT(ISERROR(SEARCH("Done",C1)))</formula>
    </cfRule>
  </conditionalFormatting>
  <conditionalFormatting sqref="F24">
    <cfRule type="containsText" dxfId="17" priority="2" operator="containsText" text="Done">
      <formula>NOT(ISERROR(SEARCH("Done",F24)))</formula>
    </cfRule>
  </conditionalFormatting>
  <conditionalFormatting sqref="F25">
    <cfRule type="containsText" dxfId="16" priority="1" operator="containsText" text="Done">
      <formula>NOT(ISERROR(SEARCH("Done",F25)))</formula>
    </cfRule>
  </conditionalFormatting>
  <dataValidations count="1">
    <dataValidation type="list" allowBlank="1" showInputMessage="1" showErrorMessage="1" sqref="C2:C15 F2:F15 I2:I15 L2:L15 O2:O15" xr:uid="{9A6F4A1E-74A4-499F-A3B4-E354CB570C58}">
      <formula1>"Open,Doing,Done"</formula1>
    </dataValidation>
  </dataValidations>
  <hyperlinks>
    <hyperlink ref="I35" r:id="rId1" xr:uid="{FA521C73-8B97-40DF-B7B1-3839349CF01A}"/>
    <hyperlink ref="I36" r:id="rId2" xr:uid="{7F866CCE-8A0B-481A-AD6D-636CCB0751F6}"/>
    <hyperlink ref="I39" r:id="rId3" xr:uid="{1B08D0AE-6A05-4CB8-8FE7-5A5816FFED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2676-0E66-4487-B157-F8C74C20674A}">
  <dimension ref="A1:AB39"/>
  <sheetViews>
    <sheetView workbookViewId="0">
      <selection activeCell="N32" sqref="N32"/>
    </sheetView>
  </sheetViews>
  <sheetFormatPr defaultRowHeight="18.75"/>
  <cols>
    <col min="1" max="1" width="7" style="7" customWidth="1"/>
    <col min="2" max="2" width="72.5703125" style="7" customWidth="1"/>
    <col min="3" max="3" width="12.28515625" style="7" customWidth="1"/>
    <col min="4" max="4" width="9.7109375" style="7" customWidth="1"/>
    <col min="5" max="5" width="49.7109375" style="7" customWidth="1"/>
    <col min="6" max="7" width="10.85546875" style="7" customWidth="1"/>
    <col min="8" max="8" width="40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38" style="7" customWidth="1"/>
    <col min="15" max="15" width="11.42578125" style="7" customWidth="1"/>
    <col min="16" max="16" width="15" style="7" bestFit="1" customWidth="1"/>
    <col min="17" max="24" width="9.140625" style="7"/>
    <col min="25" max="25" width="32.5703125" style="7" customWidth="1"/>
    <col min="26" max="26" width="43.7109375" style="7" customWidth="1"/>
    <col min="27" max="27" width="9.140625" style="7"/>
    <col min="28" max="28" width="48.85546875" style="7" customWidth="1"/>
    <col min="29" max="16384" width="9.140625" style="7"/>
  </cols>
  <sheetData>
    <row r="1" spans="1:28">
      <c r="A1" s="2"/>
      <c r="B1" s="2" t="s">
        <v>0</v>
      </c>
      <c r="C1" s="3" t="s">
        <v>1</v>
      </c>
      <c r="D1" s="2" t="s">
        <v>2</v>
      </c>
      <c r="E1" s="2" t="s">
        <v>0</v>
      </c>
      <c r="F1" s="4" t="s">
        <v>1</v>
      </c>
      <c r="G1" s="2" t="s">
        <v>3</v>
      </c>
      <c r="H1" s="2" t="s">
        <v>0</v>
      </c>
      <c r="I1" s="5" t="s">
        <v>1</v>
      </c>
      <c r="J1" s="2" t="s">
        <v>4</v>
      </c>
      <c r="K1" s="2" t="s">
        <v>0</v>
      </c>
      <c r="L1" s="5" t="s">
        <v>1</v>
      </c>
      <c r="M1" s="2" t="s">
        <v>5</v>
      </c>
      <c r="N1" s="2" t="s">
        <v>0</v>
      </c>
      <c r="O1" s="6" t="s">
        <v>1</v>
      </c>
    </row>
    <row r="2" spans="1:28">
      <c r="A2" s="127" t="s">
        <v>6</v>
      </c>
      <c r="B2" s="8" t="s">
        <v>7</v>
      </c>
      <c r="C2" s="8" t="s">
        <v>8</v>
      </c>
      <c r="D2" s="130" t="s">
        <v>9</v>
      </c>
      <c r="E2" s="9" t="s">
        <v>10</v>
      </c>
      <c r="F2" s="9" t="s">
        <v>8</v>
      </c>
      <c r="G2" s="133" t="s">
        <v>11</v>
      </c>
      <c r="H2" s="8" t="s">
        <v>12</v>
      </c>
      <c r="I2" s="8"/>
      <c r="J2" s="130" t="s">
        <v>13</v>
      </c>
      <c r="K2" s="9" t="s">
        <v>12</v>
      </c>
      <c r="L2" s="9" t="s">
        <v>8</v>
      </c>
      <c r="M2" s="136" t="s">
        <v>14</v>
      </c>
      <c r="N2" s="8" t="s">
        <v>12</v>
      </c>
      <c r="O2" s="8"/>
      <c r="X2" s="8"/>
      <c r="Y2" s="8" t="s">
        <v>34</v>
      </c>
      <c r="Z2" s="8"/>
    </row>
    <row r="3" spans="1:28">
      <c r="A3" s="128"/>
      <c r="B3" s="8" t="s">
        <v>12</v>
      </c>
      <c r="C3" s="8" t="s">
        <v>8</v>
      </c>
      <c r="D3" s="131"/>
      <c r="E3" s="9" t="s">
        <v>12</v>
      </c>
      <c r="F3" s="9" t="s">
        <v>8</v>
      </c>
      <c r="G3" s="134"/>
      <c r="H3" s="8" t="s">
        <v>15</v>
      </c>
      <c r="I3" s="8"/>
      <c r="J3" s="131"/>
      <c r="K3" s="9" t="s">
        <v>15</v>
      </c>
      <c r="L3" s="9" t="s">
        <v>8</v>
      </c>
      <c r="M3" s="137"/>
      <c r="N3" s="8" t="s">
        <v>15</v>
      </c>
      <c r="O3" s="8"/>
      <c r="X3" s="8" t="s">
        <v>6</v>
      </c>
      <c r="Y3" s="8" t="s">
        <v>24</v>
      </c>
      <c r="Z3" s="8" t="s">
        <v>36</v>
      </c>
    </row>
    <row r="4" spans="1:28">
      <c r="A4" s="128"/>
      <c r="B4" s="8" t="s">
        <v>15</v>
      </c>
      <c r="C4" s="8" t="s">
        <v>8</v>
      </c>
      <c r="D4" s="131"/>
      <c r="E4" s="9" t="s">
        <v>15</v>
      </c>
      <c r="F4" s="9"/>
      <c r="G4" s="134"/>
      <c r="H4" s="8" t="s">
        <v>16</v>
      </c>
      <c r="I4" s="8"/>
      <c r="J4" s="131"/>
      <c r="K4" s="9" t="s">
        <v>16</v>
      </c>
      <c r="L4" s="9" t="s">
        <v>8</v>
      </c>
      <c r="M4" s="137"/>
      <c r="N4" s="8" t="s">
        <v>16</v>
      </c>
      <c r="O4" s="8"/>
      <c r="X4" s="11" t="s">
        <v>9</v>
      </c>
      <c r="Y4" s="11" t="s">
        <v>25</v>
      </c>
      <c r="Z4" s="11" t="s">
        <v>38</v>
      </c>
    </row>
    <row r="5" spans="1:28">
      <c r="A5" s="128"/>
      <c r="B5" s="8" t="s">
        <v>16</v>
      </c>
      <c r="C5" s="8" t="s">
        <v>8</v>
      </c>
      <c r="D5" s="131"/>
      <c r="E5" s="9" t="s">
        <v>16</v>
      </c>
      <c r="F5" s="9" t="s">
        <v>8</v>
      </c>
      <c r="G5" s="134"/>
      <c r="H5" s="8" t="s">
        <v>17</v>
      </c>
      <c r="I5" s="8"/>
      <c r="J5" s="131"/>
      <c r="K5" s="9" t="s">
        <v>17</v>
      </c>
      <c r="L5" s="9" t="s">
        <v>8</v>
      </c>
      <c r="M5" s="137"/>
      <c r="N5" s="8" t="s">
        <v>17</v>
      </c>
      <c r="O5" s="8"/>
      <c r="X5" s="11" t="s">
        <v>11</v>
      </c>
      <c r="Y5" s="11" t="s">
        <v>26</v>
      </c>
      <c r="Z5" s="11" t="s">
        <v>38</v>
      </c>
    </row>
    <row r="6" spans="1:28">
      <c r="A6" s="128"/>
      <c r="B6" s="8" t="s">
        <v>17</v>
      </c>
      <c r="C6" s="8" t="s">
        <v>8</v>
      </c>
      <c r="D6" s="131"/>
      <c r="E6" s="9" t="s">
        <v>17</v>
      </c>
      <c r="F6" s="9"/>
      <c r="G6" s="134"/>
      <c r="H6" s="8" t="s">
        <v>18</v>
      </c>
      <c r="I6" s="8"/>
      <c r="J6" s="131"/>
      <c r="K6" s="9" t="s">
        <v>18</v>
      </c>
      <c r="L6" s="9"/>
      <c r="M6" s="137"/>
      <c r="N6" s="8" t="s">
        <v>18</v>
      </c>
      <c r="O6" s="8"/>
      <c r="X6" s="12" t="s">
        <v>13</v>
      </c>
      <c r="Y6" s="12"/>
      <c r="Z6" s="12"/>
    </row>
    <row r="7" spans="1:28">
      <c r="A7" s="128"/>
      <c r="B7" s="8" t="s">
        <v>18</v>
      </c>
      <c r="C7" s="8"/>
      <c r="D7" s="131"/>
      <c r="E7" s="9" t="s">
        <v>18</v>
      </c>
      <c r="F7" s="9"/>
      <c r="G7" s="134"/>
      <c r="H7" s="7" t="s">
        <v>55</v>
      </c>
      <c r="I7" s="8"/>
      <c r="J7" s="131"/>
      <c r="K7" s="9" t="s">
        <v>20</v>
      </c>
      <c r="L7" s="9"/>
      <c r="M7" s="137"/>
      <c r="N7" s="8"/>
      <c r="O7" s="8"/>
      <c r="X7" s="12" t="s">
        <v>14</v>
      </c>
      <c r="Y7" s="11" t="s">
        <v>40</v>
      </c>
      <c r="Z7" s="12"/>
    </row>
    <row r="8" spans="1:28">
      <c r="A8" s="128"/>
      <c r="B8" s="8" t="s">
        <v>21</v>
      </c>
      <c r="C8" s="8"/>
      <c r="D8" s="131"/>
      <c r="E8" s="7" t="s">
        <v>55</v>
      </c>
      <c r="F8" s="9"/>
      <c r="G8" s="134"/>
      <c r="H8" s="8"/>
      <c r="I8" s="8"/>
      <c r="J8" s="131"/>
      <c r="K8" s="9" t="s">
        <v>22</v>
      </c>
      <c r="L8" s="9"/>
      <c r="M8" s="137"/>
      <c r="N8" s="8"/>
      <c r="O8" s="8"/>
      <c r="X8" s="11" t="s">
        <v>41</v>
      </c>
      <c r="Y8" s="12" t="s">
        <v>42</v>
      </c>
      <c r="Z8" s="12"/>
      <c r="AB8" s="7" t="s">
        <v>45</v>
      </c>
    </row>
    <row r="9" spans="1:28">
      <c r="A9" s="128"/>
      <c r="B9" s="7" t="s">
        <v>55</v>
      </c>
      <c r="C9" s="8"/>
      <c r="D9" s="131"/>
      <c r="E9" s="9"/>
      <c r="F9" s="9"/>
      <c r="G9" s="134"/>
      <c r="H9" s="8"/>
      <c r="I9" s="8"/>
      <c r="J9" s="131"/>
      <c r="K9" s="9" t="s">
        <v>23</v>
      </c>
      <c r="L9" s="9"/>
      <c r="M9" s="137"/>
      <c r="N9" s="8"/>
      <c r="O9" s="8"/>
      <c r="X9" s="12"/>
      <c r="Y9" s="12" t="s">
        <v>44</v>
      </c>
      <c r="Z9" s="12"/>
      <c r="AB9" s="7" t="s">
        <v>46</v>
      </c>
    </row>
    <row r="10" spans="1:28">
      <c r="A10" s="128"/>
      <c r="B10" s="8" t="s">
        <v>24</v>
      </c>
      <c r="C10" s="8" t="s">
        <v>8</v>
      </c>
      <c r="D10" s="131"/>
      <c r="E10" s="9" t="s">
        <v>25</v>
      </c>
      <c r="F10" s="9"/>
      <c r="G10" s="134"/>
      <c r="H10" s="8" t="s">
        <v>26</v>
      </c>
      <c r="I10" s="8"/>
      <c r="J10" s="131"/>
      <c r="K10" s="9" t="s">
        <v>27</v>
      </c>
      <c r="L10" s="9"/>
      <c r="M10" s="137"/>
      <c r="N10" s="8"/>
      <c r="O10" s="8"/>
      <c r="AB10" s="7" t="s">
        <v>47</v>
      </c>
    </row>
    <row r="11" spans="1:28">
      <c r="A11" s="128"/>
      <c r="B11" s="8"/>
      <c r="C11" s="8"/>
      <c r="D11" s="131"/>
      <c r="E11" s="9"/>
      <c r="F11" s="9"/>
      <c r="G11" s="134"/>
      <c r="H11" s="8"/>
      <c r="I11" s="8"/>
      <c r="J11" s="131"/>
      <c r="K11" s="7" t="s">
        <v>55</v>
      </c>
      <c r="L11" s="9"/>
      <c r="M11" s="137"/>
      <c r="N11" s="7" t="s">
        <v>55</v>
      </c>
      <c r="O11" s="8"/>
      <c r="AB11" s="7" t="s">
        <v>48</v>
      </c>
    </row>
    <row r="12" spans="1:28">
      <c r="A12" s="128"/>
      <c r="B12" s="8" t="s">
        <v>22</v>
      </c>
      <c r="C12" s="8" t="s">
        <v>28</v>
      </c>
      <c r="D12" s="131"/>
      <c r="E12" s="9" t="s">
        <v>22</v>
      </c>
      <c r="F12" s="9"/>
      <c r="G12" s="134"/>
      <c r="H12" s="8" t="s">
        <v>22</v>
      </c>
      <c r="I12" s="8"/>
      <c r="J12" s="131"/>
      <c r="K12" s="9"/>
      <c r="L12" s="9"/>
      <c r="M12" s="137"/>
      <c r="N12" s="8" t="s">
        <v>22</v>
      </c>
      <c r="O12" s="8"/>
    </row>
    <row r="13" spans="1:28">
      <c r="A13" s="128"/>
      <c r="B13" s="8" t="s">
        <v>23</v>
      </c>
      <c r="C13" s="8" t="s">
        <v>8</v>
      </c>
      <c r="D13" s="131"/>
      <c r="E13" s="9" t="s">
        <v>23</v>
      </c>
      <c r="F13" s="9"/>
      <c r="G13" s="134"/>
      <c r="H13" s="8" t="s">
        <v>23</v>
      </c>
      <c r="I13" s="8"/>
      <c r="J13" s="131"/>
      <c r="K13" s="9"/>
      <c r="L13" s="9"/>
      <c r="M13" s="137"/>
      <c r="N13" s="8" t="s">
        <v>23</v>
      </c>
      <c r="O13" s="8"/>
    </row>
    <row r="14" spans="1:28">
      <c r="A14" s="128"/>
      <c r="B14" s="8"/>
      <c r="C14" s="8"/>
      <c r="D14" s="131"/>
      <c r="E14" s="9"/>
      <c r="F14" s="9"/>
      <c r="G14" s="134"/>
      <c r="H14" s="8"/>
      <c r="I14" s="8"/>
      <c r="J14" s="131"/>
      <c r="K14" s="9"/>
      <c r="L14" s="9"/>
      <c r="M14" s="137"/>
      <c r="N14" s="8"/>
      <c r="O14" s="8"/>
    </row>
    <row r="15" spans="1:28">
      <c r="A15" s="129"/>
      <c r="B15" s="8" t="s">
        <v>29</v>
      </c>
      <c r="C15" s="8"/>
      <c r="D15" s="132"/>
      <c r="E15" s="9" t="s">
        <v>29</v>
      </c>
      <c r="F15" s="9"/>
      <c r="G15" s="135"/>
      <c r="H15" s="8" t="s">
        <v>29</v>
      </c>
      <c r="I15" s="8"/>
      <c r="J15" s="132"/>
      <c r="K15" s="9"/>
      <c r="L15" s="9"/>
      <c r="M15" s="138"/>
      <c r="N15" s="8" t="s">
        <v>29</v>
      </c>
      <c r="O15" s="8"/>
    </row>
    <row r="18" spans="2:14">
      <c r="N18" s="7" t="s">
        <v>56</v>
      </c>
    </row>
    <row r="21" spans="2:14">
      <c r="B21" s="7" t="s">
        <v>68</v>
      </c>
      <c r="K21" s="7" t="s">
        <v>59</v>
      </c>
    </row>
    <row r="22" spans="2:14">
      <c r="K22" s="7" t="s">
        <v>64</v>
      </c>
      <c r="L22" s="7" t="s">
        <v>8</v>
      </c>
    </row>
    <row r="23" spans="2:14">
      <c r="K23" s="7" t="s">
        <v>65</v>
      </c>
      <c r="L23" s="7" t="s">
        <v>19</v>
      </c>
    </row>
    <row r="24" spans="2:14">
      <c r="K24" s="7" t="s">
        <v>66</v>
      </c>
      <c r="L24" s="7" t="s">
        <v>28</v>
      </c>
    </row>
    <row r="25" spans="2:14">
      <c r="K25" s="7" t="s">
        <v>67</v>
      </c>
      <c r="L25" s="7" t="s">
        <v>19</v>
      </c>
    </row>
    <row r="35" spans="9:9">
      <c r="I35" s="10"/>
    </row>
    <row r="36" spans="9:9">
      <c r="I36" s="10"/>
    </row>
    <row r="39" spans="9:9">
      <c r="I39" s="1"/>
    </row>
  </sheetData>
  <mergeCells count="5">
    <mergeCell ref="A2:A15"/>
    <mergeCell ref="D2:D15"/>
    <mergeCell ref="G2:G15"/>
    <mergeCell ref="J2:J15"/>
    <mergeCell ref="M2:M15"/>
  </mergeCells>
  <conditionalFormatting sqref="C1:C21 C23:C1048576 F22">
    <cfRule type="containsText" dxfId="15" priority="3" operator="containsText" text="Done">
      <formula>NOT(ISERROR(SEARCH("Done",C1)))</formula>
    </cfRule>
  </conditionalFormatting>
  <conditionalFormatting sqref="F24">
    <cfRule type="containsText" dxfId="14" priority="2" operator="containsText" text="Done">
      <formula>NOT(ISERROR(SEARCH("Done",F24)))</formula>
    </cfRule>
  </conditionalFormatting>
  <conditionalFormatting sqref="F25">
    <cfRule type="containsText" dxfId="13" priority="1" operator="containsText" text="Done">
      <formula>NOT(ISERROR(SEARCH("Done",F25)))</formula>
    </cfRule>
  </conditionalFormatting>
  <dataValidations count="1">
    <dataValidation type="list" allowBlank="1" showInputMessage="1" showErrorMessage="1" sqref="C2:C15 F2:F15 I2:I15 L2:L15 O2:O15" xr:uid="{4F3A4C89-5B19-4572-B134-C018673285A6}">
      <formula1>"Open,Doing,Done"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2F1F-583A-41B6-8381-5AA92DC92008}">
  <dimension ref="N4:AV42"/>
  <sheetViews>
    <sheetView workbookViewId="0">
      <selection activeCell="AV49" sqref="AV49"/>
    </sheetView>
  </sheetViews>
  <sheetFormatPr defaultRowHeight="15"/>
  <cols>
    <col min="40" max="40" width="62.28515625" customWidth="1"/>
    <col min="43" max="43" width="35.28515625" customWidth="1"/>
    <col min="44" max="44" width="24.28515625" customWidth="1"/>
    <col min="45" max="45" width="47.28515625" customWidth="1"/>
    <col min="48" max="48" width="15.140625" customWidth="1"/>
  </cols>
  <sheetData>
    <row r="4" spans="14:40">
      <c r="N4">
        <v>1</v>
      </c>
      <c r="O4" t="s">
        <v>69</v>
      </c>
    </row>
    <row r="5" spans="14:40">
      <c r="N5">
        <v>2</v>
      </c>
      <c r="O5" t="s">
        <v>70</v>
      </c>
    </row>
    <row r="6" spans="14:40">
      <c r="N6">
        <v>3</v>
      </c>
      <c r="O6" t="s">
        <v>71</v>
      </c>
    </row>
    <row r="7" spans="14:40">
      <c r="N7">
        <v>4</v>
      </c>
      <c r="O7" t="s">
        <v>72</v>
      </c>
    </row>
    <row r="8" spans="14:40">
      <c r="N8">
        <v>5</v>
      </c>
      <c r="O8" t="s">
        <v>73</v>
      </c>
      <c r="AN8" t="s">
        <v>74</v>
      </c>
    </row>
    <row r="9" spans="14:40">
      <c r="AN9" t="s">
        <v>75</v>
      </c>
    </row>
    <row r="10" spans="14:40">
      <c r="AN10" t="s">
        <v>76</v>
      </c>
    </row>
    <row r="11" spans="14:40">
      <c r="N11">
        <v>1</v>
      </c>
      <c r="O11" t="s">
        <v>77</v>
      </c>
      <c r="AN11" s="17" t="s">
        <v>78</v>
      </c>
    </row>
    <row r="12" spans="14:40">
      <c r="N12">
        <v>2</v>
      </c>
      <c r="O12" t="s">
        <v>79</v>
      </c>
    </row>
    <row r="13" spans="14:40">
      <c r="N13">
        <v>3</v>
      </c>
      <c r="O13" t="s">
        <v>80</v>
      </c>
    </row>
    <row r="14" spans="14:40">
      <c r="N14">
        <v>4</v>
      </c>
      <c r="O14" t="s">
        <v>81</v>
      </c>
    </row>
    <row r="16" spans="14:40">
      <c r="N16">
        <v>1</v>
      </c>
      <c r="O16" t="s">
        <v>82</v>
      </c>
      <c r="AN16" t="s">
        <v>83</v>
      </c>
    </row>
    <row r="17" spans="14:43">
      <c r="N17">
        <v>2</v>
      </c>
      <c r="O17" t="s">
        <v>84</v>
      </c>
      <c r="AN17" s="17" t="s">
        <v>85</v>
      </c>
    </row>
    <row r="18" spans="14:43">
      <c r="N18">
        <v>3</v>
      </c>
      <c r="O18" t="s">
        <v>86</v>
      </c>
    </row>
    <row r="19" spans="14:43">
      <c r="AN19" t="s">
        <v>87</v>
      </c>
    </row>
    <row r="22" spans="14:43">
      <c r="N22">
        <v>1</v>
      </c>
      <c r="O22" t="s">
        <v>79</v>
      </c>
    </row>
    <row r="23" spans="14:43">
      <c r="N23">
        <v>2</v>
      </c>
      <c r="O23" t="s">
        <v>88</v>
      </c>
    </row>
    <row r="24" spans="14:43">
      <c r="N24">
        <v>3</v>
      </c>
      <c r="O24" t="s">
        <v>89</v>
      </c>
    </row>
    <row r="26" spans="14:43">
      <c r="AQ26" t="s">
        <v>90</v>
      </c>
    </row>
    <row r="27" spans="14:43">
      <c r="AQ27" t="s">
        <v>91</v>
      </c>
    </row>
    <row r="28" spans="14:43">
      <c r="AQ28" t="s">
        <v>92</v>
      </c>
    </row>
    <row r="29" spans="14:43">
      <c r="AQ29" t="s">
        <v>93</v>
      </c>
    </row>
    <row r="30" spans="14:43">
      <c r="AQ30" t="s">
        <v>94</v>
      </c>
    </row>
    <row r="36" spans="43:48">
      <c r="AQ36" s="18" t="s">
        <v>95</v>
      </c>
      <c r="AR36" s="18" t="s">
        <v>96</v>
      </c>
      <c r="AS36" s="18"/>
      <c r="AT36" s="18"/>
      <c r="AU36" s="18"/>
      <c r="AV36" s="18"/>
    </row>
    <row r="37" spans="43:48">
      <c r="AQ37" s="18" t="s">
        <v>97</v>
      </c>
      <c r="AR37" s="18" t="s">
        <v>98</v>
      </c>
      <c r="AS37" s="18"/>
      <c r="AT37" s="18"/>
      <c r="AU37" s="18"/>
      <c r="AV37" s="18"/>
    </row>
    <row r="38" spans="43:48" ht="72.75">
      <c r="AQ38" s="18"/>
      <c r="AR38" s="18"/>
      <c r="AS38" s="19" t="s">
        <v>99</v>
      </c>
      <c r="AT38" s="20">
        <v>1</v>
      </c>
      <c r="AU38" s="18"/>
      <c r="AV38" s="21">
        <v>45904</v>
      </c>
    </row>
    <row r="39" spans="43:48">
      <c r="AQ39" s="18"/>
      <c r="AR39" s="18"/>
      <c r="AS39" s="22" t="s">
        <v>100</v>
      </c>
      <c r="AT39" s="24">
        <v>2</v>
      </c>
      <c r="AU39" s="22"/>
      <c r="AV39" s="23" t="s">
        <v>101</v>
      </c>
    </row>
    <row r="40" spans="43:48">
      <c r="AQ40" s="18"/>
      <c r="AR40" s="18"/>
      <c r="AS40" s="18" t="s">
        <v>97</v>
      </c>
      <c r="AT40" s="25">
        <v>2</v>
      </c>
      <c r="AU40" s="18"/>
      <c r="AV40" s="18"/>
    </row>
    <row r="41" spans="43:48">
      <c r="AQ41" s="18"/>
      <c r="AR41" s="18"/>
      <c r="AS41" s="18"/>
      <c r="AT41" s="25">
        <v>4</v>
      </c>
      <c r="AU41" s="18"/>
      <c r="AV41" s="18"/>
    </row>
    <row r="42" spans="43:48">
      <c r="AQ42" s="18"/>
      <c r="AR42" s="18"/>
      <c r="AS42" s="18"/>
      <c r="AT42" s="25"/>
      <c r="AU42" s="18"/>
      <c r="AV42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1D33-D42B-4399-A36C-EB0268263BE3}">
  <dimension ref="A1:AB39"/>
  <sheetViews>
    <sheetView workbookViewId="0">
      <selection activeCell="E33" sqref="E33"/>
    </sheetView>
  </sheetViews>
  <sheetFormatPr defaultRowHeight="18.75"/>
  <cols>
    <col min="1" max="1" width="7" style="7" customWidth="1"/>
    <col min="2" max="2" width="40.28515625" style="7" customWidth="1"/>
    <col min="3" max="3" width="12.28515625" style="7" customWidth="1"/>
    <col min="4" max="4" width="9.7109375" style="7" customWidth="1"/>
    <col min="5" max="5" width="49.7109375" style="7" customWidth="1"/>
    <col min="6" max="7" width="10.85546875" style="7" customWidth="1"/>
    <col min="8" max="8" width="40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67.5703125" style="7" customWidth="1"/>
    <col min="15" max="15" width="11.42578125" style="7" customWidth="1"/>
    <col min="16" max="16" width="15" style="7" bestFit="1" customWidth="1"/>
    <col min="17" max="24" width="9.140625" style="7"/>
    <col min="25" max="25" width="32.5703125" style="7" customWidth="1"/>
    <col min="26" max="26" width="43.7109375" style="7" customWidth="1"/>
    <col min="27" max="27" width="9.140625" style="7"/>
    <col min="28" max="28" width="48.85546875" style="7" customWidth="1"/>
    <col min="29" max="16384" width="9.140625" style="7"/>
  </cols>
  <sheetData>
    <row r="1" spans="1:28">
      <c r="A1" s="2"/>
      <c r="B1" s="2" t="s">
        <v>0</v>
      </c>
      <c r="C1" s="3" t="s">
        <v>1</v>
      </c>
      <c r="D1" s="2" t="s">
        <v>2</v>
      </c>
      <c r="E1" s="2" t="s">
        <v>0</v>
      </c>
      <c r="F1" s="4" t="s">
        <v>1</v>
      </c>
      <c r="G1" s="2" t="s">
        <v>3</v>
      </c>
      <c r="H1" s="2" t="s">
        <v>0</v>
      </c>
      <c r="I1" s="5" t="s">
        <v>1</v>
      </c>
      <c r="J1" s="2" t="s">
        <v>4</v>
      </c>
      <c r="K1" s="2" t="s">
        <v>0</v>
      </c>
      <c r="L1" s="5" t="s">
        <v>1</v>
      </c>
      <c r="M1" s="2" t="s">
        <v>5</v>
      </c>
      <c r="N1" s="2" t="s">
        <v>0</v>
      </c>
      <c r="O1" s="6" t="s">
        <v>1</v>
      </c>
    </row>
    <row r="2" spans="1:28">
      <c r="A2" s="127" t="s">
        <v>6</v>
      </c>
      <c r="B2" s="8" t="s">
        <v>7</v>
      </c>
      <c r="C2" s="8"/>
      <c r="D2" s="130" t="s">
        <v>9</v>
      </c>
      <c r="E2" s="9" t="s">
        <v>10</v>
      </c>
      <c r="F2" s="9"/>
      <c r="G2" s="133" t="s">
        <v>11</v>
      </c>
      <c r="H2" s="8" t="s">
        <v>12</v>
      </c>
      <c r="I2" s="8"/>
      <c r="J2" s="130" t="s">
        <v>13</v>
      </c>
      <c r="K2" s="9" t="s">
        <v>12</v>
      </c>
      <c r="L2" s="9" t="s">
        <v>8</v>
      </c>
      <c r="M2" s="136" t="s">
        <v>14</v>
      </c>
      <c r="N2" s="8" t="s">
        <v>12</v>
      </c>
      <c r="O2" s="8"/>
      <c r="X2" s="8"/>
      <c r="Y2" s="8" t="s">
        <v>34</v>
      </c>
      <c r="Z2" s="8"/>
    </row>
    <row r="3" spans="1:28">
      <c r="A3" s="128"/>
      <c r="B3" s="8" t="s">
        <v>12</v>
      </c>
      <c r="C3" s="8"/>
      <c r="D3" s="131"/>
      <c r="E3" s="9" t="s">
        <v>12</v>
      </c>
      <c r="F3" s="9"/>
      <c r="G3" s="134"/>
      <c r="H3" s="8" t="s">
        <v>15</v>
      </c>
      <c r="I3" s="8"/>
      <c r="J3" s="131"/>
      <c r="K3" s="9" t="s">
        <v>15</v>
      </c>
      <c r="L3" s="9" t="s">
        <v>8</v>
      </c>
      <c r="M3" s="137"/>
      <c r="N3" s="8" t="s">
        <v>15</v>
      </c>
      <c r="O3" s="8"/>
      <c r="X3" s="8" t="s">
        <v>6</v>
      </c>
      <c r="Y3" s="8" t="s">
        <v>24</v>
      </c>
      <c r="Z3" s="8" t="s">
        <v>36</v>
      </c>
    </row>
    <row r="4" spans="1:28">
      <c r="A4" s="128"/>
      <c r="B4" s="8" t="s">
        <v>15</v>
      </c>
      <c r="C4" s="8"/>
      <c r="D4" s="131"/>
      <c r="E4" s="9" t="s">
        <v>15</v>
      </c>
      <c r="F4" s="9"/>
      <c r="G4" s="134"/>
      <c r="H4" s="8" t="s">
        <v>16</v>
      </c>
      <c r="I4" s="8"/>
      <c r="J4" s="131"/>
      <c r="K4" s="9" t="s">
        <v>16</v>
      </c>
      <c r="L4" s="9" t="s">
        <v>8</v>
      </c>
      <c r="M4" s="137"/>
      <c r="N4" s="8" t="s">
        <v>16</v>
      </c>
      <c r="O4" s="8"/>
      <c r="X4" s="11" t="s">
        <v>9</v>
      </c>
      <c r="Y4" s="11" t="s">
        <v>25</v>
      </c>
      <c r="Z4" s="11" t="s">
        <v>38</v>
      </c>
    </row>
    <row r="5" spans="1:28">
      <c r="A5" s="128"/>
      <c r="B5" s="8" t="s">
        <v>16</v>
      </c>
      <c r="C5" s="8"/>
      <c r="D5" s="131"/>
      <c r="E5" s="9" t="s">
        <v>16</v>
      </c>
      <c r="F5" s="9"/>
      <c r="G5" s="134"/>
      <c r="H5" s="8" t="s">
        <v>17</v>
      </c>
      <c r="I5" s="8"/>
      <c r="J5" s="131"/>
      <c r="K5" s="9" t="s">
        <v>17</v>
      </c>
      <c r="L5" s="9" t="s">
        <v>8</v>
      </c>
      <c r="M5" s="137"/>
      <c r="N5" s="8" t="s">
        <v>17</v>
      </c>
      <c r="O5" s="8"/>
      <c r="X5" s="11" t="s">
        <v>11</v>
      </c>
      <c r="Y5" s="11" t="s">
        <v>26</v>
      </c>
      <c r="Z5" s="11" t="s">
        <v>38</v>
      </c>
    </row>
    <row r="6" spans="1:28">
      <c r="A6" s="128"/>
      <c r="B6" s="8" t="s">
        <v>17</v>
      </c>
      <c r="C6" s="8"/>
      <c r="D6" s="131"/>
      <c r="E6" s="9" t="s">
        <v>17</v>
      </c>
      <c r="F6" s="9"/>
      <c r="G6" s="134"/>
      <c r="H6" s="8" t="s">
        <v>18</v>
      </c>
      <c r="I6" s="8"/>
      <c r="J6" s="131"/>
      <c r="K6" s="9" t="s">
        <v>18</v>
      </c>
      <c r="L6" s="9"/>
      <c r="M6" s="137"/>
      <c r="N6" s="8" t="s">
        <v>18</v>
      </c>
      <c r="O6" s="8"/>
      <c r="X6" s="12" t="s">
        <v>13</v>
      </c>
      <c r="Y6" s="12"/>
      <c r="Z6" s="12"/>
    </row>
    <row r="7" spans="1:28">
      <c r="A7" s="128"/>
      <c r="B7" s="8" t="s">
        <v>18</v>
      </c>
      <c r="C7" s="8"/>
      <c r="D7" s="131"/>
      <c r="E7" s="9" t="s">
        <v>18</v>
      </c>
      <c r="F7" s="9"/>
      <c r="G7" s="134"/>
      <c r="H7" s="7" t="s">
        <v>55</v>
      </c>
      <c r="I7" s="8"/>
      <c r="J7" s="131"/>
      <c r="K7" s="9" t="s">
        <v>20</v>
      </c>
      <c r="L7" s="9"/>
      <c r="M7" s="137"/>
      <c r="N7" s="8"/>
      <c r="O7" s="8"/>
      <c r="X7" s="12" t="s">
        <v>14</v>
      </c>
      <c r="Y7" s="11" t="s">
        <v>40</v>
      </c>
      <c r="Z7" s="12"/>
    </row>
    <row r="8" spans="1:28">
      <c r="A8" s="128"/>
      <c r="B8" s="8" t="s">
        <v>21</v>
      </c>
      <c r="C8" s="8"/>
      <c r="D8" s="131"/>
      <c r="E8" s="7" t="s">
        <v>55</v>
      </c>
      <c r="F8" s="9"/>
      <c r="G8" s="134"/>
      <c r="H8" s="8"/>
      <c r="I8" s="8"/>
      <c r="J8" s="131"/>
      <c r="K8" s="9" t="s">
        <v>22</v>
      </c>
      <c r="L8" s="9"/>
      <c r="M8" s="137"/>
      <c r="N8" s="8"/>
      <c r="O8" s="8"/>
      <c r="X8" s="11" t="s">
        <v>41</v>
      </c>
      <c r="Y8" s="12" t="s">
        <v>42</v>
      </c>
      <c r="Z8" s="12"/>
      <c r="AB8" s="7" t="s">
        <v>45</v>
      </c>
    </row>
    <row r="9" spans="1:28">
      <c r="A9" s="128"/>
      <c r="B9" s="7" t="s">
        <v>55</v>
      </c>
      <c r="C9" s="8"/>
      <c r="D9" s="131"/>
      <c r="E9" s="9"/>
      <c r="F9" s="9"/>
      <c r="G9" s="134"/>
      <c r="H9" s="8"/>
      <c r="I9" s="8"/>
      <c r="J9" s="131"/>
      <c r="K9" s="9" t="s">
        <v>23</v>
      </c>
      <c r="L9" s="9"/>
      <c r="M9" s="137"/>
      <c r="N9" s="8"/>
      <c r="O9" s="8"/>
      <c r="X9" s="12"/>
      <c r="Y9" s="12" t="s">
        <v>44</v>
      </c>
      <c r="Z9" s="12"/>
      <c r="AB9" s="7" t="s">
        <v>46</v>
      </c>
    </row>
    <row r="10" spans="1:28">
      <c r="A10" s="128"/>
      <c r="B10" s="8" t="s">
        <v>24</v>
      </c>
      <c r="C10" s="8"/>
      <c r="D10" s="131"/>
      <c r="E10" s="9" t="s">
        <v>25</v>
      </c>
      <c r="F10" s="9"/>
      <c r="G10" s="134"/>
      <c r="H10" s="8" t="s">
        <v>26</v>
      </c>
      <c r="I10" s="8"/>
      <c r="J10" s="131"/>
      <c r="K10" s="9" t="s">
        <v>27</v>
      </c>
      <c r="L10" s="9"/>
      <c r="M10" s="137"/>
      <c r="N10" s="8"/>
      <c r="O10" s="8"/>
      <c r="AB10" s="7" t="s">
        <v>47</v>
      </c>
    </row>
    <row r="11" spans="1:28">
      <c r="A11" s="128"/>
      <c r="B11" s="8"/>
      <c r="C11" s="8"/>
      <c r="D11" s="131"/>
      <c r="E11" s="9"/>
      <c r="F11" s="9"/>
      <c r="G11" s="134"/>
      <c r="H11" s="8"/>
      <c r="I11" s="8"/>
      <c r="J11" s="131"/>
      <c r="K11" s="7" t="s">
        <v>55</v>
      </c>
      <c r="L11" s="9"/>
      <c r="M11" s="137"/>
      <c r="N11" s="7" t="s">
        <v>55</v>
      </c>
      <c r="O11" s="8"/>
      <c r="AB11" s="7" t="s">
        <v>48</v>
      </c>
    </row>
    <row r="12" spans="1:28">
      <c r="A12" s="128"/>
      <c r="B12" s="8" t="s">
        <v>22</v>
      </c>
      <c r="C12" s="8"/>
      <c r="D12" s="131"/>
      <c r="E12" s="9" t="s">
        <v>22</v>
      </c>
      <c r="F12" s="9"/>
      <c r="G12" s="134"/>
      <c r="H12" s="8" t="s">
        <v>22</v>
      </c>
      <c r="I12" s="8"/>
      <c r="J12" s="131"/>
      <c r="K12" s="9"/>
      <c r="L12" s="9"/>
      <c r="M12" s="137"/>
      <c r="N12" s="8" t="s">
        <v>22</v>
      </c>
      <c r="O12" s="8"/>
    </row>
    <row r="13" spans="1:28">
      <c r="A13" s="128"/>
      <c r="B13" s="8" t="s">
        <v>23</v>
      </c>
      <c r="C13" s="8"/>
      <c r="D13" s="131"/>
      <c r="E13" s="9" t="s">
        <v>23</v>
      </c>
      <c r="F13" s="9"/>
      <c r="G13" s="134"/>
      <c r="H13" s="8" t="s">
        <v>23</v>
      </c>
      <c r="I13" s="8"/>
      <c r="J13" s="131"/>
      <c r="K13" s="9"/>
      <c r="L13" s="9"/>
      <c r="M13" s="137"/>
      <c r="N13" s="8" t="s">
        <v>23</v>
      </c>
      <c r="O13" s="8"/>
    </row>
    <row r="14" spans="1:28">
      <c r="A14" s="128"/>
      <c r="B14" s="8"/>
      <c r="C14" s="8"/>
      <c r="D14" s="131"/>
      <c r="E14" s="9"/>
      <c r="F14" s="9"/>
      <c r="G14" s="134"/>
      <c r="H14" s="8"/>
      <c r="I14" s="8"/>
      <c r="J14" s="131"/>
      <c r="K14" s="9"/>
      <c r="L14" s="9"/>
      <c r="M14" s="137"/>
      <c r="N14" s="8"/>
      <c r="O14" s="8"/>
    </row>
    <row r="15" spans="1:28">
      <c r="A15" s="129"/>
      <c r="B15" s="8" t="s">
        <v>29</v>
      </c>
      <c r="C15" s="8"/>
      <c r="D15" s="132"/>
      <c r="E15" s="9" t="s">
        <v>29</v>
      </c>
      <c r="F15" s="9"/>
      <c r="G15" s="135"/>
      <c r="H15" s="8" t="s">
        <v>29</v>
      </c>
      <c r="I15" s="8"/>
      <c r="J15" s="132"/>
      <c r="K15" s="9"/>
      <c r="L15" s="9"/>
      <c r="M15" s="138"/>
      <c r="N15" s="8" t="s">
        <v>29</v>
      </c>
      <c r="O15" s="8"/>
    </row>
    <row r="18" spans="2:14">
      <c r="N18" s="7" t="s">
        <v>56</v>
      </c>
    </row>
    <row r="21" spans="2:14">
      <c r="B21" s="7" t="s">
        <v>102</v>
      </c>
      <c r="K21" s="7" t="s">
        <v>59</v>
      </c>
    </row>
    <row r="22" spans="2:14">
      <c r="K22" s="7" t="s">
        <v>64</v>
      </c>
      <c r="L22" s="7" t="s">
        <v>8</v>
      </c>
    </row>
    <row r="23" spans="2:14">
      <c r="K23" s="7" t="s">
        <v>65</v>
      </c>
      <c r="L23" s="7" t="s">
        <v>19</v>
      </c>
    </row>
    <row r="24" spans="2:14">
      <c r="K24" s="7" t="s">
        <v>66</v>
      </c>
      <c r="L24" s="7" t="s">
        <v>28</v>
      </c>
    </row>
    <row r="25" spans="2:14">
      <c r="K25" s="7" t="s">
        <v>67</v>
      </c>
      <c r="L25" s="7" t="s">
        <v>19</v>
      </c>
    </row>
    <row r="35" spans="9:9">
      <c r="I35" s="10"/>
    </row>
    <row r="36" spans="9:9">
      <c r="I36" s="10"/>
    </row>
    <row r="39" spans="9:9">
      <c r="I39" s="1"/>
    </row>
  </sheetData>
  <mergeCells count="5">
    <mergeCell ref="A2:A15"/>
    <mergeCell ref="D2:D15"/>
    <mergeCell ref="G2:G15"/>
    <mergeCell ref="J2:J15"/>
    <mergeCell ref="M2:M15"/>
  </mergeCells>
  <conditionalFormatting sqref="C1:C21 C23:C1048576 F22">
    <cfRule type="containsText" dxfId="12" priority="3" operator="containsText" text="Done">
      <formula>NOT(ISERROR(SEARCH("Done",C1)))</formula>
    </cfRule>
  </conditionalFormatting>
  <conditionalFormatting sqref="F24">
    <cfRule type="containsText" dxfId="11" priority="2" operator="containsText" text="Done">
      <formula>NOT(ISERROR(SEARCH("Done",F24)))</formula>
    </cfRule>
  </conditionalFormatting>
  <conditionalFormatting sqref="F25">
    <cfRule type="containsText" dxfId="10" priority="1" operator="containsText" text="Done">
      <formula>NOT(ISERROR(SEARCH("Done",F25)))</formula>
    </cfRule>
  </conditionalFormatting>
  <dataValidations count="1">
    <dataValidation type="list" allowBlank="1" showInputMessage="1" showErrorMessage="1" sqref="C2:C15 F2:F15 I2:I15 L2:L15 O2:O15" xr:uid="{F55CFC33-3797-4BE1-AFAC-C069F9D28BBA}">
      <formula1>"Open,Doing,Done"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ED5D-FA45-491D-AC71-0C0654623C48}">
  <dimension ref="A1:AB34"/>
  <sheetViews>
    <sheetView workbookViewId="0">
      <selection activeCell="E16" sqref="E16"/>
    </sheetView>
  </sheetViews>
  <sheetFormatPr defaultRowHeight="18.75"/>
  <cols>
    <col min="1" max="1" width="7" style="7" customWidth="1"/>
    <col min="2" max="2" width="46.7109375" style="7" customWidth="1"/>
    <col min="3" max="3" width="12.28515625" style="7" customWidth="1"/>
    <col min="4" max="4" width="9.7109375" style="7" customWidth="1"/>
    <col min="5" max="5" width="38.140625" style="7" customWidth="1"/>
    <col min="6" max="7" width="10.85546875" style="7" customWidth="1"/>
    <col min="8" max="8" width="46.28515625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67.5703125" style="7" customWidth="1"/>
    <col min="15" max="15" width="11.42578125" style="7" customWidth="1"/>
    <col min="16" max="16" width="15" style="7" bestFit="1" customWidth="1"/>
    <col min="17" max="24" width="9.140625" style="7"/>
    <col min="25" max="25" width="37" style="7" customWidth="1"/>
    <col min="26" max="26" width="43.7109375" style="7" customWidth="1"/>
    <col min="27" max="27" width="12.7109375" style="7" customWidth="1"/>
    <col min="28" max="28" width="48.85546875" style="7" customWidth="1"/>
    <col min="29" max="16384" width="9.140625" style="7"/>
  </cols>
  <sheetData>
    <row r="1" spans="1:28">
      <c r="A1" s="28"/>
      <c r="B1" s="28" t="s">
        <v>0</v>
      </c>
      <c r="C1" s="28" t="s">
        <v>1</v>
      </c>
      <c r="D1" s="28" t="s">
        <v>2</v>
      </c>
      <c r="E1" s="28" t="s">
        <v>0</v>
      </c>
      <c r="F1" s="28" t="s">
        <v>1</v>
      </c>
      <c r="G1" s="28" t="s">
        <v>3</v>
      </c>
      <c r="H1" s="28" t="s">
        <v>0</v>
      </c>
      <c r="I1" s="28" t="s">
        <v>1</v>
      </c>
      <c r="J1" s="28" t="s">
        <v>4</v>
      </c>
      <c r="K1" s="28" t="s">
        <v>0</v>
      </c>
      <c r="L1" s="28" t="s">
        <v>1</v>
      </c>
      <c r="M1" s="28" t="s">
        <v>5</v>
      </c>
      <c r="N1" s="28" t="s">
        <v>0</v>
      </c>
      <c r="O1" s="28" t="s">
        <v>1</v>
      </c>
    </row>
    <row r="2" spans="1:28">
      <c r="A2" s="139" t="s">
        <v>6</v>
      </c>
      <c r="B2" s="8" t="s">
        <v>7</v>
      </c>
      <c r="C2" s="8" t="s">
        <v>8</v>
      </c>
      <c r="D2" s="140" t="s">
        <v>9</v>
      </c>
      <c r="E2" s="9" t="s">
        <v>10</v>
      </c>
      <c r="F2" s="8" t="s">
        <v>8</v>
      </c>
      <c r="G2" s="139" t="s">
        <v>11</v>
      </c>
      <c r="H2" s="8" t="s">
        <v>12</v>
      </c>
      <c r="I2" s="8"/>
      <c r="J2" s="140" t="s">
        <v>13</v>
      </c>
      <c r="K2" s="9" t="s">
        <v>12</v>
      </c>
      <c r="L2" s="9" t="s">
        <v>8</v>
      </c>
      <c r="M2" s="141" t="s">
        <v>14</v>
      </c>
      <c r="N2" s="8" t="s">
        <v>12</v>
      </c>
      <c r="O2" s="8"/>
      <c r="X2" s="8"/>
      <c r="Y2" s="8" t="s">
        <v>34</v>
      </c>
      <c r="Z2" s="8"/>
    </row>
    <row r="3" spans="1:28">
      <c r="A3" s="139"/>
      <c r="B3" s="8" t="s">
        <v>12</v>
      </c>
      <c r="C3" s="8" t="s">
        <v>8</v>
      </c>
      <c r="D3" s="140"/>
      <c r="E3" s="9" t="s">
        <v>12</v>
      </c>
      <c r="F3" s="9"/>
      <c r="G3" s="139"/>
      <c r="H3" s="8" t="s">
        <v>15</v>
      </c>
      <c r="I3" s="8"/>
      <c r="J3" s="140"/>
      <c r="K3" s="9" t="s">
        <v>15</v>
      </c>
      <c r="L3" s="9" t="s">
        <v>8</v>
      </c>
      <c r="M3" s="141"/>
      <c r="N3" s="8" t="s">
        <v>15</v>
      </c>
      <c r="O3" s="8"/>
      <c r="X3" s="8" t="s">
        <v>6</v>
      </c>
      <c r="Y3" s="8" t="s">
        <v>24</v>
      </c>
      <c r="Z3" s="8" t="s">
        <v>36</v>
      </c>
    </row>
    <row r="4" spans="1:28">
      <c r="A4" s="139"/>
      <c r="B4" s="8" t="s">
        <v>15</v>
      </c>
      <c r="C4" s="8" t="s">
        <v>8</v>
      </c>
      <c r="D4" s="140"/>
      <c r="E4" s="9" t="s">
        <v>15</v>
      </c>
      <c r="F4" s="9"/>
      <c r="G4" s="139"/>
      <c r="H4" s="8" t="s">
        <v>16</v>
      </c>
      <c r="I4" s="8"/>
      <c r="J4" s="140"/>
      <c r="K4" s="9" t="s">
        <v>16</v>
      </c>
      <c r="L4" s="9" t="s">
        <v>8</v>
      </c>
      <c r="M4" s="141"/>
      <c r="N4" s="8" t="s">
        <v>16</v>
      </c>
      <c r="O4" s="8"/>
      <c r="X4" s="11" t="s">
        <v>9</v>
      </c>
      <c r="Y4" s="11" t="s">
        <v>25</v>
      </c>
      <c r="Z4" s="11" t="s">
        <v>38</v>
      </c>
    </row>
    <row r="5" spans="1:28">
      <c r="A5" s="139"/>
      <c r="B5" s="8" t="s">
        <v>16</v>
      </c>
      <c r="C5" s="8" t="s">
        <v>8</v>
      </c>
      <c r="D5" s="140"/>
      <c r="E5" s="9" t="s">
        <v>16</v>
      </c>
      <c r="F5" s="9"/>
      <c r="G5" s="139"/>
      <c r="H5" s="8" t="s">
        <v>17</v>
      </c>
      <c r="I5" s="8"/>
      <c r="J5" s="140"/>
      <c r="K5" s="9" t="s">
        <v>17</v>
      </c>
      <c r="L5" s="9" t="s">
        <v>8</v>
      </c>
      <c r="M5" s="141"/>
      <c r="N5" s="8" t="s">
        <v>17</v>
      </c>
      <c r="O5" s="8"/>
      <c r="X5" s="11" t="s">
        <v>11</v>
      </c>
      <c r="Y5" s="11" t="s">
        <v>26</v>
      </c>
      <c r="Z5" s="11" t="s">
        <v>38</v>
      </c>
    </row>
    <row r="6" spans="1:28">
      <c r="A6" s="139"/>
      <c r="B6" s="8" t="s">
        <v>17</v>
      </c>
      <c r="C6" s="8" t="s">
        <v>8</v>
      </c>
      <c r="D6" s="140"/>
      <c r="E6" s="9" t="s">
        <v>17</v>
      </c>
      <c r="F6" s="9"/>
      <c r="G6" s="139"/>
      <c r="H6" s="8" t="s">
        <v>18</v>
      </c>
      <c r="I6" s="8"/>
      <c r="J6" s="140"/>
      <c r="K6" s="9" t="s">
        <v>18</v>
      </c>
      <c r="L6" s="9"/>
      <c r="M6" s="141"/>
      <c r="N6" s="8" t="s">
        <v>18</v>
      </c>
      <c r="O6" s="8"/>
      <c r="X6" s="12" t="s">
        <v>13</v>
      </c>
      <c r="Y6" s="12"/>
      <c r="Z6" s="12"/>
    </row>
    <row r="7" spans="1:28">
      <c r="A7" s="139"/>
      <c r="B7" s="8" t="s">
        <v>18</v>
      </c>
      <c r="C7" s="8" t="s">
        <v>8</v>
      </c>
      <c r="D7" s="140"/>
      <c r="E7" s="9" t="s">
        <v>18</v>
      </c>
      <c r="F7" s="9"/>
      <c r="G7" s="139"/>
      <c r="H7" s="8" t="s">
        <v>26</v>
      </c>
      <c r="I7" s="8"/>
      <c r="J7" s="140"/>
      <c r="K7" s="9" t="s">
        <v>20</v>
      </c>
      <c r="L7" s="9"/>
      <c r="M7" s="141"/>
      <c r="N7" s="8" t="s">
        <v>22</v>
      </c>
      <c r="O7" s="8"/>
      <c r="X7" s="12" t="s">
        <v>14</v>
      </c>
      <c r="Y7" s="11" t="s">
        <v>40</v>
      </c>
      <c r="Z7" s="12"/>
    </row>
    <row r="8" spans="1:28">
      <c r="A8" s="139"/>
      <c r="B8" s="8" t="s">
        <v>21</v>
      </c>
      <c r="C8" s="8" t="s">
        <v>8</v>
      </c>
      <c r="D8" s="140"/>
      <c r="E8" s="9" t="s">
        <v>25</v>
      </c>
      <c r="F8" s="9"/>
      <c r="G8" s="139"/>
      <c r="H8" s="8" t="s">
        <v>22</v>
      </c>
      <c r="I8" s="8"/>
      <c r="J8" s="140"/>
      <c r="K8" s="9" t="s">
        <v>22</v>
      </c>
      <c r="L8" s="9"/>
      <c r="M8" s="141"/>
      <c r="N8" s="8" t="s">
        <v>23</v>
      </c>
      <c r="O8" s="8"/>
      <c r="X8" s="11" t="s">
        <v>41</v>
      </c>
      <c r="Y8" s="12" t="s">
        <v>42</v>
      </c>
      <c r="Z8" s="12"/>
      <c r="AB8" s="7" t="s">
        <v>45</v>
      </c>
    </row>
    <row r="9" spans="1:28">
      <c r="A9" s="139"/>
      <c r="B9" s="8" t="s">
        <v>24</v>
      </c>
      <c r="C9" s="8" t="s">
        <v>8</v>
      </c>
      <c r="D9" s="140"/>
      <c r="E9" s="9" t="s">
        <v>22</v>
      </c>
      <c r="F9" s="9"/>
      <c r="G9" s="139"/>
      <c r="H9" s="8" t="s">
        <v>23</v>
      </c>
      <c r="I9" s="8"/>
      <c r="J9" s="140"/>
      <c r="K9" s="9" t="s">
        <v>23</v>
      </c>
      <c r="L9" s="9"/>
      <c r="M9" s="141"/>
      <c r="N9" s="8"/>
      <c r="O9" s="8"/>
      <c r="X9" s="12"/>
      <c r="Y9" s="12" t="s">
        <v>44</v>
      </c>
      <c r="Z9" s="12"/>
      <c r="AB9" s="7" t="s">
        <v>46</v>
      </c>
    </row>
    <row r="10" spans="1:28">
      <c r="A10" s="139"/>
      <c r="B10" s="8" t="s">
        <v>22</v>
      </c>
      <c r="C10" s="8" t="s">
        <v>8</v>
      </c>
      <c r="D10" s="140"/>
      <c r="E10" s="9" t="s">
        <v>23</v>
      </c>
      <c r="F10" s="9"/>
      <c r="G10" s="139"/>
      <c r="H10" s="8" t="s">
        <v>29</v>
      </c>
      <c r="I10" s="8"/>
      <c r="J10" s="140"/>
      <c r="K10" s="9" t="s">
        <v>27</v>
      </c>
      <c r="L10" s="9"/>
      <c r="M10" s="141"/>
      <c r="N10" s="8"/>
      <c r="O10" s="8"/>
      <c r="AB10" s="7" t="s">
        <v>47</v>
      </c>
    </row>
    <row r="11" spans="1:28">
      <c r="A11" s="139"/>
      <c r="B11" s="8" t="s">
        <v>23</v>
      </c>
      <c r="C11" s="8"/>
      <c r="D11" s="140"/>
      <c r="E11" s="9" t="s">
        <v>29</v>
      </c>
      <c r="F11" s="9"/>
      <c r="G11" s="139"/>
      <c r="H11" s="8"/>
      <c r="I11" s="8"/>
      <c r="J11" s="140"/>
      <c r="K11" s="9"/>
      <c r="L11" s="9"/>
      <c r="M11" s="141"/>
      <c r="N11" s="8"/>
      <c r="O11" s="8"/>
      <c r="AB11" s="7" t="s">
        <v>48</v>
      </c>
    </row>
    <row r="12" spans="1:28">
      <c r="A12" s="139"/>
      <c r="B12" s="8" t="s">
        <v>29</v>
      </c>
      <c r="C12" s="8"/>
      <c r="D12" s="140"/>
      <c r="E12" s="9"/>
      <c r="F12" s="9"/>
      <c r="G12" s="139"/>
      <c r="H12" s="8"/>
      <c r="I12" s="8"/>
      <c r="J12" s="140"/>
      <c r="K12" s="9"/>
      <c r="L12" s="9"/>
      <c r="M12" s="141"/>
      <c r="N12" s="8"/>
      <c r="O12" s="8"/>
    </row>
    <row r="14" spans="1:28">
      <c r="E14" s="7" t="s">
        <v>103</v>
      </c>
    </row>
    <row r="15" spans="1:28">
      <c r="E15" s="7" t="s">
        <v>104</v>
      </c>
      <c r="H15" s="7" t="s">
        <v>105</v>
      </c>
    </row>
    <row r="16" spans="1:28">
      <c r="E16" s="7" t="s">
        <v>106</v>
      </c>
    </row>
    <row r="23" spans="9:28">
      <c r="X23" s="26">
        <v>1</v>
      </c>
      <c r="Y23" s="12" t="s">
        <v>107</v>
      </c>
      <c r="Z23" s="12" t="s">
        <v>108</v>
      </c>
      <c r="AA23" s="27">
        <v>0.2</v>
      </c>
      <c r="AB23" s="12" t="s">
        <v>109</v>
      </c>
    </row>
    <row r="24" spans="9:28">
      <c r="X24" s="26">
        <v>2</v>
      </c>
      <c r="Y24" s="12" t="s">
        <v>110</v>
      </c>
      <c r="Z24" s="12" t="s">
        <v>111</v>
      </c>
      <c r="AA24" s="27">
        <v>0.2</v>
      </c>
      <c r="AB24" s="12" t="s">
        <v>109</v>
      </c>
    </row>
    <row r="25" spans="9:28">
      <c r="X25" s="26">
        <v>3</v>
      </c>
      <c r="Y25" s="12" t="s">
        <v>112</v>
      </c>
      <c r="Z25" s="12" t="s">
        <v>113</v>
      </c>
      <c r="AA25" s="27">
        <v>0.2</v>
      </c>
      <c r="AB25" s="12" t="s">
        <v>109</v>
      </c>
    </row>
    <row r="26" spans="9:28">
      <c r="X26" s="26">
        <v>4</v>
      </c>
      <c r="Y26" s="12" t="s">
        <v>114</v>
      </c>
      <c r="Z26" s="12" t="s">
        <v>115</v>
      </c>
      <c r="AA26" s="27">
        <v>0.2</v>
      </c>
      <c r="AB26" s="12" t="s">
        <v>109</v>
      </c>
    </row>
    <row r="27" spans="9:28">
      <c r="X27" s="26">
        <v>5</v>
      </c>
      <c r="Y27" s="12" t="s">
        <v>116</v>
      </c>
      <c r="Z27" s="12" t="s">
        <v>117</v>
      </c>
      <c r="AA27" s="27">
        <v>0.2</v>
      </c>
      <c r="AB27" s="12" t="s">
        <v>109</v>
      </c>
    </row>
    <row r="30" spans="9:28">
      <c r="I30" s="10"/>
    </row>
    <row r="31" spans="9:28">
      <c r="I31" s="10"/>
    </row>
    <row r="34" spans="9:9">
      <c r="I34" s="1"/>
    </row>
  </sheetData>
  <mergeCells count="5">
    <mergeCell ref="A2:A12"/>
    <mergeCell ref="D2:D12"/>
    <mergeCell ref="G2:G12"/>
    <mergeCell ref="J2:J12"/>
    <mergeCell ref="M2:M12"/>
  </mergeCells>
  <conditionalFormatting sqref="F14 C21:C1048576 C1:C18">
    <cfRule type="containsText" dxfId="9" priority="4" operator="containsText" text="Done">
      <formula>NOT(ISERROR(SEARCH("Done",C1)))</formula>
    </cfRule>
  </conditionalFormatting>
  <conditionalFormatting sqref="F15">
    <cfRule type="containsText" dxfId="8" priority="3" operator="containsText" text="Done">
      <formula>NOT(ISERROR(SEARCH("Done",F15)))</formula>
    </cfRule>
  </conditionalFormatting>
  <conditionalFormatting sqref="F21">
    <cfRule type="containsText" dxfId="7" priority="2" operator="containsText" text="Done">
      <formula>NOT(ISERROR(SEARCH("Done",F21)))</formula>
    </cfRule>
  </conditionalFormatting>
  <conditionalFormatting sqref="F2">
    <cfRule type="containsText" dxfId="6" priority="1" operator="containsText" text="Done">
      <formula>NOT(ISERROR(SEARCH("Done",F2)))</formula>
    </cfRule>
  </conditionalFormatting>
  <dataValidations count="1">
    <dataValidation type="list" allowBlank="1" showInputMessage="1" showErrorMessage="1" sqref="O2:O12 C2:C12 I2:I12 L2:L12 F2:F12 E12 N11:N12" xr:uid="{1CFAE55E-20BF-4EB4-8B6F-744393FFADC9}">
      <formula1>"Open,Doing,Done"</formula1>
    </dataValidation>
  </dataValidations>
  <hyperlinks>
    <hyperlink ref="Z23" r:id="rId1" display="'nghia.do@lgcns.com" xr:uid="{11C38752-73BC-4B34-9308-CD598609EA6D}"/>
    <hyperlink ref="Z24" r:id="rId2" xr:uid="{E67B1192-F1F3-4B03-B6B9-1297F23BD684}"/>
    <hyperlink ref="Z25" r:id="rId3" xr:uid="{4C74CA8C-4D07-4B3F-861A-722E8DED990D}"/>
    <hyperlink ref="Z26" r:id="rId4" xr:uid="{81CFBAFF-92EF-44AA-9DB7-EA0E0AA0C767}"/>
    <hyperlink ref="Z27" r:id="rId5" xr:uid="{A82F6BFE-4FB1-4A70-ACFA-8773591DD81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A468-BFDF-4EAA-B540-714BD89EEE7F}">
  <dimension ref="A1:O34"/>
  <sheetViews>
    <sheetView workbookViewId="0">
      <selection activeCell="M31" sqref="M31"/>
    </sheetView>
  </sheetViews>
  <sheetFormatPr defaultRowHeight="18.75"/>
  <cols>
    <col min="1" max="1" width="7" style="7" customWidth="1"/>
    <col min="2" max="2" width="46.7109375" style="7" customWidth="1"/>
    <col min="3" max="3" width="12.28515625" style="7" customWidth="1"/>
    <col min="4" max="4" width="9.7109375" style="7" customWidth="1"/>
    <col min="5" max="5" width="38.140625" style="7" customWidth="1"/>
    <col min="6" max="7" width="10.85546875" style="7" customWidth="1"/>
    <col min="8" max="8" width="46.28515625" style="7" customWidth="1"/>
    <col min="9" max="9" width="11.42578125" style="7" customWidth="1"/>
    <col min="10" max="10" width="10" style="7" customWidth="1"/>
    <col min="11" max="11" width="45.42578125" style="7" customWidth="1"/>
    <col min="12" max="13" width="11.140625" style="7" customWidth="1"/>
    <col min="14" max="14" width="67.5703125" style="7" customWidth="1"/>
    <col min="15" max="15" width="11.42578125" style="7" customWidth="1"/>
    <col min="16" max="16" width="15" style="7" bestFit="1" customWidth="1"/>
    <col min="17" max="16384" width="9.140625" style="7"/>
  </cols>
  <sheetData>
    <row r="1" spans="1:15">
      <c r="A1" s="28"/>
      <c r="B1" s="28" t="s">
        <v>0</v>
      </c>
      <c r="C1" s="28" t="s">
        <v>1</v>
      </c>
      <c r="D1" s="28" t="s">
        <v>2</v>
      </c>
      <c r="E1" s="28" t="s">
        <v>0</v>
      </c>
      <c r="F1" s="28" t="s">
        <v>1</v>
      </c>
      <c r="G1" s="28" t="s">
        <v>3</v>
      </c>
      <c r="H1" s="28" t="s">
        <v>0</v>
      </c>
      <c r="I1" s="28" t="s">
        <v>1</v>
      </c>
      <c r="J1" s="28" t="s">
        <v>4</v>
      </c>
      <c r="K1" s="28" t="s">
        <v>0</v>
      </c>
      <c r="L1" s="28" t="s">
        <v>1</v>
      </c>
      <c r="M1" s="28" t="s">
        <v>5</v>
      </c>
      <c r="N1" s="28" t="s">
        <v>0</v>
      </c>
      <c r="O1" s="28" t="s">
        <v>1</v>
      </c>
    </row>
    <row r="2" spans="1:15">
      <c r="A2" s="139" t="s">
        <v>6</v>
      </c>
      <c r="B2" s="8" t="s">
        <v>7</v>
      </c>
      <c r="C2" s="8" t="s">
        <v>8</v>
      </c>
      <c r="D2" s="140" t="s">
        <v>9</v>
      </c>
      <c r="E2" s="9" t="s">
        <v>10</v>
      </c>
      <c r="F2" s="9"/>
      <c r="G2" s="139" t="s">
        <v>11</v>
      </c>
      <c r="H2" s="8" t="s">
        <v>12</v>
      </c>
      <c r="I2" s="8"/>
      <c r="J2" s="140" t="s">
        <v>13</v>
      </c>
      <c r="K2" s="9" t="s">
        <v>12</v>
      </c>
      <c r="L2" s="9" t="s">
        <v>8</v>
      </c>
      <c r="M2" s="141" t="s">
        <v>14</v>
      </c>
      <c r="N2" s="8" t="s">
        <v>12</v>
      </c>
      <c r="O2" s="8"/>
    </row>
    <row r="3" spans="1:15">
      <c r="A3" s="139"/>
      <c r="B3" s="8" t="s">
        <v>12</v>
      </c>
      <c r="C3" s="8" t="s">
        <v>8</v>
      </c>
      <c r="D3" s="140"/>
      <c r="E3" s="9" t="s">
        <v>12</v>
      </c>
      <c r="F3" s="9"/>
      <c r="G3" s="139"/>
      <c r="H3" s="8" t="s">
        <v>15</v>
      </c>
      <c r="I3" s="8"/>
      <c r="J3" s="140"/>
      <c r="K3" s="9" t="s">
        <v>15</v>
      </c>
      <c r="L3" s="9" t="s">
        <v>8</v>
      </c>
      <c r="M3" s="141"/>
      <c r="N3" s="8" t="s">
        <v>15</v>
      </c>
      <c r="O3" s="8"/>
    </row>
    <row r="4" spans="1:15">
      <c r="A4" s="139"/>
      <c r="B4" s="8" t="s">
        <v>15</v>
      </c>
      <c r="C4" s="8" t="s">
        <v>28</v>
      </c>
      <c r="D4" s="140"/>
      <c r="E4" s="9" t="s">
        <v>15</v>
      </c>
      <c r="F4" s="9"/>
      <c r="G4" s="139"/>
      <c r="H4" s="8" t="s">
        <v>16</v>
      </c>
      <c r="I4" s="8"/>
      <c r="J4" s="140"/>
      <c r="K4" s="9" t="s">
        <v>16</v>
      </c>
      <c r="L4" s="9" t="s">
        <v>8</v>
      </c>
      <c r="M4" s="141"/>
      <c r="N4" s="8" t="s">
        <v>16</v>
      </c>
      <c r="O4" s="8"/>
    </row>
    <row r="5" spans="1:15">
      <c r="A5" s="139"/>
      <c r="B5" s="8" t="s">
        <v>16</v>
      </c>
      <c r="C5" s="8" t="s">
        <v>8</v>
      </c>
      <c r="D5" s="140"/>
      <c r="E5" s="9" t="s">
        <v>16</v>
      </c>
      <c r="F5" s="9"/>
      <c r="G5" s="139"/>
      <c r="H5" s="8" t="s">
        <v>17</v>
      </c>
      <c r="I5" s="8"/>
      <c r="J5" s="140"/>
      <c r="K5" s="9" t="s">
        <v>17</v>
      </c>
      <c r="L5" s="9" t="s">
        <v>8</v>
      </c>
      <c r="M5" s="141"/>
      <c r="N5" s="8" t="s">
        <v>17</v>
      </c>
      <c r="O5" s="8"/>
    </row>
    <row r="6" spans="1:15">
      <c r="A6" s="139"/>
      <c r="B6" s="8" t="s">
        <v>17</v>
      </c>
      <c r="C6" s="8" t="s">
        <v>28</v>
      </c>
      <c r="D6" s="140"/>
      <c r="E6" s="9" t="s">
        <v>17</v>
      </c>
      <c r="F6" s="9"/>
      <c r="G6" s="139"/>
      <c r="H6" s="8" t="s">
        <v>18</v>
      </c>
      <c r="I6" s="8"/>
      <c r="J6" s="140"/>
      <c r="K6" s="9" t="s">
        <v>18</v>
      </c>
      <c r="L6" s="9"/>
      <c r="M6" s="141"/>
      <c r="N6" s="8" t="s">
        <v>18</v>
      </c>
      <c r="O6" s="8"/>
    </row>
    <row r="7" spans="1:15">
      <c r="A7" s="139"/>
      <c r="B7" s="8" t="s">
        <v>18</v>
      </c>
      <c r="C7" s="8"/>
      <c r="D7" s="140"/>
      <c r="E7" s="9" t="s">
        <v>18</v>
      </c>
      <c r="F7" s="9"/>
      <c r="G7" s="139"/>
      <c r="H7" s="8" t="s">
        <v>26</v>
      </c>
      <c r="I7" s="8"/>
      <c r="J7" s="140"/>
      <c r="K7" s="9" t="s">
        <v>20</v>
      </c>
      <c r="L7" s="9"/>
      <c r="M7" s="141"/>
      <c r="N7" s="8" t="s">
        <v>22</v>
      </c>
      <c r="O7" s="8"/>
    </row>
    <row r="8" spans="1:15">
      <c r="A8" s="139"/>
      <c r="B8" s="8" t="s">
        <v>21</v>
      </c>
      <c r="C8" s="8"/>
      <c r="D8" s="140"/>
      <c r="E8" s="9" t="s">
        <v>25</v>
      </c>
      <c r="F8" s="9"/>
      <c r="G8" s="139"/>
      <c r="H8" s="8" t="s">
        <v>22</v>
      </c>
      <c r="I8" s="8"/>
      <c r="J8" s="140"/>
      <c r="K8" s="9" t="s">
        <v>22</v>
      </c>
      <c r="L8" s="9"/>
      <c r="M8" s="141"/>
      <c r="N8" s="8" t="s">
        <v>23</v>
      </c>
      <c r="O8" s="8"/>
    </row>
    <row r="9" spans="1:15">
      <c r="A9" s="139"/>
      <c r="B9" s="8" t="s">
        <v>24</v>
      </c>
      <c r="C9" s="8" t="s">
        <v>8</v>
      </c>
      <c r="D9" s="140"/>
      <c r="E9" s="9" t="s">
        <v>22</v>
      </c>
      <c r="F9" s="9"/>
      <c r="G9" s="139"/>
      <c r="H9" s="8" t="s">
        <v>23</v>
      </c>
      <c r="I9" s="8"/>
      <c r="J9" s="140"/>
      <c r="K9" s="9" t="s">
        <v>23</v>
      </c>
      <c r="L9" s="9"/>
      <c r="M9" s="141"/>
      <c r="N9" s="8"/>
      <c r="O9" s="8"/>
    </row>
    <row r="10" spans="1:15">
      <c r="A10" s="139"/>
      <c r="B10" s="8" t="s">
        <v>22</v>
      </c>
      <c r="C10" s="8"/>
      <c r="D10" s="140"/>
      <c r="E10" s="9" t="s">
        <v>23</v>
      </c>
      <c r="F10" s="9"/>
      <c r="G10" s="139"/>
      <c r="H10" s="8" t="s">
        <v>29</v>
      </c>
      <c r="I10" s="8"/>
      <c r="J10" s="140"/>
      <c r="K10" s="9" t="s">
        <v>27</v>
      </c>
      <c r="L10" s="9"/>
      <c r="M10" s="141"/>
      <c r="N10" s="8"/>
      <c r="O10" s="8"/>
    </row>
    <row r="11" spans="1:15">
      <c r="A11" s="139"/>
      <c r="B11" s="8" t="s">
        <v>23</v>
      </c>
      <c r="C11" s="8"/>
      <c r="D11" s="140"/>
      <c r="E11" s="9" t="s">
        <v>29</v>
      </c>
      <c r="F11" s="9"/>
      <c r="G11" s="139"/>
      <c r="H11" s="8"/>
      <c r="I11" s="8"/>
      <c r="J11" s="140"/>
      <c r="K11" s="9"/>
      <c r="L11" s="9"/>
      <c r="M11" s="141"/>
      <c r="N11" s="8"/>
      <c r="O11" s="8"/>
    </row>
    <row r="12" spans="1:15">
      <c r="A12" s="139"/>
      <c r="B12" s="8" t="s">
        <v>29</v>
      </c>
      <c r="C12" s="8"/>
      <c r="D12" s="140"/>
      <c r="E12" s="9"/>
      <c r="F12" s="9"/>
      <c r="G12" s="139"/>
      <c r="H12" s="8"/>
      <c r="I12" s="8"/>
      <c r="J12" s="140"/>
      <c r="K12" s="9"/>
      <c r="L12" s="9"/>
      <c r="M12" s="141"/>
      <c r="N12" s="8"/>
      <c r="O12" s="8"/>
    </row>
    <row r="18" spans="9:13">
      <c r="M18" s="13"/>
    </row>
    <row r="30" spans="9:13">
      <c r="I30" s="10"/>
    </row>
    <row r="31" spans="9:13">
      <c r="I31" s="10"/>
    </row>
    <row r="34" spans="9:9">
      <c r="I34" s="1"/>
    </row>
  </sheetData>
  <mergeCells count="5">
    <mergeCell ref="A2:A12"/>
    <mergeCell ref="D2:D12"/>
    <mergeCell ref="G2:G12"/>
    <mergeCell ref="J2:J12"/>
    <mergeCell ref="M2:M12"/>
  </mergeCells>
  <conditionalFormatting sqref="F14 C21:C1048576 C1:C18">
    <cfRule type="containsText" dxfId="5" priority="4" operator="containsText" text="Done">
      <formula>NOT(ISERROR(SEARCH("Done",C1)))</formula>
    </cfRule>
  </conditionalFormatting>
  <conditionalFormatting sqref="F15">
    <cfRule type="containsText" dxfId="4" priority="3" operator="containsText" text="Done">
      <formula>NOT(ISERROR(SEARCH("Done",F15)))</formula>
    </cfRule>
  </conditionalFormatting>
  <conditionalFormatting sqref="F21">
    <cfRule type="containsText" dxfId="3" priority="2" operator="containsText" text="Done">
      <formula>NOT(ISERROR(SEARCH("Done",F21)))</formula>
    </cfRule>
  </conditionalFormatting>
  <dataValidations count="1">
    <dataValidation type="list" allowBlank="1" showInputMessage="1" showErrorMessage="1" sqref="F2:F12 C2:C12 I2:I12 L2:L12 N11:N12 E12 O2:O12" xr:uid="{01F5AF44-41CA-4D13-A7B6-FF9C9BC329DD}">
      <formula1>"Open,Doing,Done"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1E13-CCAB-4D0F-8AC0-606FD10CA544}">
  <dimension ref="A1:O34"/>
  <sheetViews>
    <sheetView workbookViewId="0">
      <selection activeCell="I23" sqref="I23"/>
    </sheetView>
  </sheetViews>
  <sheetFormatPr defaultRowHeight="18.75"/>
  <cols>
    <col min="1" max="1" width="7" style="7" customWidth="1"/>
    <col min="2" max="2" width="40.85546875" style="7" customWidth="1"/>
    <col min="3" max="3" width="12.28515625" style="7" customWidth="1"/>
    <col min="4" max="4" width="8.28515625" style="7" customWidth="1"/>
    <col min="5" max="5" width="35" style="7" customWidth="1"/>
    <col min="6" max="6" width="10.85546875" style="7" customWidth="1"/>
    <col min="7" max="7" width="8.42578125" style="7" customWidth="1"/>
    <col min="8" max="8" width="29.85546875" style="7" customWidth="1"/>
    <col min="9" max="9" width="11.42578125" style="7" customWidth="1"/>
    <col min="10" max="10" width="7.85546875" style="7" customWidth="1"/>
    <col min="11" max="11" width="31.85546875" style="7" customWidth="1"/>
    <col min="12" max="12" width="11.140625" style="7" customWidth="1"/>
    <col min="13" max="13" width="8.28515625" style="7" customWidth="1"/>
    <col min="14" max="14" width="30.28515625" style="7" customWidth="1"/>
    <col min="15" max="15" width="11.42578125" style="7" customWidth="1"/>
    <col min="16" max="16" width="15" style="7" bestFit="1" customWidth="1"/>
    <col min="17" max="16384" width="9.140625" style="7"/>
  </cols>
  <sheetData>
    <row r="1" spans="1:15">
      <c r="A1" s="28" t="s">
        <v>118</v>
      </c>
      <c r="B1" s="28" t="s">
        <v>0</v>
      </c>
      <c r="C1" s="28" t="s">
        <v>1</v>
      </c>
      <c r="D1" s="28" t="s">
        <v>2</v>
      </c>
      <c r="E1" s="28" t="s">
        <v>0</v>
      </c>
      <c r="F1" s="28" t="s">
        <v>1</v>
      </c>
      <c r="G1" s="28" t="s">
        <v>3</v>
      </c>
      <c r="H1" s="28" t="s">
        <v>0</v>
      </c>
      <c r="I1" s="28" t="s">
        <v>1</v>
      </c>
      <c r="J1" s="28" t="s">
        <v>4</v>
      </c>
      <c r="K1" s="28" t="s">
        <v>0</v>
      </c>
      <c r="L1" s="28" t="s">
        <v>1</v>
      </c>
      <c r="M1" s="28" t="s">
        <v>5</v>
      </c>
      <c r="N1" s="28" t="s">
        <v>0</v>
      </c>
      <c r="O1" s="28" t="s">
        <v>1</v>
      </c>
    </row>
    <row r="2" spans="1:15">
      <c r="A2" s="139" t="s">
        <v>6</v>
      </c>
      <c r="B2" s="8" t="s">
        <v>7</v>
      </c>
      <c r="C2" s="8" t="s">
        <v>8</v>
      </c>
      <c r="D2" s="140" t="s">
        <v>9</v>
      </c>
      <c r="E2" s="9" t="s">
        <v>10</v>
      </c>
      <c r="F2" s="9"/>
      <c r="G2" s="139" t="s">
        <v>11</v>
      </c>
      <c r="H2" s="8" t="s">
        <v>12</v>
      </c>
      <c r="I2" s="8" t="s">
        <v>8</v>
      </c>
      <c r="J2" s="140" t="s">
        <v>13</v>
      </c>
      <c r="K2" s="9" t="s">
        <v>12</v>
      </c>
      <c r="L2" s="9" t="s">
        <v>8</v>
      </c>
      <c r="M2" s="141" t="s">
        <v>14</v>
      </c>
      <c r="N2" s="8" t="s">
        <v>12</v>
      </c>
      <c r="O2" s="8"/>
    </row>
    <row r="3" spans="1:15">
      <c r="A3" s="139"/>
      <c r="B3" s="8" t="s">
        <v>12</v>
      </c>
      <c r="C3" s="8" t="s">
        <v>8</v>
      </c>
      <c r="D3" s="140"/>
      <c r="E3" s="9" t="s">
        <v>12</v>
      </c>
      <c r="F3" s="9"/>
      <c r="G3" s="139"/>
      <c r="H3" s="8" t="s">
        <v>15</v>
      </c>
      <c r="I3" s="8" t="s">
        <v>8</v>
      </c>
      <c r="J3" s="140"/>
      <c r="K3" s="9" t="s">
        <v>15</v>
      </c>
      <c r="L3" s="9" t="s">
        <v>8</v>
      </c>
      <c r="M3" s="141"/>
      <c r="N3" s="8" t="s">
        <v>15</v>
      </c>
      <c r="O3" s="8"/>
    </row>
    <row r="4" spans="1:15">
      <c r="A4" s="139"/>
      <c r="B4" s="8" t="s">
        <v>15</v>
      </c>
      <c r="C4" s="8" t="s">
        <v>8</v>
      </c>
      <c r="D4" s="140"/>
      <c r="E4" s="9" t="s">
        <v>15</v>
      </c>
      <c r="F4" s="9"/>
      <c r="G4" s="139"/>
      <c r="H4" s="8" t="s">
        <v>16</v>
      </c>
      <c r="I4" s="8" t="s">
        <v>8</v>
      </c>
      <c r="J4" s="140"/>
      <c r="K4" s="9" t="s">
        <v>16</v>
      </c>
      <c r="L4" s="9" t="s">
        <v>8</v>
      </c>
      <c r="M4" s="141"/>
      <c r="N4" s="8" t="s">
        <v>16</v>
      </c>
      <c r="O4" s="8"/>
    </row>
    <row r="5" spans="1:15">
      <c r="A5" s="139"/>
      <c r="B5" s="8" t="s">
        <v>16</v>
      </c>
      <c r="C5" s="8" t="s">
        <v>8</v>
      </c>
      <c r="D5" s="140"/>
      <c r="E5" s="9" t="s">
        <v>16</v>
      </c>
      <c r="F5" s="9"/>
      <c r="G5" s="139"/>
      <c r="H5" s="8" t="s">
        <v>17</v>
      </c>
      <c r="I5" s="8" t="s">
        <v>8</v>
      </c>
      <c r="J5" s="140"/>
      <c r="K5" s="9" t="s">
        <v>17</v>
      </c>
      <c r="L5" s="9" t="s">
        <v>8</v>
      </c>
      <c r="M5" s="141"/>
      <c r="N5" s="8" t="s">
        <v>17</v>
      </c>
      <c r="O5" s="8"/>
    </row>
    <row r="6" spans="1:15">
      <c r="A6" s="139"/>
      <c r="B6" s="8" t="s">
        <v>17</v>
      </c>
      <c r="C6" s="8" t="s">
        <v>8</v>
      </c>
      <c r="D6" s="140"/>
      <c r="E6" s="9" t="s">
        <v>17</v>
      </c>
      <c r="F6" s="9"/>
      <c r="G6" s="139"/>
      <c r="H6" s="8" t="s">
        <v>18</v>
      </c>
      <c r="I6" s="8"/>
      <c r="J6" s="140"/>
      <c r="K6" s="9" t="s">
        <v>18</v>
      </c>
      <c r="L6" s="9"/>
      <c r="M6" s="141"/>
      <c r="N6" s="8" t="s">
        <v>18</v>
      </c>
      <c r="O6" s="8"/>
    </row>
    <row r="7" spans="1:15">
      <c r="A7" s="139"/>
      <c r="B7" s="8" t="s">
        <v>18</v>
      </c>
      <c r="C7" s="8" t="s">
        <v>8</v>
      </c>
      <c r="D7" s="140"/>
      <c r="E7" s="9" t="s">
        <v>18</v>
      </c>
      <c r="F7" s="9"/>
      <c r="G7" s="139"/>
      <c r="H7" s="8" t="s">
        <v>26</v>
      </c>
      <c r="I7" s="8"/>
      <c r="J7" s="140"/>
      <c r="K7" s="9" t="s">
        <v>20</v>
      </c>
      <c r="L7" s="9"/>
      <c r="M7" s="141"/>
      <c r="N7" s="8" t="s">
        <v>22</v>
      </c>
      <c r="O7" s="8"/>
    </row>
    <row r="8" spans="1:15">
      <c r="A8" s="139"/>
      <c r="B8" s="8" t="s">
        <v>21</v>
      </c>
      <c r="C8" s="8" t="s">
        <v>8</v>
      </c>
      <c r="D8" s="140"/>
      <c r="E8" s="9" t="s">
        <v>25</v>
      </c>
      <c r="F8" s="9"/>
      <c r="G8" s="139"/>
      <c r="H8" s="8" t="s">
        <v>22</v>
      </c>
      <c r="I8" s="8"/>
      <c r="J8" s="140"/>
      <c r="K8" s="9" t="s">
        <v>22</v>
      </c>
      <c r="L8" s="9"/>
      <c r="M8" s="141"/>
      <c r="N8" s="8" t="s">
        <v>23</v>
      </c>
      <c r="O8" s="8"/>
    </row>
    <row r="9" spans="1:15">
      <c r="A9" s="139"/>
      <c r="B9" s="8" t="s">
        <v>24</v>
      </c>
      <c r="C9" s="8" t="s">
        <v>8</v>
      </c>
      <c r="D9" s="140"/>
      <c r="E9" s="9" t="s">
        <v>22</v>
      </c>
      <c r="F9" s="9"/>
      <c r="G9" s="139"/>
      <c r="H9" s="8" t="s">
        <v>23</v>
      </c>
      <c r="I9" s="8"/>
      <c r="J9" s="140"/>
      <c r="K9" s="9" t="s">
        <v>23</v>
      </c>
      <c r="L9" s="9"/>
      <c r="M9" s="141"/>
      <c r="N9" s="8"/>
      <c r="O9" s="8"/>
    </row>
    <row r="10" spans="1:15">
      <c r="A10" s="139"/>
      <c r="B10" s="8" t="s">
        <v>22</v>
      </c>
      <c r="C10" s="8" t="s">
        <v>8</v>
      </c>
      <c r="D10" s="140"/>
      <c r="E10" s="9" t="s">
        <v>23</v>
      </c>
      <c r="F10" s="9"/>
      <c r="G10" s="139"/>
      <c r="H10" s="8"/>
      <c r="I10" s="8"/>
      <c r="J10" s="140"/>
      <c r="K10" s="9"/>
      <c r="L10" s="9"/>
      <c r="M10" s="141"/>
      <c r="N10" s="8"/>
      <c r="O10" s="8"/>
    </row>
    <row r="11" spans="1:15">
      <c r="A11" s="139"/>
      <c r="B11" s="8" t="s">
        <v>23</v>
      </c>
      <c r="C11" s="8" t="s">
        <v>8</v>
      </c>
      <c r="D11" s="140"/>
      <c r="E11" s="9"/>
      <c r="F11" s="9"/>
      <c r="G11" s="139"/>
      <c r="H11" s="8"/>
      <c r="I11" s="8"/>
      <c r="J11" s="140"/>
      <c r="K11" s="9"/>
      <c r="L11" s="9"/>
      <c r="M11" s="141"/>
      <c r="N11" s="8"/>
      <c r="O11" s="8"/>
    </row>
    <row r="12" spans="1:15">
      <c r="A12" s="139"/>
      <c r="B12" s="8"/>
      <c r="C12" s="8" t="s">
        <v>8</v>
      </c>
      <c r="D12" s="140"/>
      <c r="E12" s="9"/>
      <c r="F12" s="9"/>
      <c r="G12" s="139"/>
      <c r="H12" s="8"/>
      <c r="I12" s="8"/>
      <c r="J12" s="140"/>
      <c r="K12" s="9"/>
      <c r="L12" s="9"/>
      <c r="M12" s="141"/>
      <c r="N12" s="8"/>
      <c r="O12" s="8"/>
    </row>
    <row r="18" spans="9:13">
      <c r="M18" s="13"/>
    </row>
    <row r="30" spans="9:13">
      <c r="I30" s="10"/>
    </row>
    <row r="31" spans="9:13">
      <c r="I31" s="10"/>
    </row>
    <row r="34" spans="9:9">
      <c r="I34" s="1"/>
    </row>
  </sheetData>
  <mergeCells count="5">
    <mergeCell ref="A2:A12"/>
    <mergeCell ref="D2:D12"/>
    <mergeCell ref="G2:G12"/>
    <mergeCell ref="J2:J12"/>
    <mergeCell ref="M2:M12"/>
  </mergeCells>
  <conditionalFormatting sqref="F14 C21:C1048576 C1:C18">
    <cfRule type="containsText" dxfId="2" priority="3" operator="containsText" text="Done">
      <formula>NOT(ISERROR(SEARCH("Done",C1)))</formula>
    </cfRule>
  </conditionalFormatting>
  <conditionalFormatting sqref="F15">
    <cfRule type="containsText" dxfId="1" priority="2" operator="containsText" text="Done">
      <formula>NOT(ISERROR(SEARCH("Done",F15)))</formula>
    </cfRule>
  </conditionalFormatting>
  <conditionalFormatting sqref="F21">
    <cfRule type="containsText" dxfId="0" priority="1" operator="containsText" text="Done">
      <formula>NOT(ISERROR(SEARCH("Done",F21)))</formula>
    </cfRule>
  </conditionalFormatting>
  <dataValidations count="1">
    <dataValidation type="list" allowBlank="1" showInputMessage="1" showErrorMessage="1" sqref="F2:F12 O2:O12 I2:I12 L2:L12 N11:N12 E12 C2:C12" xr:uid="{AF524575-87CD-43F0-AEB9-90C82972081B}">
      <formula1>"Open,Doing,Done"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752D-5045-4C68-AEBA-9D22B1C982CC}">
  <dimension ref="B3:Z28"/>
  <sheetViews>
    <sheetView workbookViewId="0">
      <selection activeCell="S4" sqref="S4"/>
    </sheetView>
  </sheetViews>
  <sheetFormatPr defaultRowHeight="15"/>
  <cols>
    <col min="2" max="2" width="7.7109375" style="31" customWidth="1"/>
    <col min="3" max="3" width="15.85546875" customWidth="1"/>
    <col min="4" max="4" width="28.5703125" customWidth="1"/>
    <col min="5" max="5" width="21.42578125" customWidth="1"/>
    <col min="6" max="6" width="16.140625" hidden="1" customWidth="1"/>
    <col min="7" max="7" width="16.140625" customWidth="1"/>
    <col min="8" max="8" width="28.140625" customWidth="1"/>
    <col min="9" max="9" width="13.42578125" customWidth="1"/>
    <col min="14" max="14" width="18.140625" customWidth="1"/>
    <col min="15" max="15" width="19.140625" customWidth="1"/>
    <col min="16" max="16" width="11.5703125" customWidth="1"/>
    <col min="20" max="21" width="14.28515625" customWidth="1"/>
    <col min="22" max="22" width="30.42578125" customWidth="1"/>
    <col min="23" max="23" width="15.7109375" customWidth="1"/>
    <col min="24" max="24" width="15.28515625" customWidth="1"/>
    <col min="25" max="25" width="10.28515625" customWidth="1"/>
  </cols>
  <sheetData>
    <row r="3" spans="2:25" s="30" customFormat="1" ht="22.5" customHeight="1">
      <c r="B3" s="32" t="s">
        <v>119</v>
      </c>
      <c r="C3" s="32" t="s">
        <v>120</v>
      </c>
      <c r="D3" s="32" t="s">
        <v>121</v>
      </c>
      <c r="E3" s="32" t="s">
        <v>122</v>
      </c>
      <c r="F3" s="32" t="s">
        <v>123</v>
      </c>
      <c r="G3" s="32" t="s">
        <v>124</v>
      </c>
      <c r="H3" s="32" t="s">
        <v>125</v>
      </c>
      <c r="I3" s="32" t="s">
        <v>1</v>
      </c>
      <c r="M3" s="32" t="s">
        <v>119</v>
      </c>
      <c r="N3" s="32" t="s">
        <v>120</v>
      </c>
      <c r="O3" s="32" t="s">
        <v>121</v>
      </c>
      <c r="P3" s="32" t="s">
        <v>1</v>
      </c>
      <c r="S3" s="32" t="s">
        <v>119</v>
      </c>
      <c r="T3" s="32" t="s">
        <v>126</v>
      </c>
      <c r="U3" s="32" t="s">
        <v>127</v>
      </c>
      <c r="V3" s="39" t="s">
        <v>128</v>
      </c>
      <c r="W3" s="39" t="s">
        <v>129</v>
      </c>
      <c r="X3" s="39" t="s">
        <v>130</v>
      </c>
      <c r="Y3" s="39" t="s">
        <v>1</v>
      </c>
    </row>
    <row r="4" spans="2:25" s="30" customFormat="1" ht="21" customHeight="1">
      <c r="B4" s="29">
        <v>1</v>
      </c>
      <c r="C4" s="33" t="s">
        <v>131</v>
      </c>
      <c r="D4" s="34" t="s">
        <v>132</v>
      </c>
      <c r="E4" s="35" t="s">
        <v>133</v>
      </c>
      <c r="F4" s="36">
        <v>10</v>
      </c>
      <c r="G4" s="35">
        <f>F4*1000</f>
        <v>10000</v>
      </c>
      <c r="H4" s="35"/>
      <c r="I4" s="35" t="s">
        <v>134</v>
      </c>
      <c r="M4" s="29">
        <v>1</v>
      </c>
      <c r="N4" s="33" t="s">
        <v>135</v>
      </c>
      <c r="O4" s="34" t="s">
        <v>136</v>
      </c>
      <c r="P4" s="35" t="s">
        <v>134</v>
      </c>
      <c r="S4" s="29">
        <v>1</v>
      </c>
      <c r="T4" s="33" t="s">
        <v>137</v>
      </c>
      <c r="U4" s="35" t="s">
        <v>138</v>
      </c>
      <c r="V4" s="40" t="str">
        <f>CONCATENATE(T4,"@gmail.com")</f>
        <v>username01@gmail.com</v>
      </c>
      <c r="W4" s="35" t="s">
        <v>139</v>
      </c>
      <c r="X4" s="35" t="s">
        <v>140</v>
      </c>
      <c r="Y4" s="35" t="s">
        <v>134</v>
      </c>
    </row>
    <row r="5" spans="2:25" s="30" customFormat="1" ht="21" customHeight="1">
      <c r="B5" s="29">
        <v>2</v>
      </c>
      <c r="C5" s="33" t="s">
        <v>141</v>
      </c>
      <c r="D5" s="33" t="s">
        <v>142</v>
      </c>
      <c r="E5" s="38" t="s">
        <v>143</v>
      </c>
      <c r="F5" s="35"/>
      <c r="G5" s="35">
        <v>10001</v>
      </c>
      <c r="H5" s="34" t="s">
        <v>144</v>
      </c>
      <c r="I5" s="35" t="s">
        <v>134</v>
      </c>
      <c r="M5" s="29">
        <v>2</v>
      </c>
      <c r="N5" s="33" t="s">
        <v>145</v>
      </c>
      <c r="O5" s="33" t="s">
        <v>146</v>
      </c>
      <c r="P5" s="35" t="s">
        <v>134</v>
      </c>
      <c r="S5" s="29">
        <v>2</v>
      </c>
      <c r="T5" s="33" t="s">
        <v>147</v>
      </c>
      <c r="U5" s="35" t="s">
        <v>148</v>
      </c>
      <c r="V5" s="40" t="str">
        <f t="shared" ref="V5:V8" si="0">CONCATENATE(T5,"@gmail.com")</f>
        <v>username02@gmail.com</v>
      </c>
      <c r="W5" s="35" t="s">
        <v>139</v>
      </c>
      <c r="X5" s="35" t="s">
        <v>140</v>
      </c>
      <c r="Y5" s="35" t="s">
        <v>134</v>
      </c>
    </row>
    <row r="6" spans="2:25" s="30" customFormat="1" ht="21" customHeight="1">
      <c r="B6" s="29">
        <v>3</v>
      </c>
      <c r="C6" s="33" t="s">
        <v>149</v>
      </c>
      <c r="D6" s="33" t="s">
        <v>150</v>
      </c>
      <c r="E6" s="38" t="s">
        <v>151</v>
      </c>
      <c r="F6" s="35"/>
      <c r="G6" s="35">
        <v>10002</v>
      </c>
      <c r="H6" s="34" t="s">
        <v>144</v>
      </c>
      <c r="I6" s="35" t="s">
        <v>134</v>
      </c>
      <c r="M6" s="29">
        <v>3</v>
      </c>
      <c r="N6" s="33" t="s">
        <v>152</v>
      </c>
      <c r="O6" s="33" t="s">
        <v>153</v>
      </c>
      <c r="P6" s="35" t="s">
        <v>134</v>
      </c>
      <c r="S6" s="29">
        <v>3</v>
      </c>
      <c r="T6" s="33" t="s">
        <v>154</v>
      </c>
      <c r="U6" s="35" t="s">
        <v>155</v>
      </c>
      <c r="V6" s="40" t="str">
        <f t="shared" si="0"/>
        <v>username03@gmail.com</v>
      </c>
      <c r="W6" s="35" t="s">
        <v>139</v>
      </c>
      <c r="X6" s="35" t="s">
        <v>140</v>
      </c>
      <c r="Y6" s="35" t="s">
        <v>134</v>
      </c>
    </row>
    <row r="7" spans="2:25" s="30" customFormat="1" ht="21" customHeight="1">
      <c r="B7" s="29">
        <v>4</v>
      </c>
      <c r="C7" s="33" t="s">
        <v>156</v>
      </c>
      <c r="D7" s="34" t="s">
        <v>157</v>
      </c>
      <c r="E7" s="35" t="s">
        <v>158</v>
      </c>
      <c r="F7" s="36">
        <v>11</v>
      </c>
      <c r="G7" s="35">
        <f>F7*1000</f>
        <v>11000</v>
      </c>
      <c r="H7" s="35"/>
      <c r="I7" s="35" t="s">
        <v>134</v>
      </c>
      <c r="M7" s="29">
        <v>4</v>
      </c>
      <c r="N7" s="33" t="s">
        <v>159</v>
      </c>
      <c r="O7" s="34" t="s">
        <v>160</v>
      </c>
      <c r="P7" s="35" t="s">
        <v>134</v>
      </c>
      <c r="S7" s="29">
        <v>4</v>
      </c>
      <c r="T7" s="33" t="s">
        <v>161</v>
      </c>
      <c r="U7" s="35" t="s">
        <v>162</v>
      </c>
      <c r="V7" s="40" t="str">
        <f t="shared" si="0"/>
        <v>username04@gmail.com</v>
      </c>
      <c r="W7" s="35" t="s">
        <v>139</v>
      </c>
      <c r="X7" s="35" t="s">
        <v>140</v>
      </c>
      <c r="Y7" s="35" t="s">
        <v>134</v>
      </c>
    </row>
    <row r="8" spans="2:25" s="30" customFormat="1" ht="21" customHeight="1">
      <c r="B8" s="29">
        <v>5</v>
      </c>
      <c r="C8" s="33" t="s">
        <v>163</v>
      </c>
      <c r="D8" s="37" t="s">
        <v>164</v>
      </c>
      <c r="E8" s="35" t="s">
        <v>165</v>
      </c>
      <c r="F8" s="36">
        <v>12</v>
      </c>
      <c r="G8" s="35">
        <f t="shared" ref="G8:G19" si="1">F8*1000</f>
        <v>12000</v>
      </c>
      <c r="H8" s="35"/>
      <c r="I8" s="35" t="s">
        <v>134</v>
      </c>
      <c r="M8" s="29">
        <v>5</v>
      </c>
      <c r="N8" s="33" t="s">
        <v>166</v>
      </c>
      <c r="O8" s="37" t="s">
        <v>167</v>
      </c>
      <c r="P8" s="35" t="s">
        <v>134</v>
      </c>
      <c r="S8" s="29">
        <v>5</v>
      </c>
      <c r="T8" s="33" t="s">
        <v>168</v>
      </c>
      <c r="U8" s="35" t="s">
        <v>169</v>
      </c>
      <c r="V8" s="40" t="str">
        <f t="shared" si="0"/>
        <v>username05@gmail.com</v>
      </c>
      <c r="W8" s="35" t="s">
        <v>139</v>
      </c>
      <c r="X8" s="35" t="s">
        <v>140</v>
      </c>
      <c r="Y8" s="35" t="s">
        <v>134</v>
      </c>
    </row>
    <row r="9" spans="2:25" s="30" customFormat="1" ht="21" customHeight="1">
      <c r="B9" s="29">
        <v>6</v>
      </c>
      <c r="C9" s="33" t="s">
        <v>170</v>
      </c>
      <c r="D9" s="34" t="s">
        <v>171</v>
      </c>
      <c r="E9" s="35" t="s">
        <v>172</v>
      </c>
      <c r="F9" s="36">
        <v>13</v>
      </c>
      <c r="G9" s="35">
        <f t="shared" si="1"/>
        <v>13000</v>
      </c>
      <c r="H9" s="35"/>
      <c r="I9" s="35" t="s">
        <v>134</v>
      </c>
      <c r="M9"/>
      <c r="N9"/>
      <c r="O9"/>
      <c r="P9"/>
    </row>
    <row r="10" spans="2:25" s="30" customFormat="1" ht="21" customHeight="1">
      <c r="B10" s="29">
        <v>7</v>
      </c>
      <c r="C10" s="33" t="s">
        <v>173</v>
      </c>
      <c r="D10" s="37" t="s">
        <v>174</v>
      </c>
      <c r="E10" s="35" t="s">
        <v>175</v>
      </c>
      <c r="F10" s="36">
        <v>14</v>
      </c>
      <c r="G10" s="35">
        <f t="shared" si="1"/>
        <v>14000</v>
      </c>
      <c r="H10" s="35"/>
      <c r="I10" s="35" t="s">
        <v>134</v>
      </c>
      <c r="M10"/>
      <c r="N10"/>
      <c r="O10"/>
      <c r="P10"/>
      <c r="Q10"/>
      <c r="R10"/>
      <c r="S10"/>
      <c r="T10"/>
      <c r="U10"/>
    </row>
    <row r="11" spans="2:25" s="30" customFormat="1" ht="21" customHeight="1">
      <c r="B11" s="29">
        <v>8</v>
      </c>
      <c r="C11" s="33" t="s">
        <v>176</v>
      </c>
      <c r="D11" s="34" t="s">
        <v>177</v>
      </c>
      <c r="E11" s="35" t="s">
        <v>178</v>
      </c>
      <c r="F11" s="36">
        <v>15</v>
      </c>
      <c r="G11" s="35">
        <f t="shared" si="1"/>
        <v>15000</v>
      </c>
      <c r="H11" s="35"/>
      <c r="I11" s="35" t="s">
        <v>134</v>
      </c>
      <c r="M11"/>
      <c r="N11"/>
      <c r="O11"/>
      <c r="P11"/>
      <c r="Q11"/>
      <c r="R11"/>
      <c r="S11"/>
      <c r="T11"/>
      <c r="U11"/>
    </row>
    <row r="12" spans="2:25" s="30" customFormat="1" ht="21" customHeight="1">
      <c r="B12" s="29">
        <v>9</v>
      </c>
      <c r="C12" s="33" t="s">
        <v>179</v>
      </c>
      <c r="D12" s="34" t="s">
        <v>180</v>
      </c>
      <c r="E12" s="35" t="s">
        <v>181</v>
      </c>
      <c r="F12" s="36">
        <v>16</v>
      </c>
      <c r="G12" s="35">
        <f t="shared" si="1"/>
        <v>16000</v>
      </c>
      <c r="H12" s="35"/>
      <c r="I12" s="35" t="s">
        <v>134</v>
      </c>
      <c r="M12"/>
      <c r="N12"/>
      <c r="O12"/>
      <c r="P12"/>
      <c r="Q12"/>
      <c r="R12"/>
      <c r="S12"/>
      <c r="T12"/>
      <c r="U12"/>
    </row>
    <row r="13" spans="2:25" s="30" customFormat="1" ht="21" customHeight="1">
      <c r="B13" s="29">
        <v>10</v>
      </c>
      <c r="C13" s="33" t="s">
        <v>182</v>
      </c>
      <c r="D13" s="34" t="s">
        <v>183</v>
      </c>
      <c r="E13" s="35" t="s">
        <v>184</v>
      </c>
      <c r="F13" s="36">
        <v>17</v>
      </c>
      <c r="G13" s="35">
        <f t="shared" si="1"/>
        <v>17000</v>
      </c>
      <c r="H13" s="35"/>
      <c r="I13" s="35" t="s">
        <v>134</v>
      </c>
      <c r="M13"/>
      <c r="N13"/>
      <c r="O13"/>
      <c r="P13"/>
      <c r="Q13"/>
      <c r="R13"/>
      <c r="S13"/>
      <c r="T13"/>
      <c r="U13"/>
    </row>
    <row r="14" spans="2:25" s="30" customFormat="1" ht="21" customHeight="1">
      <c r="B14" s="29">
        <v>11</v>
      </c>
      <c r="C14" s="33" t="s">
        <v>185</v>
      </c>
      <c r="D14" s="34" t="s">
        <v>186</v>
      </c>
      <c r="E14" s="35" t="s">
        <v>187</v>
      </c>
      <c r="F14" s="36">
        <v>18</v>
      </c>
      <c r="G14" s="35">
        <f t="shared" si="1"/>
        <v>18000</v>
      </c>
      <c r="H14" s="35"/>
      <c r="I14" s="35" t="s">
        <v>134</v>
      </c>
      <c r="M14"/>
      <c r="N14"/>
      <c r="O14"/>
      <c r="P14"/>
      <c r="Q14"/>
      <c r="R14"/>
      <c r="S14"/>
      <c r="T14"/>
      <c r="U14"/>
    </row>
    <row r="15" spans="2:25" s="30" customFormat="1" ht="21" customHeight="1">
      <c r="B15" s="29">
        <v>12</v>
      </c>
      <c r="C15" s="33" t="s">
        <v>188</v>
      </c>
      <c r="D15" s="34" t="s">
        <v>189</v>
      </c>
      <c r="E15" s="35" t="s">
        <v>190</v>
      </c>
      <c r="F15" s="36">
        <v>19</v>
      </c>
      <c r="G15" s="35">
        <f t="shared" si="1"/>
        <v>19000</v>
      </c>
      <c r="H15" s="35"/>
      <c r="I15" s="35" t="s">
        <v>134</v>
      </c>
      <c r="M15"/>
      <c r="N15"/>
      <c r="O15"/>
      <c r="P15"/>
      <c r="Q15"/>
      <c r="R15"/>
      <c r="S15"/>
      <c r="T15"/>
      <c r="U15"/>
    </row>
    <row r="16" spans="2:25" s="30" customFormat="1" ht="21" customHeight="1">
      <c r="B16" s="29">
        <v>13</v>
      </c>
      <c r="C16" s="33" t="s">
        <v>191</v>
      </c>
      <c r="D16" s="34" t="s">
        <v>192</v>
      </c>
      <c r="E16" s="35" t="s">
        <v>192</v>
      </c>
      <c r="F16" s="36">
        <v>20</v>
      </c>
      <c r="G16" s="35">
        <f t="shared" si="1"/>
        <v>20000</v>
      </c>
      <c r="H16" s="35"/>
      <c r="I16" s="35" t="s">
        <v>134</v>
      </c>
      <c r="M16"/>
      <c r="N16"/>
      <c r="O16"/>
      <c r="P16"/>
      <c r="Q16"/>
      <c r="R16"/>
      <c r="S16"/>
      <c r="T16"/>
      <c r="U16"/>
    </row>
    <row r="17" spans="2:26" s="30" customFormat="1" ht="21" customHeight="1">
      <c r="B17" s="29">
        <v>14</v>
      </c>
      <c r="C17" s="33" t="s">
        <v>193</v>
      </c>
      <c r="D17" s="34" t="s">
        <v>194</v>
      </c>
      <c r="E17" s="35" t="s">
        <v>195</v>
      </c>
      <c r="F17" s="36">
        <v>21</v>
      </c>
      <c r="G17" s="35">
        <f t="shared" si="1"/>
        <v>21000</v>
      </c>
      <c r="H17" s="35"/>
      <c r="I17" s="35" t="s">
        <v>134</v>
      </c>
      <c r="M17"/>
      <c r="N17"/>
      <c r="O17"/>
      <c r="P17"/>
      <c r="Q17"/>
      <c r="R17"/>
      <c r="S17"/>
      <c r="T17"/>
      <c r="U17"/>
    </row>
    <row r="18" spans="2:26" s="30" customFormat="1" ht="21" customHeight="1">
      <c r="B18" s="29">
        <v>15</v>
      </c>
      <c r="C18" s="33" t="s">
        <v>196</v>
      </c>
      <c r="D18" s="34" t="s">
        <v>197</v>
      </c>
      <c r="E18" s="35" t="s">
        <v>198</v>
      </c>
      <c r="F18" s="36">
        <v>22</v>
      </c>
      <c r="G18" s="35">
        <f t="shared" si="1"/>
        <v>22000</v>
      </c>
      <c r="H18" s="35"/>
      <c r="I18" s="35" t="s">
        <v>134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2:26" s="30" customFormat="1" ht="21" customHeight="1">
      <c r="B19" s="29">
        <v>16</v>
      </c>
      <c r="C19" s="33" t="s">
        <v>199</v>
      </c>
      <c r="D19" s="34" t="s">
        <v>200</v>
      </c>
      <c r="E19" s="35" t="s">
        <v>201</v>
      </c>
      <c r="F19" s="36">
        <v>23</v>
      </c>
      <c r="G19" s="35">
        <f t="shared" si="1"/>
        <v>23000</v>
      </c>
      <c r="H19" s="35"/>
      <c r="I19" s="35" t="s">
        <v>134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5" spans="2:26">
      <c r="X25" s="30"/>
    </row>
    <row r="28" spans="2:26">
      <c r="Z28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F9F3-A105-4D37-88C4-875BFD9FCC71}">
  <dimension ref="P3:Q15"/>
  <sheetViews>
    <sheetView workbookViewId="0">
      <selection activeCell="K3" sqref="K3"/>
    </sheetView>
  </sheetViews>
  <sheetFormatPr defaultRowHeight="26.25"/>
  <cols>
    <col min="1" max="15" width="9.140625" style="41"/>
    <col min="16" max="16" width="26.28515625" style="41" customWidth="1"/>
    <col min="17" max="17" width="32" style="43" customWidth="1"/>
    <col min="18" max="16384" width="9.140625" style="41"/>
  </cols>
  <sheetData>
    <row r="3" spans="16:17">
      <c r="P3" s="46" t="s">
        <v>202</v>
      </c>
      <c r="Q3" s="42">
        <f>SUM(Q4:Q15)*1000</f>
        <v>31050000</v>
      </c>
    </row>
    <row r="6" spans="16:17">
      <c r="P6" s="44" t="s">
        <v>203</v>
      </c>
      <c r="Q6" s="45">
        <v>1600</v>
      </c>
    </row>
    <row r="7" spans="16:17">
      <c r="P7" s="44" t="s">
        <v>204</v>
      </c>
      <c r="Q7" s="45">
        <v>2500</v>
      </c>
    </row>
    <row r="8" spans="16:17">
      <c r="P8" s="44" t="s">
        <v>205</v>
      </c>
      <c r="Q8" s="45">
        <v>1760</v>
      </c>
    </row>
    <row r="9" spans="16:17">
      <c r="P9" s="44" t="s">
        <v>206</v>
      </c>
      <c r="Q9" s="45">
        <v>5890</v>
      </c>
    </row>
    <row r="10" spans="16:17">
      <c r="P10" s="44" t="s">
        <v>207</v>
      </c>
      <c r="Q10" s="45">
        <v>7600</v>
      </c>
    </row>
    <row r="11" spans="16:17">
      <c r="P11" s="44" t="s">
        <v>208</v>
      </c>
      <c r="Q11" s="45">
        <v>2100</v>
      </c>
    </row>
    <row r="12" spans="16:17">
      <c r="P12" s="44" t="s">
        <v>209</v>
      </c>
      <c r="Q12" s="45">
        <v>1200</v>
      </c>
    </row>
    <row r="13" spans="16:17">
      <c r="P13" s="44" t="s">
        <v>210</v>
      </c>
      <c r="Q13" s="45">
        <v>4500</v>
      </c>
    </row>
    <row r="14" spans="16:17">
      <c r="P14" s="44" t="s">
        <v>211</v>
      </c>
      <c r="Q14" s="45">
        <v>200</v>
      </c>
    </row>
    <row r="15" spans="16:17">
      <c r="P15" s="44" t="s">
        <v>212</v>
      </c>
      <c r="Q15" s="45">
        <v>3700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B591-CC18-4E33-B4F5-407999E90CDF}">
  <dimension ref="J3:O8"/>
  <sheetViews>
    <sheetView topLeftCell="F1" workbookViewId="0">
      <selection activeCell="J3" sqref="J3:O8"/>
    </sheetView>
  </sheetViews>
  <sheetFormatPr defaultRowHeight="15"/>
  <cols>
    <col min="1" max="9" width="9.140625" style="47"/>
    <col min="10" max="10" width="6.42578125" style="47" customWidth="1"/>
    <col min="11" max="11" width="12.42578125" style="47" customWidth="1"/>
    <col min="12" max="12" width="13.140625" style="47" customWidth="1"/>
    <col min="13" max="13" width="13.5703125" style="47" customWidth="1"/>
    <col min="14" max="14" width="30" style="47" customWidth="1"/>
    <col min="15" max="15" width="10.140625" style="47" customWidth="1"/>
    <col min="16" max="16384" width="9.140625" style="47"/>
  </cols>
  <sheetData>
    <row r="3" spans="10:15" ht="20.25" customHeight="1">
      <c r="J3" s="48" t="s">
        <v>119</v>
      </c>
      <c r="K3" s="48" t="s">
        <v>120</v>
      </c>
      <c r="L3" s="48" t="s">
        <v>213</v>
      </c>
      <c r="M3" s="48" t="s">
        <v>214</v>
      </c>
      <c r="N3" s="48" t="s">
        <v>215</v>
      </c>
      <c r="O3" s="48" t="s">
        <v>216</v>
      </c>
    </row>
    <row r="4" spans="10:15" ht="20.25" customHeight="1">
      <c r="J4" s="49">
        <v>1</v>
      </c>
      <c r="K4" s="49" t="s">
        <v>217</v>
      </c>
      <c r="L4" s="49" t="s">
        <v>218</v>
      </c>
      <c r="M4" s="49" t="s">
        <v>219</v>
      </c>
      <c r="N4" s="49"/>
      <c r="O4" s="49">
        <v>100</v>
      </c>
    </row>
    <row r="5" spans="10:15" ht="20.25" customHeight="1">
      <c r="J5" s="49">
        <v>2</v>
      </c>
      <c r="K5" s="49" t="s">
        <v>220</v>
      </c>
      <c r="L5" s="49" t="s">
        <v>221</v>
      </c>
      <c r="M5" s="49" t="s">
        <v>222</v>
      </c>
      <c r="N5" s="49" t="s">
        <v>223</v>
      </c>
      <c r="O5" s="49">
        <v>22</v>
      </c>
    </row>
    <row r="6" spans="10:15" ht="20.25" customHeight="1">
      <c r="J6" s="49">
        <v>3</v>
      </c>
      <c r="K6" s="49" t="s">
        <v>224</v>
      </c>
      <c r="L6" s="49" t="s">
        <v>225</v>
      </c>
      <c r="M6" s="49" t="s">
        <v>226</v>
      </c>
      <c r="N6" s="49" t="s">
        <v>227</v>
      </c>
      <c r="O6" s="49"/>
    </row>
    <row r="7" spans="10:15" ht="20.25" customHeight="1">
      <c r="J7" s="49">
        <v>4</v>
      </c>
      <c r="K7" s="49" t="s">
        <v>228</v>
      </c>
      <c r="L7" s="49" t="s">
        <v>229</v>
      </c>
      <c r="M7" s="49" t="s">
        <v>230</v>
      </c>
      <c r="N7" s="49" t="s">
        <v>231</v>
      </c>
      <c r="O7" s="49"/>
    </row>
    <row r="8" spans="10:15" ht="20.25" customHeight="1">
      <c r="J8" s="49">
        <v>5</v>
      </c>
      <c r="K8" s="49" t="s">
        <v>232</v>
      </c>
      <c r="L8" s="49" t="s">
        <v>233</v>
      </c>
      <c r="M8" s="49" t="s">
        <v>234</v>
      </c>
      <c r="N8" s="49" t="s">
        <v>235</v>
      </c>
      <c r="O8" s="4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77B0-9338-4D44-9A93-E8CB5C1560F6}">
  <dimension ref="P3:Q9"/>
  <sheetViews>
    <sheetView workbookViewId="0">
      <selection activeCell="AA13" sqref="AA13"/>
    </sheetView>
  </sheetViews>
  <sheetFormatPr defaultRowHeight="15"/>
  <cols>
    <col min="16" max="16" width="6.28515625" customWidth="1"/>
    <col min="17" max="17" width="12.85546875" customWidth="1"/>
  </cols>
  <sheetData>
    <row r="3" spans="16:17">
      <c r="P3">
        <v>1</v>
      </c>
      <c r="Q3" t="s">
        <v>236</v>
      </c>
    </row>
    <row r="4" spans="16:17">
      <c r="P4">
        <v>2</v>
      </c>
      <c r="Q4" t="s">
        <v>237</v>
      </c>
    </row>
    <row r="5" spans="16:17">
      <c r="P5">
        <v>3</v>
      </c>
      <c r="Q5" t="s">
        <v>238</v>
      </c>
    </row>
    <row r="6" spans="16:17">
      <c r="P6">
        <v>4</v>
      </c>
      <c r="Q6" t="s">
        <v>239</v>
      </c>
    </row>
    <row r="7" spans="16:17">
      <c r="P7">
        <v>5</v>
      </c>
      <c r="Q7" t="s">
        <v>86</v>
      </c>
    </row>
    <row r="8" spans="16:17">
      <c r="P8">
        <v>6</v>
      </c>
      <c r="Q8" t="s">
        <v>240</v>
      </c>
    </row>
    <row r="9" spans="16:17">
      <c r="P9">
        <v>7</v>
      </c>
      <c r="Q9" t="s">
        <v>241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586E-5D62-4194-B91B-4FDAC84E9FCC}">
  <dimension ref="A1:P2907"/>
  <sheetViews>
    <sheetView workbookViewId="0">
      <pane ySplit="2" topLeftCell="A101" activePane="bottomLeft" state="frozen"/>
      <selection pane="bottomLeft" activeCell="W379" sqref="W379"/>
    </sheetView>
  </sheetViews>
  <sheetFormatPr defaultRowHeight="15"/>
  <cols>
    <col min="1" max="1" width="32.7109375" customWidth="1"/>
    <col min="2" max="2" width="32" customWidth="1"/>
    <col min="3" max="3" width="29" customWidth="1"/>
    <col min="4" max="4" width="24" customWidth="1"/>
    <col min="5" max="5" width="33.5703125" customWidth="1"/>
    <col min="6" max="6" width="30.5703125" customWidth="1"/>
    <col min="7" max="7" width="31.5703125" customWidth="1"/>
    <col min="8" max="8" width="21" customWidth="1"/>
    <col min="13" max="13" width="21.7109375" hidden="1" customWidth="1"/>
    <col min="14" max="14" width="17.28515625" hidden="1" customWidth="1"/>
    <col min="15" max="15" width="26.140625" customWidth="1"/>
  </cols>
  <sheetData>
    <row r="1" spans="1:16">
      <c r="A1" s="51" t="s">
        <v>242</v>
      </c>
      <c r="E1" s="51" t="s">
        <v>243</v>
      </c>
    </row>
    <row r="2" spans="1:16">
      <c r="A2" s="50" t="s">
        <v>244</v>
      </c>
      <c r="B2" s="50" t="s">
        <v>245</v>
      </c>
      <c r="C2" s="50" t="s">
        <v>246</v>
      </c>
      <c r="D2" s="50" t="s">
        <v>247</v>
      </c>
      <c r="E2" s="50" t="s">
        <v>244</v>
      </c>
      <c r="F2" s="50" t="s">
        <v>245</v>
      </c>
      <c r="G2" s="50" t="s">
        <v>246</v>
      </c>
      <c r="H2" s="50" t="s">
        <v>247</v>
      </c>
      <c r="M2" t="s">
        <v>248</v>
      </c>
    </row>
    <row r="3" spans="1:16">
      <c r="A3" s="50" t="s">
        <v>249</v>
      </c>
      <c r="B3" s="50" t="s">
        <v>250</v>
      </c>
      <c r="C3" s="50" t="s">
        <v>251</v>
      </c>
      <c r="D3" s="50">
        <v>41</v>
      </c>
      <c r="E3" s="50" t="s">
        <v>252</v>
      </c>
      <c r="F3" s="50" t="s">
        <v>253</v>
      </c>
      <c r="G3" s="50" t="s">
        <v>254</v>
      </c>
      <c r="H3" s="50">
        <v>22</v>
      </c>
      <c r="M3" t="str">
        <f>IF(COUNTIF($A:$A,E3)=0,"Not Exists","Exists")</f>
        <v>Not Exists</v>
      </c>
      <c r="N3" t="str">
        <f>IF(COUNTIF($A:$B,F3)=0,"Not Exists","Exists")</f>
        <v>Not Exists</v>
      </c>
      <c r="O3" t="str">
        <f>IF(COUNTIF($E:$E,A3)=0,"Not Exists","Exists")</f>
        <v>Exists</v>
      </c>
      <c r="P3" t="str">
        <f>IF(COUNTIF($F:$F,B3)=0,"Not Exists","Exists")</f>
        <v>Exists</v>
      </c>
    </row>
    <row r="4" spans="1:16">
      <c r="A4" s="50" t="s">
        <v>249</v>
      </c>
      <c r="B4" s="50" t="s">
        <v>255</v>
      </c>
      <c r="C4" s="50" t="s">
        <v>256</v>
      </c>
      <c r="D4" s="50">
        <v>50</v>
      </c>
      <c r="E4" s="50" t="s">
        <v>252</v>
      </c>
      <c r="F4" s="50" t="s">
        <v>257</v>
      </c>
      <c r="G4" s="50" t="s">
        <v>254</v>
      </c>
      <c r="H4" s="50">
        <v>22</v>
      </c>
      <c r="M4" t="str">
        <f>IF(COUNTIF($A:$A,E4)=0,"Not Exists","Exists")</f>
        <v>Not Exists</v>
      </c>
      <c r="N4" t="str">
        <f t="shared" ref="N4:N67" si="0">IF(COUNTIF($A:$B,F4)=0,"Not Exists","Exists")</f>
        <v>Not Exists</v>
      </c>
      <c r="O4" t="str">
        <f t="shared" ref="O4:O67" si="1">IF(COUNTIF($E:$E,A4)=0,"Not Exists","Exists")</f>
        <v>Exists</v>
      </c>
      <c r="P4" t="str">
        <f t="shared" ref="P4:P67" si="2">IF(COUNTIF($F:$F,B4)=0,"Not Exists","Exists")</f>
        <v>Exists</v>
      </c>
    </row>
    <row r="5" spans="1:16">
      <c r="A5" s="50" t="s">
        <v>249</v>
      </c>
      <c r="B5" s="50" t="s">
        <v>258</v>
      </c>
      <c r="C5" s="50" t="s">
        <v>251</v>
      </c>
      <c r="D5" s="50">
        <v>17</v>
      </c>
      <c r="E5" s="50" t="s">
        <v>252</v>
      </c>
      <c r="F5" s="50" t="s">
        <v>259</v>
      </c>
      <c r="G5" s="50" t="s">
        <v>256</v>
      </c>
      <c r="H5" s="50">
        <v>1020</v>
      </c>
      <c r="M5" t="str">
        <f>IF(COUNTIF($A:$A,E5)=0,"Not Exists","Exists")</f>
        <v>Not Exists</v>
      </c>
      <c r="N5" t="str">
        <f t="shared" si="0"/>
        <v>Not Exists</v>
      </c>
      <c r="O5" t="str">
        <f t="shared" si="1"/>
        <v>Exists</v>
      </c>
      <c r="P5" t="str">
        <f t="shared" si="2"/>
        <v>Exists</v>
      </c>
    </row>
    <row r="6" spans="1:16">
      <c r="A6" s="50" t="s">
        <v>249</v>
      </c>
      <c r="B6" s="50" t="s">
        <v>260</v>
      </c>
      <c r="C6" s="50" t="s">
        <v>256</v>
      </c>
      <c r="D6" s="50">
        <v>50</v>
      </c>
      <c r="E6" s="50" t="s">
        <v>252</v>
      </c>
      <c r="F6" s="50" t="s">
        <v>261</v>
      </c>
      <c r="G6" s="50" t="s">
        <v>256</v>
      </c>
      <c r="H6" s="50">
        <v>1020</v>
      </c>
      <c r="M6" t="str">
        <f>IF(COUNTIF($A:$A,E6)=0,"Not Exists","Exists")</f>
        <v>Not Exists</v>
      </c>
      <c r="N6" t="str">
        <f t="shared" si="0"/>
        <v>Not Exists</v>
      </c>
      <c r="O6" t="str">
        <f t="shared" si="1"/>
        <v>Exists</v>
      </c>
      <c r="P6" t="str">
        <f t="shared" si="2"/>
        <v>Exists</v>
      </c>
    </row>
    <row r="7" spans="1:16">
      <c r="A7" s="50" t="s">
        <v>249</v>
      </c>
      <c r="B7" s="50" t="s">
        <v>262</v>
      </c>
      <c r="C7" s="50" t="s">
        <v>251</v>
      </c>
      <c r="D7" s="50">
        <v>17</v>
      </c>
      <c r="E7" s="50" t="s">
        <v>252</v>
      </c>
      <c r="F7" s="50" t="s">
        <v>263</v>
      </c>
      <c r="G7" s="50" t="s">
        <v>256</v>
      </c>
      <c r="H7" s="50">
        <v>1020</v>
      </c>
      <c r="M7" t="str">
        <f>IF(COUNTIF($A:$A,E7)=0,"Not Exists","Exists")</f>
        <v>Not Exists</v>
      </c>
      <c r="N7" t="str">
        <f t="shared" si="0"/>
        <v>Not Exists</v>
      </c>
      <c r="O7" t="str">
        <f t="shared" si="1"/>
        <v>Exists</v>
      </c>
      <c r="P7" t="str">
        <f t="shared" si="2"/>
        <v>Exists</v>
      </c>
    </row>
    <row r="8" spans="1:16">
      <c r="A8" s="50" t="s">
        <v>249</v>
      </c>
      <c r="B8" s="50" t="s">
        <v>264</v>
      </c>
      <c r="C8" s="50" t="s">
        <v>256</v>
      </c>
      <c r="D8" s="50">
        <v>50</v>
      </c>
      <c r="E8" s="50" t="s">
        <v>252</v>
      </c>
      <c r="F8" s="50" t="s">
        <v>265</v>
      </c>
      <c r="G8" s="50" t="s">
        <v>256</v>
      </c>
      <c r="H8" s="50">
        <v>1020</v>
      </c>
      <c r="M8" t="str">
        <f>IF(COUNTIF($A:$A,E8)=0,"Not Exists","Exists")</f>
        <v>Not Exists</v>
      </c>
      <c r="N8" t="str">
        <f t="shared" si="0"/>
        <v>Not Exists</v>
      </c>
      <c r="O8" t="str">
        <f t="shared" si="1"/>
        <v>Exists</v>
      </c>
      <c r="P8" t="str">
        <f t="shared" si="2"/>
        <v>Exists</v>
      </c>
    </row>
    <row r="9" spans="1:16">
      <c r="A9" s="50" t="s">
        <v>249</v>
      </c>
      <c r="B9" s="50" t="s">
        <v>266</v>
      </c>
      <c r="C9" s="50" t="s">
        <v>256</v>
      </c>
      <c r="D9" s="50">
        <v>50</v>
      </c>
      <c r="E9" s="50" t="s">
        <v>249</v>
      </c>
      <c r="F9" s="50" t="s">
        <v>250</v>
      </c>
      <c r="G9" s="50" t="s">
        <v>251</v>
      </c>
      <c r="H9" s="50">
        <v>41</v>
      </c>
      <c r="M9" t="str">
        <f>IF(COUNTIF($A:$A,E9)=0,"Not Exists","Exists")</f>
        <v>Exists</v>
      </c>
      <c r="N9" t="str">
        <f t="shared" si="0"/>
        <v>Exists</v>
      </c>
      <c r="O9" t="str">
        <f t="shared" si="1"/>
        <v>Exists</v>
      </c>
      <c r="P9" t="str">
        <f t="shared" si="2"/>
        <v>Exists</v>
      </c>
    </row>
    <row r="10" spans="1:16">
      <c r="A10" s="50" t="s">
        <v>249</v>
      </c>
      <c r="B10" s="50" t="s">
        <v>267</v>
      </c>
      <c r="C10" s="50" t="s">
        <v>256</v>
      </c>
      <c r="D10" s="50">
        <v>50</v>
      </c>
      <c r="E10" s="50" t="s">
        <v>249</v>
      </c>
      <c r="F10" s="50" t="s">
        <v>255</v>
      </c>
      <c r="G10" s="50" t="s">
        <v>256</v>
      </c>
      <c r="H10" s="50">
        <v>50</v>
      </c>
      <c r="M10" t="str">
        <f>IF(COUNTIF($A:$A,E10)=0,"Not Exists","Exists")</f>
        <v>Exists</v>
      </c>
      <c r="N10" t="str">
        <f t="shared" si="0"/>
        <v>Exists</v>
      </c>
      <c r="O10" t="str">
        <f t="shared" si="1"/>
        <v>Exists</v>
      </c>
      <c r="P10" t="str">
        <f t="shared" si="2"/>
        <v>Exists</v>
      </c>
    </row>
    <row r="11" spans="1:16">
      <c r="A11" s="50" t="s">
        <v>249</v>
      </c>
      <c r="B11" s="50" t="s">
        <v>268</v>
      </c>
      <c r="C11" s="50" t="s">
        <v>256</v>
      </c>
      <c r="D11" s="50">
        <v>17</v>
      </c>
      <c r="E11" s="50" t="s">
        <v>249</v>
      </c>
      <c r="F11" s="50" t="s">
        <v>266</v>
      </c>
      <c r="G11" s="50" t="s">
        <v>256</v>
      </c>
      <c r="H11" s="50">
        <v>50</v>
      </c>
      <c r="M11" t="str">
        <f>IF(COUNTIF($A:$A,E11)=0,"Not Exists","Exists")</f>
        <v>Exists</v>
      </c>
      <c r="N11" t="str">
        <f t="shared" si="0"/>
        <v>Exists</v>
      </c>
      <c r="O11" t="str">
        <f t="shared" si="1"/>
        <v>Exists</v>
      </c>
      <c r="P11" t="str">
        <f t="shared" si="2"/>
        <v>Exists</v>
      </c>
    </row>
    <row r="12" spans="1:16">
      <c r="A12" s="50" t="s">
        <v>249</v>
      </c>
      <c r="B12" s="50" t="s">
        <v>269</v>
      </c>
      <c r="C12" s="50" t="s">
        <v>256</v>
      </c>
      <c r="D12" s="50">
        <v>50</v>
      </c>
      <c r="E12" s="50" t="s">
        <v>249</v>
      </c>
      <c r="F12" s="50" t="s">
        <v>267</v>
      </c>
      <c r="G12" s="50" t="s">
        <v>256</v>
      </c>
      <c r="H12" s="50">
        <v>50</v>
      </c>
      <c r="M12" t="str">
        <f>IF(COUNTIF($A:$A,E12)=0,"Not Exists","Exists")</f>
        <v>Exists</v>
      </c>
      <c r="N12" t="str">
        <f t="shared" si="0"/>
        <v>Exists</v>
      </c>
      <c r="O12" t="str">
        <f t="shared" si="1"/>
        <v>Exists</v>
      </c>
      <c r="P12" t="str">
        <f t="shared" si="2"/>
        <v>Exists</v>
      </c>
    </row>
    <row r="13" spans="1:16">
      <c r="A13" s="50" t="s">
        <v>249</v>
      </c>
      <c r="B13" s="50" t="s">
        <v>270</v>
      </c>
      <c r="C13" s="50" t="s">
        <v>256</v>
      </c>
      <c r="D13" s="50">
        <v>50</v>
      </c>
      <c r="E13" s="50" t="s">
        <v>249</v>
      </c>
      <c r="F13" s="50" t="s">
        <v>268</v>
      </c>
      <c r="G13" s="50" t="s">
        <v>256</v>
      </c>
      <c r="H13" s="50">
        <v>17</v>
      </c>
      <c r="M13" t="str">
        <f>IF(COUNTIF($A:$A,E13)=0,"Not Exists","Exists")</f>
        <v>Exists</v>
      </c>
      <c r="N13" t="str">
        <f t="shared" si="0"/>
        <v>Exists</v>
      </c>
      <c r="O13" t="str">
        <f t="shared" si="1"/>
        <v>Exists</v>
      </c>
      <c r="P13" t="str">
        <f t="shared" si="2"/>
        <v>Exists</v>
      </c>
    </row>
    <row r="14" spans="1:16">
      <c r="A14" s="50" t="s">
        <v>249</v>
      </c>
      <c r="B14" s="50" t="s">
        <v>271</v>
      </c>
      <c r="C14" s="50" t="s">
        <v>256</v>
      </c>
      <c r="D14" s="50">
        <v>50</v>
      </c>
      <c r="E14" s="50" t="s">
        <v>249</v>
      </c>
      <c r="F14" s="50" t="s">
        <v>269</v>
      </c>
      <c r="G14" s="50" t="s">
        <v>256</v>
      </c>
      <c r="H14" s="50">
        <v>50</v>
      </c>
      <c r="M14" t="str">
        <f>IF(COUNTIF($A:$A,E14)=0,"Not Exists","Exists")</f>
        <v>Exists</v>
      </c>
      <c r="N14" t="str">
        <f t="shared" si="0"/>
        <v>Exists</v>
      </c>
      <c r="O14" t="str">
        <f t="shared" si="1"/>
        <v>Exists</v>
      </c>
      <c r="P14" t="str">
        <f t="shared" si="2"/>
        <v>Exists</v>
      </c>
    </row>
    <row r="15" spans="1:16">
      <c r="A15" s="50" t="s">
        <v>249</v>
      </c>
      <c r="B15" s="50" t="s">
        <v>272</v>
      </c>
      <c r="C15" s="50" t="s">
        <v>256</v>
      </c>
      <c r="D15" s="50">
        <v>50</v>
      </c>
      <c r="E15" s="50" t="s">
        <v>249</v>
      </c>
      <c r="F15" s="50" t="s">
        <v>270</v>
      </c>
      <c r="G15" s="50" t="s">
        <v>256</v>
      </c>
      <c r="H15" s="50">
        <v>50</v>
      </c>
      <c r="M15" t="str">
        <f>IF(COUNTIF($A:$A,E15)=0,"Not Exists","Exists")</f>
        <v>Exists</v>
      </c>
      <c r="N15" t="str">
        <f t="shared" si="0"/>
        <v>Exists</v>
      </c>
      <c r="O15" t="str">
        <f t="shared" si="1"/>
        <v>Exists</v>
      </c>
      <c r="P15" t="str">
        <f t="shared" si="2"/>
        <v>Exists</v>
      </c>
    </row>
    <row r="16" spans="1:16">
      <c r="A16" s="50" t="s">
        <v>249</v>
      </c>
      <c r="B16" s="50" t="s">
        <v>273</v>
      </c>
      <c r="C16" s="50" t="s">
        <v>256</v>
      </c>
      <c r="D16" s="50">
        <v>50</v>
      </c>
      <c r="E16" s="50" t="s">
        <v>249</v>
      </c>
      <c r="F16" s="50" t="s">
        <v>271</v>
      </c>
      <c r="G16" s="50" t="s">
        <v>256</v>
      </c>
      <c r="H16" s="50">
        <v>50</v>
      </c>
      <c r="M16" t="str">
        <f>IF(COUNTIF($A:$A,E16)=0,"Not Exists","Exists")</f>
        <v>Exists</v>
      </c>
      <c r="N16" t="str">
        <f t="shared" si="0"/>
        <v>Exists</v>
      </c>
      <c r="O16" t="str">
        <f t="shared" si="1"/>
        <v>Exists</v>
      </c>
      <c r="P16" t="str">
        <f t="shared" si="2"/>
        <v>Exists</v>
      </c>
    </row>
    <row r="17" spans="1:16">
      <c r="A17" s="50" t="s">
        <v>249</v>
      </c>
      <c r="B17" s="50" t="s">
        <v>274</v>
      </c>
      <c r="C17" s="50" t="s">
        <v>256</v>
      </c>
      <c r="D17" s="50">
        <v>64</v>
      </c>
      <c r="E17" s="50" t="s">
        <v>249</v>
      </c>
      <c r="F17" s="50" t="s">
        <v>273</v>
      </c>
      <c r="G17" s="50" t="s">
        <v>256</v>
      </c>
      <c r="H17" s="50">
        <v>50</v>
      </c>
      <c r="M17" t="str">
        <f>IF(COUNTIF($A:$A,E17)=0,"Not Exists","Exists")</f>
        <v>Exists</v>
      </c>
      <c r="N17" t="str">
        <f t="shared" si="0"/>
        <v>Exists</v>
      </c>
      <c r="O17" t="str">
        <f t="shared" si="1"/>
        <v>Exists</v>
      </c>
      <c r="P17" t="str">
        <f t="shared" si="2"/>
        <v>Exists</v>
      </c>
    </row>
    <row r="18" spans="1:16">
      <c r="A18" s="50" t="s">
        <v>249</v>
      </c>
      <c r="B18" s="50" t="s">
        <v>275</v>
      </c>
      <c r="C18" s="50" t="s">
        <v>256</v>
      </c>
      <c r="D18" s="50">
        <v>450</v>
      </c>
      <c r="E18" s="50" t="s">
        <v>249</v>
      </c>
      <c r="F18" s="50" t="s">
        <v>274</v>
      </c>
      <c r="G18" s="50" t="s">
        <v>256</v>
      </c>
      <c r="H18" s="50">
        <v>64</v>
      </c>
      <c r="M18" t="str">
        <f>IF(COUNTIF($A:$A,E18)=0,"Not Exists","Exists")</f>
        <v>Exists</v>
      </c>
      <c r="N18" t="str">
        <f t="shared" si="0"/>
        <v>Exists</v>
      </c>
      <c r="O18" t="str">
        <f t="shared" si="1"/>
        <v>Exists</v>
      </c>
      <c r="P18" t="str">
        <f t="shared" si="2"/>
        <v>Exists</v>
      </c>
    </row>
    <row r="19" spans="1:16">
      <c r="A19" s="50" t="s">
        <v>249</v>
      </c>
      <c r="B19" s="50" t="s">
        <v>276</v>
      </c>
      <c r="C19" s="50" t="s">
        <v>256</v>
      </c>
      <c r="D19" s="50">
        <v>450</v>
      </c>
      <c r="E19" s="50" t="s">
        <v>249</v>
      </c>
      <c r="F19" s="50" t="s">
        <v>275</v>
      </c>
      <c r="G19" s="50" t="s">
        <v>256</v>
      </c>
      <c r="H19" s="50">
        <v>450</v>
      </c>
      <c r="M19" t="str">
        <f>IF(COUNTIF($A:$A,E19)=0,"Not Exists","Exists")</f>
        <v>Exists</v>
      </c>
      <c r="N19" t="str">
        <f t="shared" si="0"/>
        <v>Exists</v>
      </c>
      <c r="O19" t="str">
        <f t="shared" si="1"/>
        <v>Exists</v>
      </c>
      <c r="P19" t="str">
        <f t="shared" si="2"/>
        <v>Exists</v>
      </c>
    </row>
    <row r="20" spans="1:16">
      <c r="A20" s="50" t="s">
        <v>249</v>
      </c>
      <c r="B20" s="50" t="s">
        <v>277</v>
      </c>
      <c r="C20" s="50" t="s">
        <v>256</v>
      </c>
      <c r="D20" s="50">
        <v>450</v>
      </c>
      <c r="E20" s="50" t="s">
        <v>249</v>
      </c>
      <c r="F20" s="50" t="s">
        <v>276</v>
      </c>
      <c r="G20" s="50" t="s">
        <v>256</v>
      </c>
      <c r="H20" s="50">
        <v>450</v>
      </c>
      <c r="M20" t="str">
        <f>IF(COUNTIF($A:$A,E20)=0,"Not Exists","Exists")</f>
        <v>Exists</v>
      </c>
      <c r="N20" t="str">
        <f t="shared" si="0"/>
        <v>Exists</v>
      </c>
      <c r="O20" t="str">
        <f t="shared" si="1"/>
        <v>Exists</v>
      </c>
      <c r="P20" t="str">
        <f t="shared" si="2"/>
        <v>Exists</v>
      </c>
    </row>
    <row r="21" spans="1:16">
      <c r="A21" s="50" t="s">
        <v>249</v>
      </c>
      <c r="B21" s="50" t="s">
        <v>278</v>
      </c>
      <c r="C21" s="50" t="s">
        <v>256</v>
      </c>
      <c r="D21" s="50">
        <v>13</v>
      </c>
      <c r="E21" s="50" t="s">
        <v>249</v>
      </c>
      <c r="F21" s="50" t="s">
        <v>277</v>
      </c>
      <c r="G21" s="50" t="s">
        <v>256</v>
      </c>
      <c r="H21" s="50">
        <v>450</v>
      </c>
      <c r="M21" t="str">
        <f>IF(COUNTIF($A:$A,E21)=0,"Not Exists","Exists")</f>
        <v>Exists</v>
      </c>
      <c r="N21" t="str">
        <f t="shared" si="0"/>
        <v>Exists</v>
      </c>
      <c r="O21" t="str">
        <f t="shared" si="1"/>
        <v>Exists</v>
      </c>
      <c r="P21" t="str">
        <f t="shared" si="2"/>
        <v>Exists</v>
      </c>
    </row>
    <row r="22" spans="1:16">
      <c r="A22" s="50" t="s">
        <v>249</v>
      </c>
      <c r="B22" s="50" t="s">
        <v>279</v>
      </c>
      <c r="C22" s="50" t="s">
        <v>256</v>
      </c>
      <c r="D22" s="50">
        <v>13</v>
      </c>
      <c r="E22" s="50" t="s">
        <v>249</v>
      </c>
      <c r="F22" s="50" t="s">
        <v>278</v>
      </c>
      <c r="G22" s="50" t="s">
        <v>256</v>
      </c>
      <c r="H22" s="50">
        <v>13</v>
      </c>
      <c r="M22" t="str">
        <f>IF(COUNTIF($A:$A,E22)=0,"Not Exists","Exists")</f>
        <v>Exists</v>
      </c>
      <c r="N22" t="str">
        <f t="shared" si="0"/>
        <v>Exists</v>
      </c>
      <c r="O22" t="str">
        <f t="shared" si="1"/>
        <v>Exists</v>
      </c>
      <c r="P22" t="str">
        <f t="shared" si="2"/>
        <v>Exists</v>
      </c>
    </row>
    <row r="23" spans="1:16">
      <c r="A23" s="50" t="s">
        <v>249</v>
      </c>
      <c r="B23" s="50" t="s">
        <v>280</v>
      </c>
      <c r="C23" s="50" t="s">
        <v>256</v>
      </c>
      <c r="D23" s="50">
        <v>50</v>
      </c>
      <c r="E23" s="50" t="s">
        <v>249</v>
      </c>
      <c r="F23" s="50" t="s">
        <v>279</v>
      </c>
      <c r="G23" s="50" t="s">
        <v>256</v>
      </c>
      <c r="H23" s="50">
        <v>13</v>
      </c>
      <c r="M23" t="str">
        <f>IF(COUNTIF($A:$A,E23)=0,"Not Exists","Exists")</f>
        <v>Exists</v>
      </c>
      <c r="N23" t="str">
        <f t="shared" si="0"/>
        <v>Exists</v>
      </c>
      <c r="O23" t="str">
        <f t="shared" si="1"/>
        <v>Exists</v>
      </c>
      <c r="P23" t="str">
        <f t="shared" si="2"/>
        <v>Exists</v>
      </c>
    </row>
    <row r="24" spans="1:16">
      <c r="A24" s="50" t="s">
        <v>281</v>
      </c>
      <c r="B24" s="50" t="s">
        <v>250</v>
      </c>
      <c r="C24" s="50" t="s">
        <v>251</v>
      </c>
      <c r="D24" s="50">
        <v>41</v>
      </c>
      <c r="E24" s="50" t="s">
        <v>249</v>
      </c>
      <c r="F24" s="50" t="s">
        <v>280</v>
      </c>
      <c r="G24" s="50" t="s">
        <v>256</v>
      </c>
      <c r="H24" s="50">
        <v>50</v>
      </c>
      <c r="M24" t="str">
        <f>IF(COUNTIF($A:$A,E24)=0,"Not Exists","Exists")</f>
        <v>Exists</v>
      </c>
      <c r="N24" t="str">
        <f t="shared" si="0"/>
        <v>Exists</v>
      </c>
      <c r="O24" t="str">
        <f t="shared" si="1"/>
        <v>Exists</v>
      </c>
      <c r="P24" t="str">
        <f t="shared" si="2"/>
        <v>Exists</v>
      </c>
    </row>
    <row r="25" spans="1:16">
      <c r="A25" s="50" t="s">
        <v>281</v>
      </c>
      <c r="B25" s="50" t="s">
        <v>255</v>
      </c>
      <c r="C25" s="50" t="s">
        <v>256</v>
      </c>
      <c r="D25" s="50">
        <v>50</v>
      </c>
      <c r="E25" s="50" t="s">
        <v>249</v>
      </c>
      <c r="F25" s="50" t="s">
        <v>258</v>
      </c>
      <c r="G25" s="50" t="s">
        <v>251</v>
      </c>
      <c r="H25" s="50">
        <v>17</v>
      </c>
      <c r="M25" t="str">
        <f>IF(COUNTIF($A:$A,E25)=0,"Not Exists","Exists")</f>
        <v>Exists</v>
      </c>
      <c r="N25" t="str">
        <f t="shared" si="0"/>
        <v>Exists</v>
      </c>
      <c r="O25" t="str">
        <f t="shared" si="1"/>
        <v>Exists</v>
      </c>
      <c r="P25" t="str">
        <f t="shared" si="2"/>
        <v>Exists</v>
      </c>
    </row>
    <row r="26" spans="1:16">
      <c r="A26" s="50" t="s">
        <v>281</v>
      </c>
      <c r="B26" s="50" t="s">
        <v>258</v>
      </c>
      <c r="C26" s="50" t="s">
        <v>251</v>
      </c>
      <c r="D26" s="50">
        <v>17</v>
      </c>
      <c r="E26" s="50" t="s">
        <v>249</v>
      </c>
      <c r="F26" s="50" t="s">
        <v>260</v>
      </c>
      <c r="G26" s="50" t="s">
        <v>256</v>
      </c>
      <c r="H26" s="50">
        <v>50</v>
      </c>
      <c r="M26" t="str">
        <f>IF(COUNTIF($A:$A,E26)=0,"Not Exists","Exists")</f>
        <v>Exists</v>
      </c>
      <c r="N26" t="str">
        <f t="shared" si="0"/>
        <v>Exists</v>
      </c>
      <c r="O26" t="str">
        <f t="shared" si="1"/>
        <v>Exists</v>
      </c>
      <c r="P26" t="str">
        <f t="shared" si="2"/>
        <v>Exists</v>
      </c>
    </row>
    <row r="27" spans="1:16">
      <c r="A27" s="50" t="s">
        <v>281</v>
      </c>
      <c r="B27" s="50" t="s">
        <v>260</v>
      </c>
      <c r="C27" s="50" t="s">
        <v>256</v>
      </c>
      <c r="D27" s="50">
        <v>50</v>
      </c>
      <c r="E27" s="50" t="s">
        <v>249</v>
      </c>
      <c r="F27" s="50" t="s">
        <v>262</v>
      </c>
      <c r="G27" s="50" t="s">
        <v>251</v>
      </c>
      <c r="H27" s="50">
        <v>17</v>
      </c>
      <c r="M27" t="str">
        <f>IF(COUNTIF($A:$A,E27)=0,"Not Exists","Exists")</f>
        <v>Exists</v>
      </c>
      <c r="N27" t="str">
        <f t="shared" si="0"/>
        <v>Exists</v>
      </c>
      <c r="O27" t="str">
        <f t="shared" si="1"/>
        <v>Exists</v>
      </c>
      <c r="P27" t="str">
        <f t="shared" si="2"/>
        <v>Exists</v>
      </c>
    </row>
    <row r="28" spans="1:16">
      <c r="A28" s="50" t="s">
        <v>281</v>
      </c>
      <c r="B28" s="50" t="s">
        <v>262</v>
      </c>
      <c r="C28" s="50" t="s">
        <v>251</v>
      </c>
      <c r="D28" s="50">
        <v>17</v>
      </c>
      <c r="E28" s="50" t="s">
        <v>249</v>
      </c>
      <c r="F28" s="50" t="s">
        <v>264</v>
      </c>
      <c r="G28" s="50" t="s">
        <v>256</v>
      </c>
      <c r="H28" s="50">
        <v>50</v>
      </c>
      <c r="M28" t="str">
        <f>IF(COUNTIF($A:$A,E28)=0,"Not Exists","Exists")</f>
        <v>Exists</v>
      </c>
      <c r="N28" t="str">
        <f t="shared" si="0"/>
        <v>Exists</v>
      </c>
      <c r="O28" t="str">
        <f t="shared" si="1"/>
        <v>Exists</v>
      </c>
      <c r="P28" t="str">
        <f t="shared" si="2"/>
        <v>Exists</v>
      </c>
    </row>
    <row r="29" spans="1:16">
      <c r="A29" s="50" t="s">
        <v>281</v>
      </c>
      <c r="B29" s="50" t="s">
        <v>264</v>
      </c>
      <c r="C29" s="50" t="s">
        <v>256</v>
      </c>
      <c r="D29" s="50">
        <v>50</v>
      </c>
      <c r="E29" s="50" t="s">
        <v>249</v>
      </c>
      <c r="F29" s="50" t="s">
        <v>272</v>
      </c>
      <c r="G29" s="50" t="s">
        <v>256</v>
      </c>
      <c r="H29" s="50">
        <v>100</v>
      </c>
      <c r="M29" t="str">
        <f>IF(COUNTIF($A:$A,E29)=0,"Not Exists","Exists")</f>
        <v>Exists</v>
      </c>
      <c r="N29" t="str">
        <f t="shared" si="0"/>
        <v>Exists</v>
      </c>
      <c r="O29" t="str">
        <f t="shared" si="1"/>
        <v>Exists</v>
      </c>
      <c r="P29" t="str">
        <f t="shared" si="2"/>
        <v>Exists</v>
      </c>
    </row>
    <row r="30" spans="1:16">
      <c r="A30" s="50" t="s">
        <v>281</v>
      </c>
      <c r="B30" s="50" t="s">
        <v>266</v>
      </c>
      <c r="C30" s="50" t="s">
        <v>256</v>
      </c>
      <c r="D30" s="50">
        <v>50</v>
      </c>
      <c r="E30" s="50" t="s">
        <v>281</v>
      </c>
      <c r="F30" s="50" t="s">
        <v>250</v>
      </c>
      <c r="G30" s="50" t="s">
        <v>251</v>
      </c>
      <c r="H30" s="50">
        <v>41</v>
      </c>
      <c r="M30" t="str">
        <f>IF(COUNTIF($A:$A,E30)=0,"Not Exists","Exists")</f>
        <v>Exists</v>
      </c>
      <c r="N30" t="str">
        <f t="shared" si="0"/>
        <v>Exists</v>
      </c>
      <c r="O30" t="str">
        <f t="shared" si="1"/>
        <v>Exists</v>
      </c>
      <c r="P30" t="str">
        <f t="shared" si="2"/>
        <v>Exists</v>
      </c>
    </row>
    <row r="31" spans="1:16">
      <c r="A31" s="50" t="s">
        <v>281</v>
      </c>
      <c r="B31" s="50" t="s">
        <v>267</v>
      </c>
      <c r="C31" s="50" t="s">
        <v>256</v>
      </c>
      <c r="D31" s="50">
        <v>50</v>
      </c>
      <c r="E31" s="50" t="s">
        <v>281</v>
      </c>
      <c r="F31" s="50" t="s">
        <v>255</v>
      </c>
      <c r="G31" s="50" t="s">
        <v>256</v>
      </c>
      <c r="H31" s="50">
        <v>50</v>
      </c>
      <c r="M31" t="str">
        <f>IF(COUNTIF($A:$A,E31)=0,"Not Exists","Exists")</f>
        <v>Exists</v>
      </c>
      <c r="N31" t="str">
        <f t="shared" si="0"/>
        <v>Exists</v>
      </c>
      <c r="O31" t="str">
        <f t="shared" si="1"/>
        <v>Exists</v>
      </c>
      <c r="P31" t="str">
        <f t="shared" si="2"/>
        <v>Exists</v>
      </c>
    </row>
    <row r="32" spans="1:16">
      <c r="A32" s="50" t="s">
        <v>281</v>
      </c>
      <c r="B32" s="50" t="s">
        <v>268</v>
      </c>
      <c r="C32" s="50" t="s">
        <v>256</v>
      </c>
      <c r="D32" s="50">
        <v>17</v>
      </c>
      <c r="E32" s="50" t="s">
        <v>281</v>
      </c>
      <c r="F32" s="50" t="s">
        <v>266</v>
      </c>
      <c r="G32" s="50" t="s">
        <v>256</v>
      </c>
      <c r="H32" s="50">
        <v>50</v>
      </c>
      <c r="M32" t="str">
        <f>IF(COUNTIF($A:$A,E32)=0,"Not Exists","Exists")</f>
        <v>Exists</v>
      </c>
      <c r="N32" t="str">
        <f t="shared" si="0"/>
        <v>Exists</v>
      </c>
      <c r="O32" t="str">
        <f t="shared" si="1"/>
        <v>Exists</v>
      </c>
      <c r="P32" t="str">
        <f t="shared" si="2"/>
        <v>Exists</v>
      </c>
    </row>
    <row r="33" spans="1:16">
      <c r="A33" s="50" t="s">
        <v>281</v>
      </c>
      <c r="B33" s="50" t="s">
        <v>269</v>
      </c>
      <c r="C33" s="50" t="s">
        <v>256</v>
      </c>
      <c r="D33" s="50">
        <v>50</v>
      </c>
      <c r="E33" s="50" t="s">
        <v>281</v>
      </c>
      <c r="F33" s="50" t="s">
        <v>267</v>
      </c>
      <c r="G33" s="50" t="s">
        <v>256</v>
      </c>
      <c r="H33" s="50">
        <v>50</v>
      </c>
      <c r="M33" t="str">
        <f>IF(COUNTIF($A:$A,E33)=0,"Not Exists","Exists")</f>
        <v>Exists</v>
      </c>
      <c r="N33" t="str">
        <f t="shared" si="0"/>
        <v>Exists</v>
      </c>
      <c r="O33" t="str">
        <f t="shared" si="1"/>
        <v>Exists</v>
      </c>
      <c r="P33" t="str">
        <f t="shared" si="2"/>
        <v>Exists</v>
      </c>
    </row>
    <row r="34" spans="1:16">
      <c r="A34" s="50" t="s">
        <v>281</v>
      </c>
      <c r="B34" s="50" t="s">
        <v>270</v>
      </c>
      <c r="C34" s="50" t="s">
        <v>256</v>
      </c>
      <c r="D34" s="50">
        <v>50</v>
      </c>
      <c r="E34" s="50" t="s">
        <v>281</v>
      </c>
      <c r="F34" s="50" t="s">
        <v>268</v>
      </c>
      <c r="G34" s="50" t="s">
        <v>256</v>
      </c>
      <c r="H34" s="50">
        <v>17</v>
      </c>
      <c r="M34" t="str">
        <f>IF(COUNTIF($A:$A,E34)=0,"Not Exists","Exists")</f>
        <v>Exists</v>
      </c>
      <c r="N34" t="str">
        <f t="shared" si="0"/>
        <v>Exists</v>
      </c>
      <c r="O34" t="str">
        <f t="shared" si="1"/>
        <v>Exists</v>
      </c>
      <c r="P34" t="str">
        <f t="shared" si="2"/>
        <v>Exists</v>
      </c>
    </row>
    <row r="35" spans="1:16">
      <c r="A35" s="50" t="s">
        <v>281</v>
      </c>
      <c r="B35" s="50" t="s">
        <v>271</v>
      </c>
      <c r="C35" s="50" t="s">
        <v>256</v>
      </c>
      <c r="D35" s="50">
        <v>50</v>
      </c>
      <c r="E35" s="50" t="s">
        <v>281</v>
      </c>
      <c r="F35" s="50" t="s">
        <v>269</v>
      </c>
      <c r="G35" s="50" t="s">
        <v>256</v>
      </c>
      <c r="H35" s="50">
        <v>50</v>
      </c>
      <c r="M35" t="str">
        <f>IF(COUNTIF($A:$A,E35)=0,"Not Exists","Exists")</f>
        <v>Exists</v>
      </c>
      <c r="N35" t="str">
        <f t="shared" si="0"/>
        <v>Exists</v>
      </c>
      <c r="O35" t="str">
        <f t="shared" si="1"/>
        <v>Exists</v>
      </c>
      <c r="P35" t="str">
        <f t="shared" si="2"/>
        <v>Exists</v>
      </c>
    </row>
    <row r="36" spans="1:16">
      <c r="A36" s="50" t="s">
        <v>281</v>
      </c>
      <c r="B36" s="50" t="s">
        <v>272</v>
      </c>
      <c r="C36" s="50" t="s">
        <v>256</v>
      </c>
      <c r="D36" s="50">
        <v>50</v>
      </c>
      <c r="E36" s="50" t="s">
        <v>281</v>
      </c>
      <c r="F36" s="50" t="s">
        <v>270</v>
      </c>
      <c r="G36" s="50" t="s">
        <v>256</v>
      </c>
      <c r="H36" s="50">
        <v>50</v>
      </c>
      <c r="M36" t="str">
        <f>IF(COUNTIF($A:$A,E36)=0,"Not Exists","Exists")</f>
        <v>Exists</v>
      </c>
      <c r="N36" t="str">
        <f t="shared" si="0"/>
        <v>Exists</v>
      </c>
      <c r="O36" t="str">
        <f t="shared" si="1"/>
        <v>Exists</v>
      </c>
      <c r="P36" t="str">
        <f t="shared" si="2"/>
        <v>Exists</v>
      </c>
    </row>
    <row r="37" spans="1:16">
      <c r="A37" s="50" t="s">
        <v>281</v>
      </c>
      <c r="B37" s="50" t="s">
        <v>282</v>
      </c>
      <c r="C37" s="50" t="s">
        <v>256</v>
      </c>
      <c r="D37" s="50">
        <v>3000</v>
      </c>
      <c r="E37" s="50" t="s">
        <v>281</v>
      </c>
      <c r="F37" s="50" t="s">
        <v>271</v>
      </c>
      <c r="G37" s="50" t="s">
        <v>256</v>
      </c>
      <c r="H37" s="50">
        <v>50</v>
      </c>
      <c r="M37" t="str">
        <f>IF(COUNTIF($A:$A,E37)=0,"Not Exists","Exists")</f>
        <v>Exists</v>
      </c>
      <c r="N37" t="str">
        <f t="shared" si="0"/>
        <v>Exists</v>
      </c>
      <c r="O37" t="str">
        <f t="shared" si="1"/>
        <v>Exists</v>
      </c>
      <c r="P37" t="str">
        <f t="shared" si="2"/>
        <v>Exists</v>
      </c>
    </row>
    <row r="38" spans="1:16">
      <c r="A38" s="50" t="s">
        <v>281</v>
      </c>
      <c r="B38" s="50" t="s">
        <v>283</v>
      </c>
      <c r="C38" s="50" t="s">
        <v>256</v>
      </c>
      <c r="D38" s="50">
        <v>450</v>
      </c>
      <c r="E38" s="50" t="s">
        <v>281</v>
      </c>
      <c r="F38" s="50" t="s">
        <v>282</v>
      </c>
      <c r="G38" s="50" t="s">
        <v>256</v>
      </c>
      <c r="H38" s="50">
        <v>3000</v>
      </c>
      <c r="M38" t="str">
        <f>IF(COUNTIF($A:$A,E38)=0,"Not Exists","Exists")</f>
        <v>Exists</v>
      </c>
      <c r="N38" t="str">
        <f t="shared" si="0"/>
        <v>Exists</v>
      </c>
      <c r="O38" t="str">
        <f t="shared" si="1"/>
        <v>Exists</v>
      </c>
      <c r="P38" t="str">
        <f t="shared" si="2"/>
        <v>Exists</v>
      </c>
    </row>
    <row r="39" spans="1:16">
      <c r="A39" s="50" t="s">
        <v>281</v>
      </c>
      <c r="B39" s="50" t="s">
        <v>284</v>
      </c>
      <c r="C39" s="50" t="s">
        <v>256</v>
      </c>
      <c r="D39" s="50">
        <v>3000</v>
      </c>
      <c r="E39" s="50" t="s">
        <v>281</v>
      </c>
      <c r="F39" s="50" t="s">
        <v>283</v>
      </c>
      <c r="G39" s="50" t="s">
        <v>256</v>
      </c>
      <c r="H39" s="50">
        <v>450</v>
      </c>
      <c r="M39" t="str">
        <f>IF(COUNTIF($A:$A,E39)=0,"Not Exists","Exists")</f>
        <v>Exists</v>
      </c>
      <c r="N39" t="str">
        <f t="shared" si="0"/>
        <v>Exists</v>
      </c>
      <c r="O39" t="str">
        <f t="shared" si="1"/>
        <v>Exists</v>
      </c>
      <c r="P39" t="str">
        <f t="shared" si="2"/>
        <v>Exists</v>
      </c>
    </row>
    <row r="40" spans="1:16">
      <c r="A40" s="50" t="s">
        <v>281</v>
      </c>
      <c r="B40" s="50" t="s">
        <v>285</v>
      </c>
      <c r="C40" s="50" t="s">
        <v>256</v>
      </c>
      <c r="D40" s="50">
        <v>50</v>
      </c>
      <c r="E40" s="50" t="s">
        <v>281</v>
      </c>
      <c r="F40" s="50" t="s">
        <v>284</v>
      </c>
      <c r="G40" s="50" t="s">
        <v>256</v>
      </c>
      <c r="H40" s="50">
        <v>3000</v>
      </c>
      <c r="M40" t="str">
        <f>IF(COUNTIF($A:$A,E40)=0,"Not Exists","Exists")</f>
        <v>Exists</v>
      </c>
      <c r="N40" t="str">
        <f t="shared" si="0"/>
        <v>Exists</v>
      </c>
      <c r="O40" t="str">
        <f t="shared" si="1"/>
        <v>Exists</v>
      </c>
      <c r="P40" t="str">
        <f t="shared" si="2"/>
        <v>Exists</v>
      </c>
    </row>
    <row r="41" spans="1:16">
      <c r="A41" s="50" t="s">
        <v>281</v>
      </c>
      <c r="B41" s="50" t="s">
        <v>286</v>
      </c>
      <c r="C41" s="50" t="s">
        <v>256</v>
      </c>
      <c r="D41" s="50">
        <v>50</v>
      </c>
      <c r="E41" s="50" t="s">
        <v>281</v>
      </c>
      <c r="F41" s="50" t="s">
        <v>285</v>
      </c>
      <c r="G41" s="50" t="s">
        <v>256</v>
      </c>
      <c r="H41" s="50">
        <v>50</v>
      </c>
      <c r="M41" t="str">
        <f>IF(COUNTIF($A:$A,E41)=0,"Not Exists","Exists")</f>
        <v>Exists</v>
      </c>
      <c r="N41" t="str">
        <f t="shared" si="0"/>
        <v>Exists</v>
      </c>
      <c r="O41" t="str">
        <f t="shared" si="1"/>
        <v>Exists</v>
      </c>
      <c r="P41" t="str">
        <f t="shared" si="2"/>
        <v>Exists</v>
      </c>
    </row>
    <row r="42" spans="1:16">
      <c r="A42" s="50" t="s">
        <v>287</v>
      </c>
      <c r="B42" s="50" t="s">
        <v>250</v>
      </c>
      <c r="C42" s="50" t="s">
        <v>251</v>
      </c>
      <c r="D42" s="50">
        <v>41</v>
      </c>
      <c r="E42" s="50" t="s">
        <v>281</v>
      </c>
      <c r="F42" s="50" t="s">
        <v>286</v>
      </c>
      <c r="G42" s="50" t="s">
        <v>256</v>
      </c>
      <c r="H42" s="50">
        <v>50</v>
      </c>
      <c r="M42" t="str">
        <f>IF(COUNTIF($A:$A,E42)=0,"Not Exists","Exists")</f>
        <v>Exists</v>
      </c>
      <c r="N42" t="str">
        <f t="shared" si="0"/>
        <v>Exists</v>
      </c>
      <c r="O42" t="str">
        <f t="shared" si="1"/>
        <v>Exists</v>
      </c>
      <c r="P42" t="str">
        <f t="shared" si="2"/>
        <v>Exists</v>
      </c>
    </row>
    <row r="43" spans="1:16">
      <c r="A43" s="50" t="s">
        <v>287</v>
      </c>
      <c r="B43" s="50" t="s">
        <v>255</v>
      </c>
      <c r="C43" s="50" t="s">
        <v>256</v>
      </c>
      <c r="D43" s="50">
        <v>50</v>
      </c>
      <c r="E43" s="50" t="s">
        <v>281</v>
      </c>
      <c r="F43" s="50" t="s">
        <v>258</v>
      </c>
      <c r="G43" s="50" t="s">
        <v>251</v>
      </c>
      <c r="H43" s="50">
        <v>17</v>
      </c>
      <c r="M43" t="str">
        <f>IF(COUNTIF($A:$A,E43)=0,"Not Exists","Exists")</f>
        <v>Exists</v>
      </c>
      <c r="N43" t="str">
        <f t="shared" si="0"/>
        <v>Exists</v>
      </c>
      <c r="O43" t="str">
        <f t="shared" si="1"/>
        <v>Exists</v>
      </c>
      <c r="P43" t="str">
        <f t="shared" si="2"/>
        <v>Exists</v>
      </c>
    </row>
    <row r="44" spans="1:16">
      <c r="A44" s="50" t="s">
        <v>287</v>
      </c>
      <c r="B44" s="50" t="s">
        <v>258</v>
      </c>
      <c r="C44" s="50" t="s">
        <v>251</v>
      </c>
      <c r="D44" s="50">
        <v>17</v>
      </c>
      <c r="E44" s="50" t="s">
        <v>281</v>
      </c>
      <c r="F44" s="50" t="s">
        <v>260</v>
      </c>
      <c r="G44" s="50" t="s">
        <v>256</v>
      </c>
      <c r="H44" s="50">
        <v>50</v>
      </c>
      <c r="M44" t="str">
        <f>IF(COUNTIF($A:$A,E44)=0,"Not Exists","Exists")</f>
        <v>Exists</v>
      </c>
      <c r="N44" t="str">
        <f t="shared" si="0"/>
        <v>Exists</v>
      </c>
      <c r="O44" t="str">
        <f t="shared" si="1"/>
        <v>Exists</v>
      </c>
      <c r="P44" t="str">
        <f t="shared" si="2"/>
        <v>Exists</v>
      </c>
    </row>
    <row r="45" spans="1:16">
      <c r="A45" s="50" t="s">
        <v>287</v>
      </c>
      <c r="B45" s="50" t="s">
        <v>260</v>
      </c>
      <c r="C45" s="50" t="s">
        <v>256</v>
      </c>
      <c r="D45" s="50">
        <v>50</v>
      </c>
      <c r="E45" s="50" t="s">
        <v>281</v>
      </c>
      <c r="F45" s="50" t="s">
        <v>262</v>
      </c>
      <c r="G45" s="50" t="s">
        <v>251</v>
      </c>
      <c r="H45" s="50">
        <v>17</v>
      </c>
      <c r="M45" t="str">
        <f>IF(COUNTIF($A:$A,E45)=0,"Not Exists","Exists")</f>
        <v>Exists</v>
      </c>
      <c r="N45" t="str">
        <f t="shared" si="0"/>
        <v>Exists</v>
      </c>
      <c r="O45" t="str">
        <f t="shared" si="1"/>
        <v>Exists</v>
      </c>
      <c r="P45" t="str">
        <f t="shared" si="2"/>
        <v>Exists</v>
      </c>
    </row>
    <row r="46" spans="1:16">
      <c r="A46" s="50" t="s">
        <v>287</v>
      </c>
      <c r="B46" s="50" t="s">
        <v>262</v>
      </c>
      <c r="C46" s="50" t="s">
        <v>251</v>
      </c>
      <c r="D46" s="50">
        <v>17</v>
      </c>
      <c r="E46" s="50" t="s">
        <v>281</v>
      </c>
      <c r="F46" s="50" t="s">
        <v>264</v>
      </c>
      <c r="G46" s="50" t="s">
        <v>256</v>
      </c>
      <c r="H46" s="50">
        <v>50</v>
      </c>
      <c r="M46" t="str">
        <f>IF(COUNTIF($A:$A,E46)=0,"Not Exists","Exists")</f>
        <v>Exists</v>
      </c>
      <c r="N46" t="str">
        <f t="shared" si="0"/>
        <v>Exists</v>
      </c>
      <c r="O46" t="str">
        <f t="shared" si="1"/>
        <v>Exists</v>
      </c>
      <c r="P46" t="str">
        <f t="shared" si="2"/>
        <v>Exists</v>
      </c>
    </row>
    <row r="47" spans="1:16">
      <c r="A47" s="50" t="s">
        <v>287</v>
      </c>
      <c r="B47" s="50" t="s">
        <v>264</v>
      </c>
      <c r="C47" s="50" t="s">
        <v>256</v>
      </c>
      <c r="D47" s="50">
        <v>50</v>
      </c>
      <c r="E47" s="50" t="s">
        <v>281</v>
      </c>
      <c r="F47" s="50" t="s">
        <v>288</v>
      </c>
      <c r="G47" s="50" t="s">
        <v>256</v>
      </c>
      <c r="H47" s="50">
        <v>100</v>
      </c>
      <c r="M47" t="str">
        <f>IF(COUNTIF($A:$A,E47)=0,"Not Exists","Exists")</f>
        <v>Exists</v>
      </c>
      <c r="N47" t="str">
        <f t="shared" si="0"/>
        <v>Not Exists</v>
      </c>
      <c r="O47" t="str">
        <f t="shared" si="1"/>
        <v>Exists</v>
      </c>
      <c r="P47" t="str">
        <f t="shared" si="2"/>
        <v>Exists</v>
      </c>
    </row>
    <row r="48" spans="1:16">
      <c r="A48" s="50" t="s">
        <v>287</v>
      </c>
      <c r="B48" s="50" t="s">
        <v>266</v>
      </c>
      <c r="C48" s="50" t="s">
        <v>256</v>
      </c>
      <c r="D48" s="50">
        <v>50</v>
      </c>
      <c r="E48" s="50" t="s">
        <v>287</v>
      </c>
      <c r="F48" s="50" t="s">
        <v>250</v>
      </c>
      <c r="G48" s="50" t="s">
        <v>251</v>
      </c>
      <c r="H48" s="50">
        <v>41</v>
      </c>
      <c r="M48" t="str">
        <f>IF(COUNTIF($A:$A,E48)=0,"Not Exists","Exists")</f>
        <v>Exists</v>
      </c>
      <c r="N48" t="str">
        <f t="shared" si="0"/>
        <v>Exists</v>
      </c>
      <c r="O48" t="str">
        <f t="shared" si="1"/>
        <v>Exists</v>
      </c>
      <c r="P48" t="str">
        <f t="shared" si="2"/>
        <v>Exists</v>
      </c>
    </row>
    <row r="49" spans="1:16">
      <c r="A49" s="50" t="s">
        <v>287</v>
      </c>
      <c r="B49" s="50" t="s">
        <v>267</v>
      </c>
      <c r="C49" s="50" t="s">
        <v>256</v>
      </c>
      <c r="D49" s="50">
        <v>50</v>
      </c>
      <c r="E49" s="50" t="s">
        <v>287</v>
      </c>
      <c r="F49" s="50" t="s">
        <v>255</v>
      </c>
      <c r="G49" s="50" t="s">
        <v>256</v>
      </c>
      <c r="H49" s="50">
        <v>50</v>
      </c>
      <c r="M49" t="str">
        <f>IF(COUNTIF($A:$A,E49)=0,"Not Exists","Exists")</f>
        <v>Exists</v>
      </c>
      <c r="N49" t="str">
        <f t="shared" si="0"/>
        <v>Exists</v>
      </c>
      <c r="O49" t="str">
        <f t="shared" si="1"/>
        <v>Exists</v>
      </c>
      <c r="P49" t="str">
        <f t="shared" si="2"/>
        <v>Exists</v>
      </c>
    </row>
    <row r="50" spans="1:16">
      <c r="A50" s="50" t="s">
        <v>287</v>
      </c>
      <c r="B50" s="50" t="s">
        <v>268</v>
      </c>
      <c r="C50" s="50" t="s">
        <v>256</v>
      </c>
      <c r="D50" s="50">
        <v>17</v>
      </c>
      <c r="E50" s="50" t="s">
        <v>287</v>
      </c>
      <c r="F50" s="50" t="s">
        <v>266</v>
      </c>
      <c r="G50" s="50" t="s">
        <v>256</v>
      </c>
      <c r="H50" s="50">
        <v>50</v>
      </c>
      <c r="M50" t="str">
        <f>IF(COUNTIF($A:$A,E50)=0,"Not Exists","Exists")</f>
        <v>Exists</v>
      </c>
      <c r="N50" t="str">
        <f t="shared" si="0"/>
        <v>Exists</v>
      </c>
      <c r="O50" t="str">
        <f t="shared" si="1"/>
        <v>Exists</v>
      </c>
      <c r="P50" t="str">
        <f t="shared" si="2"/>
        <v>Exists</v>
      </c>
    </row>
    <row r="51" spans="1:16">
      <c r="A51" s="50" t="s">
        <v>287</v>
      </c>
      <c r="B51" s="50" t="s">
        <v>269</v>
      </c>
      <c r="C51" s="50" t="s">
        <v>256</v>
      </c>
      <c r="D51" s="50">
        <v>50</v>
      </c>
      <c r="E51" s="50" t="s">
        <v>287</v>
      </c>
      <c r="F51" s="50" t="s">
        <v>267</v>
      </c>
      <c r="G51" s="50" t="s">
        <v>256</v>
      </c>
      <c r="H51" s="50">
        <v>50</v>
      </c>
      <c r="M51" t="str">
        <f>IF(COUNTIF($A:$A,E51)=0,"Not Exists","Exists")</f>
        <v>Exists</v>
      </c>
      <c r="N51" t="str">
        <f t="shared" si="0"/>
        <v>Exists</v>
      </c>
      <c r="O51" t="str">
        <f t="shared" si="1"/>
        <v>Exists</v>
      </c>
      <c r="P51" t="str">
        <f t="shared" si="2"/>
        <v>Exists</v>
      </c>
    </row>
    <row r="52" spans="1:16">
      <c r="A52" s="50" t="s">
        <v>287</v>
      </c>
      <c r="B52" s="50" t="s">
        <v>270</v>
      </c>
      <c r="C52" s="50" t="s">
        <v>256</v>
      </c>
      <c r="D52" s="50">
        <v>50</v>
      </c>
      <c r="E52" s="50" t="s">
        <v>287</v>
      </c>
      <c r="F52" s="50" t="s">
        <v>268</v>
      </c>
      <c r="G52" s="50" t="s">
        <v>256</v>
      </c>
      <c r="H52" s="50">
        <v>17</v>
      </c>
      <c r="M52" t="str">
        <f>IF(COUNTIF($A:$A,E52)=0,"Not Exists","Exists")</f>
        <v>Exists</v>
      </c>
      <c r="N52" t="str">
        <f t="shared" si="0"/>
        <v>Exists</v>
      </c>
      <c r="O52" t="str">
        <f t="shared" si="1"/>
        <v>Exists</v>
      </c>
      <c r="P52" t="str">
        <f t="shared" si="2"/>
        <v>Exists</v>
      </c>
    </row>
    <row r="53" spans="1:16">
      <c r="A53" s="50" t="s">
        <v>287</v>
      </c>
      <c r="B53" s="50" t="s">
        <v>271</v>
      </c>
      <c r="C53" s="50" t="s">
        <v>256</v>
      </c>
      <c r="D53" s="50">
        <v>50</v>
      </c>
      <c r="E53" s="50" t="s">
        <v>287</v>
      </c>
      <c r="F53" s="50" t="s">
        <v>269</v>
      </c>
      <c r="G53" s="50" t="s">
        <v>256</v>
      </c>
      <c r="H53" s="50">
        <v>50</v>
      </c>
      <c r="M53" t="str">
        <f>IF(COUNTIF($A:$A,E53)=0,"Not Exists","Exists")</f>
        <v>Exists</v>
      </c>
      <c r="N53" t="str">
        <f t="shared" si="0"/>
        <v>Exists</v>
      </c>
      <c r="O53" t="str">
        <f t="shared" si="1"/>
        <v>Exists</v>
      </c>
      <c r="P53" t="str">
        <f t="shared" si="2"/>
        <v>Exists</v>
      </c>
    </row>
    <row r="54" spans="1:16">
      <c r="A54" s="50" t="s">
        <v>287</v>
      </c>
      <c r="B54" s="50" t="s">
        <v>272</v>
      </c>
      <c r="C54" s="50" t="s">
        <v>256</v>
      </c>
      <c r="D54" s="50">
        <v>50</v>
      </c>
      <c r="E54" s="50" t="s">
        <v>287</v>
      </c>
      <c r="F54" s="50" t="s">
        <v>270</v>
      </c>
      <c r="G54" s="50" t="s">
        <v>256</v>
      </c>
      <c r="H54" s="50">
        <v>50</v>
      </c>
      <c r="M54" t="str">
        <f>IF(COUNTIF($A:$A,E54)=0,"Not Exists","Exists")</f>
        <v>Exists</v>
      </c>
      <c r="N54" t="str">
        <f t="shared" si="0"/>
        <v>Exists</v>
      </c>
      <c r="O54" t="str">
        <f t="shared" si="1"/>
        <v>Exists</v>
      </c>
      <c r="P54" t="str">
        <f t="shared" si="2"/>
        <v>Exists</v>
      </c>
    </row>
    <row r="55" spans="1:16">
      <c r="A55" s="50" t="s">
        <v>287</v>
      </c>
      <c r="B55" s="50" t="s">
        <v>289</v>
      </c>
      <c r="C55" s="50" t="s">
        <v>254</v>
      </c>
      <c r="D55" s="50">
        <v>22</v>
      </c>
      <c r="E55" s="50" t="s">
        <v>287</v>
      </c>
      <c r="F55" s="50" t="s">
        <v>271</v>
      </c>
      <c r="G55" s="50" t="s">
        <v>256</v>
      </c>
      <c r="H55" s="50">
        <v>50</v>
      </c>
      <c r="M55" t="str">
        <f>IF(COUNTIF($A:$A,E55)=0,"Not Exists","Exists")</f>
        <v>Exists</v>
      </c>
      <c r="N55" t="str">
        <f t="shared" si="0"/>
        <v>Exists</v>
      </c>
      <c r="O55" t="str">
        <f t="shared" si="1"/>
        <v>Exists</v>
      </c>
      <c r="P55" t="str">
        <f t="shared" si="2"/>
        <v>Exists</v>
      </c>
    </row>
    <row r="56" spans="1:16">
      <c r="A56" s="50" t="s">
        <v>287</v>
      </c>
      <c r="B56" s="50" t="s">
        <v>290</v>
      </c>
      <c r="C56" s="50" t="s">
        <v>251</v>
      </c>
      <c r="D56" s="50">
        <v>41</v>
      </c>
      <c r="E56" s="50" t="s">
        <v>287</v>
      </c>
      <c r="F56" s="50" t="s">
        <v>289</v>
      </c>
      <c r="G56" s="50" t="s">
        <v>254</v>
      </c>
      <c r="H56" s="50">
        <v>22</v>
      </c>
      <c r="M56" t="str">
        <f>IF(COUNTIF($A:$A,E56)=0,"Not Exists","Exists")</f>
        <v>Exists</v>
      </c>
      <c r="N56" t="str">
        <f t="shared" si="0"/>
        <v>Exists</v>
      </c>
      <c r="O56" t="str">
        <f t="shared" si="1"/>
        <v>Exists</v>
      </c>
      <c r="P56" t="str">
        <f t="shared" si="2"/>
        <v>Exists</v>
      </c>
    </row>
    <row r="57" spans="1:16">
      <c r="A57" s="50" t="s">
        <v>287</v>
      </c>
      <c r="B57" s="50" t="s">
        <v>291</v>
      </c>
      <c r="C57" s="50" t="s">
        <v>254</v>
      </c>
      <c r="D57" s="50">
        <v>22</v>
      </c>
      <c r="E57" s="50" t="s">
        <v>287</v>
      </c>
      <c r="F57" s="50" t="s">
        <v>290</v>
      </c>
      <c r="G57" s="50" t="s">
        <v>251</v>
      </c>
      <c r="H57" s="50">
        <v>41</v>
      </c>
      <c r="M57" t="str">
        <f>IF(COUNTIF($A:$A,E57)=0,"Not Exists","Exists")</f>
        <v>Exists</v>
      </c>
      <c r="N57" t="str">
        <f t="shared" si="0"/>
        <v>Exists</v>
      </c>
      <c r="O57" t="str">
        <f t="shared" si="1"/>
        <v>Exists</v>
      </c>
      <c r="P57" t="str">
        <f t="shared" si="2"/>
        <v>Exists</v>
      </c>
    </row>
    <row r="58" spans="1:16">
      <c r="A58" s="50" t="s">
        <v>287</v>
      </c>
      <c r="B58" s="50" t="s">
        <v>292</v>
      </c>
      <c r="C58" s="50" t="s">
        <v>256</v>
      </c>
      <c r="D58" s="50">
        <v>50</v>
      </c>
      <c r="E58" s="50" t="s">
        <v>287</v>
      </c>
      <c r="F58" s="50" t="s">
        <v>291</v>
      </c>
      <c r="G58" s="50" t="s">
        <v>254</v>
      </c>
      <c r="H58" s="50">
        <v>22</v>
      </c>
      <c r="M58" t="str">
        <f>IF(COUNTIF($A:$A,E58)=0,"Not Exists","Exists")</f>
        <v>Exists</v>
      </c>
      <c r="N58" t="str">
        <f t="shared" si="0"/>
        <v>Exists</v>
      </c>
      <c r="O58" t="str">
        <f t="shared" si="1"/>
        <v>Exists</v>
      </c>
      <c r="P58" t="str">
        <f t="shared" si="2"/>
        <v>Exists</v>
      </c>
    </row>
    <row r="59" spans="1:16">
      <c r="A59" s="50" t="s">
        <v>287</v>
      </c>
      <c r="B59" s="50" t="s">
        <v>293</v>
      </c>
      <c r="C59" s="50" t="s">
        <v>254</v>
      </c>
      <c r="D59" s="50">
        <v>22</v>
      </c>
      <c r="E59" s="50" t="s">
        <v>287</v>
      </c>
      <c r="F59" s="50" t="s">
        <v>292</v>
      </c>
      <c r="G59" s="50" t="s">
        <v>256</v>
      </c>
      <c r="H59" s="50">
        <v>50</v>
      </c>
      <c r="M59" t="str">
        <f>IF(COUNTIF($A:$A,E59)=0,"Not Exists","Exists")</f>
        <v>Exists</v>
      </c>
      <c r="N59" t="str">
        <f t="shared" si="0"/>
        <v>Exists</v>
      </c>
      <c r="O59" t="str">
        <f t="shared" si="1"/>
        <v>Exists</v>
      </c>
      <c r="P59" t="str">
        <f t="shared" si="2"/>
        <v>Exists</v>
      </c>
    </row>
    <row r="60" spans="1:16">
      <c r="A60" s="50" t="s">
        <v>287</v>
      </c>
      <c r="B60" s="50" t="s">
        <v>294</v>
      </c>
      <c r="C60" s="50" t="s">
        <v>251</v>
      </c>
      <c r="D60" s="50">
        <v>41</v>
      </c>
      <c r="E60" s="50" t="s">
        <v>287</v>
      </c>
      <c r="F60" s="50" t="s">
        <v>293</v>
      </c>
      <c r="G60" s="50" t="s">
        <v>254</v>
      </c>
      <c r="H60" s="50">
        <v>22</v>
      </c>
      <c r="M60" t="str">
        <f>IF(COUNTIF($A:$A,E60)=0,"Not Exists","Exists")</f>
        <v>Exists</v>
      </c>
      <c r="N60" t="str">
        <f t="shared" si="0"/>
        <v>Exists</v>
      </c>
      <c r="O60" t="str">
        <f t="shared" si="1"/>
        <v>Exists</v>
      </c>
      <c r="P60" t="str">
        <f t="shared" si="2"/>
        <v>Exists</v>
      </c>
    </row>
    <row r="61" spans="1:16">
      <c r="A61" s="50" t="s">
        <v>287</v>
      </c>
      <c r="B61" s="50" t="s">
        <v>295</v>
      </c>
      <c r="C61" s="50" t="s">
        <v>251</v>
      </c>
      <c r="D61" s="50">
        <v>41</v>
      </c>
      <c r="E61" s="50" t="s">
        <v>287</v>
      </c>
      <c r="F61" s="50" t="s">
        <v>294</v>
      </c>
      <c r="G61" s="50" t="s">
        <v>251</v>
      </c>
      <c r="H61" s="50">
        <v>41</v>
      </c>
      <c r="M61" t="str">
        <f>IF(COUNTIF($A:$A,E61)=0,"Not Exists","Exists")</f>
        <v>Exists</v>
      </c>
      <c r="N61" t="str">
        <f t="shared" si="0"/>
        <v>Exists</v>
      </c>
      <c r="O61" t="str">
        <f t="shared" si="1"/>
        <v>Exists</v>
      </c>
      <c r="P61" t="str">
        <f t="shared" si="2"/>
        <v>Exists</v>
      </c>
    </row>
    <row r="62" spans="1:16">
      <c r="A62" s="50" t="s">
        <v>287</v>
      </c>
      <c r="B62" s="50" t="s">
        <v>296</v>
      </c>
      <c r="C62" s="50" t="s">
        <v>251</v>
      </c>
      <c r="D62" s="50">
        <v>41</v>
      </c>
      <c r="E62" s="50" t="s">
        <v>287</v>
      </c>
      <c r="F62" s="50" t="s">
        <v>295</v>
      </c>
      <c r="G62" s="50" t="s">
        <v>251</v>
      </c>
      <c r="H62" s="50">
        <v>41</v>
      </c>
      <c r="M62" t="str">
        <f>IF(COUNTIF($A:$A,E62)=0,"Not Exists","Exists")</f>
        <v>Exists</v>
      </c>
      <c r="N62" t="str">
        <f t="shared" si="0"/>
        <v>Exists</v>
      </c>
      <c r="O62" t="str">
        <f t="shared" si="1"/>
        <v>Exists</v>
      </c>
      <c r="P62" t="str">
        <f t="shared" si="2"/>
        <v>Exists</v>
      </c>
    </row>
    <row r="63" spans="1:16">
      <c r="A63" s="50" t="s">
        <v>297</v>
      </c>
      <c r="B63" s="50" t="s">
        <v>250</v>
      </c>
      <c r="C63" s="50" t="s">
        <v>251</v>
      </c>
      <c r="D63" s="50">
        <v>41</v>
      </c>
      <c r="E63" s="50" t="s">
        <v>287</v>
      </c>
      <c r="F63" s="50" t="s">
        <v>296</v>
      </c>
      <c r="G63" s="50" t="s">
        <v>251</v>
      </c>
      <c r="H63" s="50">
        <v>41</v>
      </c>
      <c r="M63" t="str">
        <f>IF(COUNTIF($A:$A,E63)=0,"Not Exists","Exists")</f>
        <v>Exists</v>
      </c>
      <c r="N63" t="str">
        <f t="shared" si="0"/>
        <v>Exists</v>
      </c>
      <c r="O63" t="str">
        <f t="shared" si="1"/>
        <v>Exists</v>
      </c>
      <c r="P63" t="str">
        <f t="shared" si="2"/>
        <v>Exists</v>
      </c>
    </row>
    <row r="64" spans="1:16">
      <c r="A64" s="50" t="s">
        <v>297</v>
      </c>
      <c r="B64" s="50" t="s">
        <v>255</v>
      </c>
      <c r="C64" s="50" t="s">
        <v>256</v>
      </c>
      <c r="D64" s="50">
        <v>50</v>
      </c>
      <c r="E64" s="50" t="s">
        <v>287</v>
      </c>
      <c r="F64" s="50" t="s">
        <v>258</v>
      </c>
      <c r="G64" s="50" t="s">
        <v>251</v>
      </c>
      <c r="H64" s="50">
        <v>17</v>
      </c>
      <c r="M64" t="str">
        <f>IF(COUNTIF($A:$A,E64)=0,"Not Exists","Exists")</f>
        <v>Exists</v>
      </c>
      <c r="N64" t="str">
        <f t="shared" si="0"/>
        <v>Exists</v>
      </c>
      <c r="O64" t="str">
        <f t="shared" si="1"/>
        <v>Exists</v>
      </c>
      <c r="P64" t="str">
        <f t="shared" si="2"/>
        <v>Exists</v>
      </c>
    </row>
    <row r="65" spans="1:16">
      <c r="A65" s="50" t="s">
        <v>297</v>
      </c>
      <c r="B65" s="50" t="s">
        <v>258</v>
      </c>
      <c r="C65" s="50" t="s">
        <v>251</v>
      </c>
      <c r="D65" s="50">
        <v>17</v>
      </c>
      <c r="E65" s="50" t="s">
        <v>287</v>
      </c>
      <c r="F65" s="50" t="s">
        <v>260</v>
      </c>
      <c r="G65" s="50" t="s">
        <v>256</v>
      </c>
      <c r="H65" s="50">
        <v>50</v>
      </c>
      <c r="M65" t="str">
        <f>IF(COUNTIF($A:$A,E65)=0,"Not Exists","Exists")</f>
        <v>Exists</v>
      </c>
      <c r="N65" t="str">
        <f t="shared" si="0"/>
        <v>Exists</v>
      </c>
      <c r="O65" t="str">
        <f t="shared" si="1"/>
        <v>Exists</v>
      </c>
      <c r="P65" t="str">
        <f t="shared" si="2"/>
        <v>Exists</v>
      </c>
    </row>
    <row r="66" spans="1:16">
      <c r="A66" s="50" t="s">
        <v>297</v>
      </c>
      <c r="B66" s="50" t="s">
        <v>260</v>
      </c>
      <c r="C66" s="50" t="s">
        <v>256</v>
      </c>
      <c r="D66" s="50">
        <v>50</v>
      </c>
      <c r="E66" s="50" t="s">
        <v>287</v>
      </c>
      <c r="F66" s="50" t="s">
        <v>262</v>
      </c>
      <c r="G66" s="50" t="s">
        <v>251</v>
      </c>
      <c r="H66" s="50">
        <v>17</v>
      </c>
      <c r="M66" t="str">
        <f>IF(COUNTIF($A:$A,E66)=0,"Not Exists","Exists")</f>
        <v>Exists</v>
      </c>
      <c r="N66" t="str">
        <f t="shared" si="0"/>
        <v>Exists</v>
      </c>
      <c r="O66" t="str">
        <f t="shared" si="1"/>
        <v>Exists</v>
      </c>
      <c r="P66" t="str">
        <f t="shared" si="2"/>
        <v>Exists</v>
      </c>
    </row>
    <row r="67" spans="1:16">
      <c r="A67" s="50" t="s">
        <v>297</v>
      </c>
      <c r="B67" s="50" t="s">
        <v>262</v>
      </c>
      <c r="C67" s="50" t="s">
        <v>251</v>
      </c>
      <c r="D67" s="50">
        <v>17</v>
      </c>
      <c r="E67" s="50" t="s">
        <v>287</v>
      </c>
      <c r="F67" s="50" t="s">
        <v>264</v>
      </c>
      <c r="G67" s="50" t="s">
        <v>256</v>
      </c>
      <c r="H67" s="50">
        <v>50</v>
      </c>
      <c r="M67" t="str">
        <f>IF(COUNTIF($A:$A,E67)=0,"Not Exists","Exists")</f>
        <v>Exists</v>
      </c>
      <c r="N67" t="str">
        <f t="shared" si="0"/>
        <v>Exists</v>
      </c>
      <c r="O67" t="str">
        <f t="shared" si="1"/>
        <v>Exists</v>
      </c>
      <c r="P67" t="str">
        <f t="shared" si="2"/>
        <v>Exists</v>
      </c>
    </row>
    <row r="68" spans="1:16">
      <c r="A68" s="50" t="s">
        <v>297</v>
      </c>
      <c r="B68" s="50" t="s">
        <v>264</v>
      </c>
      <c r="C68" s="50" t="s">
        <v>256</v>
      </c>
      <c r="D68" s="50">
        <v>50</v>
      </c>
      <c r="E68" s="50" t="s">
        <v>298</v>
      </c>
      <c r="F68" s="50" t="s">
        <v>250</v>
      </c>
      <c r="G68" s="50" t="s">
        <v>251</v>
      </c>
      <c r="H68" s="50">
        <v>41</v>
      </c>
      <c r="M68" t="str">
        <f>IF(COUNTIF($A:$A,E68)=0,"Not Exists","Exists")</f>
        <v>Not Exists</v>
      </c>
      <c r="N68" t="str">
        <f t="shared" ref="N68:N117" si="3">IF(COUNTIF($A:$B,F68)=0,"Not Exists","Exists")</f>
        <v>Exists</v>
      </c>
      <c r="O68" t="str">
        <f t="shared" ref="O68:O131" si="4">IF(COUNTIF($E:$E,A68)=0,"Not Exists","Exists")</f>
        <v>Exists</v>
      </c>
      <c r="P68" t="str">
        <f t="shared" ref="P68:P131" si="5">IF(COUNTIF($F:$F,B68)=0,"Not Exists","Exists")</f>
        <v>Exists</v>
      </c>
    </row>
    <row r="69" spans="1:16">
      <c r="A69" s="50" t="s">
        <v>297</v>
      </c>
      <c r="B69" s="50" t="s">
        <v>266</v>
      </c>
      <c r="C69" s="50" t="s">
        <v>256</v>
      </c>
      <c r="D69" s="50">
        <v>50</v>
      </c>
      <c r="E69" s="50" t="s">
        <v>298</v>
      </c>
      <c r="F69" s="50" t="s">
        <v>255</v>
      </c>
      <c r="G69" s="50" t="s">
        <v>256</v>
      </c>
      <c r="H69" s="50">
        <v>50</v>
      </c>
      <c r="M69" t="str">
        <f>IF(COUNTIF($A:$A,E69)=0,"Not Exists","Exists")</f>
        <v>Not Exists</v>
      </c>
      <c r="N69" t="str">
        <f t="shared" si="3"/>
        <v>Exists</v>
      </c>
      <c r="O69" t="str">
        <f t="shared" si="4"/>
        <v>Exists</v>
      </c>
      <c r="P69" t="str">
        <f t="shared" si="5"/>
        <v>Exists</v>
      </c>
    </row>
    <row r="70" spans="1:16">
      <c r="A70" s="50" t="s">
        <v>297</v>
      </c>
      <c r="B70" s="50" t="s">
        <v>267</v>
      </c>
      <c r="C70" s="50" t="s">
        <v>256</v>
      </c>
      <c r="D70" s="50">
        <v>50</v>
      </c>
      <c r="E70" s="50" t="s">
        <v>298</v>
      </c>
      <c r="F70" s="50" t="s">
        <v>266</v>
      </c>
      <c r="G70" s="50" t="s">
        <v>256</v>
      </c>
      <c r="H70" s="50">
        <v>50</v>
      </c>
      <c r="M70" t="str">
        <f>IF(COUNTIF($A:$A,E70)=0,"Not Exists","Exists")</f>
        <v>Not Exists</v>
      </c>
      <c r="N70" t="str">
        <f t="shared" si="3"/>
        <v>Exists</v>
      </c>
      <c r="O70" t="str">
        <f t="shared" si="4"/>
        <v>Exists</v>
      </c>
      <c r="P70" t="str">
        <f t="shared" si="5"/>
        <v>Exists</v>
      </c>
    </row>
    <row r="71" spans="1:16">
      <c r="A71" s="50" t="s">
        <v>297</v>
      </c>
      <c r="B71" s="50" t="s">
        <v>268</v>
      </c>
      <c r="C71" s="50" t="s">
        <v>256</v>
      </c>
      <c r="D71" s="50">
        <v>17</v>
      </c>
      <c r="E71" s="50" t="s">
        <v>298</v>
      </c>
      <c r="F71" s="50" t="s">
        <v>267</v>
      </c>
      <c r="G71" s="50" t="s">
        <v>256</v>
      </c>
      <c r="H71" s="50">
        <v>50</v>
      </c>
      <c r="M71" t="str">
        <f>IF(COUNTIF($A:$A,E71)=0,"Not Exists","Exists")</f>
        <v>Not Exists</v>
      </c>
      <c r="N71" t="str">
        <f t="shared" si="3"/>
        <v>Exists</v>
      </c>
      <c r="O71" t="str">
        <f t="shared" si="4"/>
        <v>Exists</v>
      </c>
      <c r="P71" t="str">
        <f t="shared" si="5"/>
        <v>Exists</v>
      </c>
    </row>
    <row r="72" spans="1:16">
      <c r="A72" s="50" t="s">
        <v>297</v>
      </c>
      <c r="B72" s="50" t="s">
        <v>269</v>
      </c>
      <c r="C72" s="50" t="s">
        <v>256</v>
      </c>
      <c r="D72" s="50">
        <v>50</v>
      </c>
      <c r="E72" s="50" t="s">
        <v>298</v>
      </c>
      <c r="F72" s="50" t="s">
        <v>268</v>
      </c>
      <c r="G72" s="50" t="s">
        <v>256</v>
      </c>
      <c r="H72" s="50">
        <v>17</v>
      </c>
      <c r="M72" t="str">
        <f>IF(COUNTIF($A:$A,E72)=0,"Not Exists","Exists")</f>
        <v>Not Exists</v>
      </c>
      <c r="N72" t="str">
        <f t="shared" si="3"/>
        <v>Exists</v>
      </c>
      <c r="O72" t="str">
        <f t="shared" si="4"/>
        <v>Exists</v>
      </c>
      <c r="P72" t="str">
        <f t="shared" si="5"/>
        <v>Exists</v>
      </c>
    </row>
    <row r="73" spans="1:16">
      <c r="A73" s="50" t="s">
        <v>297</v>
      </c>
      <c r="B73" s="50" t="s">
        <v>270</v>
      </c>
      <c r="C73" s="50" t="s">
        <v>256</v>
      </c>
      <c r="D73" s="50">
        <v>50</v>
      </c>
      <c r="E73" s="50" t="s">
        <v>298</v>
      </c>
      <c r="F73" s="50" t="s">
        <v>269</v>
      </c>
      <c r="G73" s="50" t="s">
        <v>256</v>
      </c>
      <c r="H73" s="50">
        <v>50</v>
      </c>
      <c r="M73" t="str">
        <f>IF(COUNTIF($A:$A,E73)=0,"Not Exists","Exists")</f>
        <v>Not Exists</v>
      </c>
      <c r="N73" t="str">
        <f t="shared" si="3"/>
        <v>Exists</v>
      </c>
      <c r="O73" t="str">
        <f t="shared" si="4"/>
        <v>Exists</v>
      </c>
      <c r="P73" t="str">
        <f t="shared" si="5"/>
        <v>Exists</v>
      </c>
    </row>
    <row r="74" spans="1:16">
      <c r="A74" s="50" t="s">
        <v>297</v>
      </c>
      <c r="B74" s="50" t="s">
        <v>271</v>
      </c>
      <c r="C74" s="50" t="s">
        <v>256</v>
      </c>
      <c r="D74" s="50">
        <v>50</v>
      </c>
      <c r="E74" s="50" t="s">
        <v>298</v>
      </c>
      <c r="F74" s="50" t="s">
        <v>270</v>
      </c>
      <c r="G74" s="50" t="s">
        <v>256</v>
      </c>
      <c r="H74" s="50">
        <v>50</v>
      </c>
      <c r="M74" t="str">
        <f>IF(COUNTIF($A:$A,E74)=0,"Not Exists","Exists")</f>
        <v>Not Exists</v>
      </c>
      <c r="N74" t="str">
        <f t="shared" si="3"/>
        <v>Exists</v>
      </c>
      <c r="O74" t="str">
        <f t="shared" si="4"/>
        <v>Exists</v>
      </c>
      <c r="P74" t="str">
        <f t="shared" si="5"/>
        <v>Exists</v>
      </c>
    </row>
    <row r="75" spans="1:16">
      <c r="A75" s="50" t="s">
        <v>297</v>
      </c>
      <c r="B75" s="50" t="s">
        <v>272</v>
      </c>
      <c r="C75" s="50" t="s">
        <v>256</v>
      </c>
      <c r="D75" s="50">
        <v>50</v>
      </c>
      <c r="E75" s="50" t="s">
        <v>298</v>
      </c>
      <c r="F75" s="50" t="s">
        <v>271</v>
      </c>
      <c r="G75" s="50" t="s">
        <v>256</v>
      </c>
      <c r="H75" s="50">
        <v>50</v>
      </c>
      <c r="M75" t="str">
        <f>IF(COUNTIF($A:$A,E75)=0,"Not Exists","Exists")</f>
        <v>Not Exists</v>
      </c>
      <c r="N75" t="str">
        <f t="shared" si="3"/>
        <v>Exists</v>
      </c>
      <c r="O75" t="str">
        <f t="shared" si="4"/>
        <v>Exists</v>
      </c>
      <c r="P75" t="str">
        <f t="shared" si="5"/>
        <v>Exists</v>
      </c>
    </row>
    <row r="76" spans="1:16">
      <c r="A76" s="50" t="s">
        <v>297</v>
      </c>
      <c r="B76" s="50" t="s">
        <v>299</v>
      </c>
      <c r="C76" s="50" t="s">
        <v>256</v>
      </c>
      <c r="D76" s="50">
        <v>50</v>
      </c>
      <c r="E76" s="50" t="s">
        <v>298</v>
      </c>
      <c r="F76" s="50" t="s">
        <v>300</v>
      </c>
      <c r="G76" s="50" t="s">
        <v>254</v>
      </c>
      <c r="H76" s="50">
        <v>22</v>
      </c>
      <c r="M76" t="str">
        <f>IF(COUNTIF($A:$A,E76)=0,"Not Exists","Exists")</f>
        <v>Not Exists</v>
      </c>
      <c r="N76" t="str">
        <f t="shared" si="3"/>
        <v>Not Exists</v>
      </c>
      <c r="O76" t="str">
        <f t="shared" si="4"/>
        <v>Exists</v>
      </c>
      <c r="P76" t="str">
        <f t="shared" si="5"/>
        <v>Exists</v>
      </c>
    </row>
    <row r="77" spans="1:16">
      <c r="A77" s="50" t="s">
        <v>297</v>
      </c>
      <c r="B77" s="50" t="s">
        <v>301</v>
      </c>
      <c r="C77" s="50" t="s">
        <v>256</v>
      </c>
      <c r="D77" s="50">
        <v>450</v>
      </c>
      <c r="E77" s="50" t="s">
        <v>298</v>
      </c>
      <c r="F77" s="50" t="s">
        <v>302</v>
      </c>
      <c r="G77" s="50" t="s">
        <v>254</v>
      </c>
      <c r="H77" s="50">
        <v>22</v>
      </c>
      <c r="M77" t="str">
        <f>IF(COUNTIF($A:$A,E77)=0,"Not Exists","Exists")</f>
        <v>Not Exists</v>
      </c>
      <c r="N77" t="str">
        <f t="shared" si="3"/>
        <v>Not Exists</v>
      </c>
      <c r="O77" t="str">
        <f t="shared" si="4"/>
        <v>Exists</v>
      </c>
      <c r="P77" t="str">
        <f t="shared" si="5"/>
        <v>Exists</v>
      </c>
    </row>
    <row r="78" spans="1:16">
      <c r="A78" s="50" t="s">
        <v>297</v>
      </c>
      <c r="B78" s="50" t="s">
        <v>303</v>
      </c>
      <c r="C78" s="50" t="s">
        <v>256</v>
      </c>
      <c r="D78" s="50">
        <v>3000</v>
      </c>
      <c r="E78" s="50" t="s">
        <v>298</v>
      </c>
      <c r="F78" s="50" t="s">
        <v>304</v>
      </c>
      <c r="G78" s="50" t="s">
        <v>256</v>
      </c>
      <c r="H78" s="50">
        <v>20</v>
      </c>
      <c r="M78" t="str">
        <f>IF(COUNTIF($A:$A,E78)=0,"Not Exists","Exists")</f>
        <v>Not Exists</v>
      </c>
      <c r="N78" t="str">
        <f t="shared" si="3"/>
        <v>Not Exists</v>
      </c>
      <c r="O78" t="str">
        <f t="shared" si="4"/>
        <v>Exists</v>
      </c>
      <c r="P78" t="str">
        <f t="shared" si="5"/>
        <v>Exists</v>
      </c>
    </row>
    <row r="79" spans="1:16">
      <c r="A79" s="50" t="s">
        <v>297</v>
      </c>
      <c r="B79" s="50" t="s">
        <v>305</v>
      </c>
      <c r="C79" s="50" t="s">
        <v>251</v>
      </c>
      <c r="D79" s="50">
        <v>41</v>
      </c>
      <c r="E79" s="50" t="s">
        <v>298</v>
      </c>
      <c r="F79" s="50" t="s">
        <v>306</v>
      </c>
      <c r="G79" s="50" t="s">
        <v>256</v>
      </c>
      <c r="H79" s="50">
        <v>50</v>
      </c>
      <c r="M79" t="str">
        <f>IF(COUNTIF($A:$A,E79)=0,"Not Exists","Exists")</f>
        <v>Not Exists</v>
      </c>
      <c r="N79" t="str">
        <f t="shared" si="3"/>
        <v>Not Exists</v>
      </c>
      <c r="O79" t="str">
        <f t="shared" si="4"/>
        <v>Exists</v>
      </c>
      <c r="P79" t="str">
        <f t="shared" si="5"/>
        <v>Exists</v>
      </c>
    </row>
    <row r="80" spans="1:16">
      <c r="A80" s="50" t="s">
        <v>307</v>
      </c>
      <c r="B80" s="50" t="s">
        <v>250</v>
      </c>
      <c r="C80" s="50" t="s">
        <v>251</v>
      </c>
      <c r="D80" s="50">
        <v>41</v>
      </c>
      <c r="E80" s="50" t="s">
        <v>298</v>
      </c>
      <c r="F80" s="50" t="s">
        <v>308</v>
      </c>
      <c r="G80" s="50" t="s">
        <v>254</v>
      </c>
      <c r="H80" s="50">
        <v>22</v>
      </c>
      <c r="M80" t="str">
        <f>IF(COUNTIF($A:$A,E80)=0,"Not Exists","Exists")</f>
        <v>Not Exists</v>
      </c>
      <c r="N80" t="str">
        <f t="shared" si="3"/>
        <v>Not Exists</v>
      </c>
      <c r="O80" t="str">
        <f t="shared" si="4"/>
        <v>Exists</v>
      </c>
      <c r="P80" t="str">
        <f t="shared" si="5"/>
        <v>Exists</v>
      </c>
    </row>
    <row r="81" spans="1:16">
      <c r="A81" s="50" t="s">
        <v>307</v>
      </c>
      <c r="B81" s="50" t="s">
        <v>255</v>
      </c>
      <c r="C81" s="50" t="s">
        <v>256</v>
      </c>
      <c r="D81" s="50">
        <v>50</v>
      </c>
      <c r="E81" s="50" t="s">
        <v>298</v>
      </c>
      <c r="F81" s="50" t="s">
        <v>309</v>
      </c>
      <c r="G81" s="50" t="s">
        <v>254</v>
      </c>
      <c r="H81" s="50">
        <v>22</v>
      </c>
      <c r="M81" t="str">
        <f>IF(COUNTIF($A:$A,E81)=0,"Not Exists","Exists")</f>
        <v>Not Exists</v>
      </c>
      <c r="N81" t="str">
        <f t="shared" si="3"/>
        <v>Not Exists</v>
      </c>
      <c r="O81" t="str">
        <f t="shared" si="4"/>
        <v>Exists</v>
      </c>
      <c r="P81" t="str">
        <f t="shared" si="5"/>
        <v>Exists</v>
      </c>
    </row>
    <row r="82" spans="1:16">
      <c r="A82" s="50" t="s">
        <v>307</v>
      </c>
      <c r="B82" s="50" t="s">
        <v>258</v>
      </c>
      <c r="C82" s="50" t="s">
        <v>251</v>
      </c>
      <c r="D82" s="50">
        <v>17</v>
      </c>
      <c r="E82" s="50" t="s">
        <v>298</v>
      </c>
      <c r="F82" s="50" t="s">
        <v>310</v>
      </c>
      <c r="G82" s="50" t="s">
        <v>254</v>
      </c>
      <c r="H82" s="50">
        <v>22</v>
      </c>
      <c r="M82" t="str">
        <f>IF(COUNTIF($A:$A,E82)=0,"Not Exists","Exists")</f>
        <v>Not Exists</v>
      </c>
      <c r="N82" t="str">
        <f t="shared" si="3"/>
        <v>Not Exists</v>
      </c>
      <c r="O82" t="str">
        <f t="shared" si="4"/>
        <v>Exists</v>
      </c>
      <c r="P82" t="str">
        <f t="shared" si="5"/>
        <v>Exists</v>
      </c>
    </row>
    <row r="83" spans="1:16">
      <c r="A83" s="50" t="s">
        <v>307</v>
      </c>
      <c r="B83" s="50" t="s">
        <v>260</v>
      </c>
      <c r="C83" s="50" t="s">
        <v>256</v>
      </c>
      <c r="D83" s="50">
        <v>50</v>
      </c>
      <c r="E83" s="50" t="s">
        <v>298</v>
      </c>
      <c r="F83" s="50" t="s">
        <v>258</v>
      </c>
      <c r="G83" s="50" t="s">
        <v>251</v>
      </c>
      <c r="H83" s="50">
        <v>17</v>
      </c>
      <c r="M83" t="str">
        <f>IF(COUNTIF($A:$A,E83)=0,"Not Exists","Exists")</f>
        <v>Not Exists</v>
      </c>
      <c r="N83" t="str">
        <f t="shared" si="3"/>
        <v>Exists</v>
      </c>
      <c r="O83" t="str">
        <f t="shared" si="4"/>
        <v>Exists</v>
      </c>
      <c r="P83" t="str">
        <f t="shared" si="5"/>
        <v>Exists</v>
      </c>
    </row>
    <row r="84" spans="1:16">
      <c r="A84" s="50" t="s">
        <v>307</v>
      </c>
      <c r="B84" s="50" t="s">
        <v>262</v>
      </c>
      <c r="C84" s="50" t="s">
        <v>251</v>
      </c>
      <c r="D84" s="50">
        <v>17</v>
      </c>
      <c r="E84" s="50" t="s">
        <v>298</v>
      </c>
      <c r="F84" s="50" t="s">
        <v>260</v>
      </c>
      <c r="G84" s="50" t="s">
        <v>256</v>
      </c>
      <c r="H84" s="50">
        <v>50</v>
      </c>
      <c r="M84" t="str">
        <f>IF(COUNTIF($A:$A,E84)=0,"Not Exists","Exists")</f>
        <v>Not Exists</v>
      </c>
      <c r="N84" t="str">
        <f t="shared" si="3"/>
        <v>Exists</v>
      </c>
      <c r="O84" t="str">
        <f t="shared" si="4"/>
        <v>Exists</v>
      </c>
      <c r="P84" t="str">
        <f t="shared" si="5"/>
        <v>Exists</v>
      </c>
    </row>
    <row r="85" spans="1:16">
      <c r="A85" s="50" t="s">
        <v>307</v>
      </c>
      <c r="B85" s="50" t="s">
        <v>264</v>
      </c>
      <c r="C85" s="50" t="s">
        <v>256</v>
      </c>
      <c r="D85" s="50">
        <v>50</v>
      </c>
      <c r="E85" s="50" t="s">
        <v>298</v>
      </c>
      <c r="F85" s="50" t="s">
        <v>262</v>
      </c>
      <c r="G85" s="50" t="s">
        <v>251</v>
      </c>
      <c r="H85" s="50">
        <v>17</v>
      </c>
      <c r="M85" t="str">
        <f>IF(COUNTIF($A:$A,E85)=0,"Not Exists","Exists")</f>
        <v>Not Exists</v>
      </c>
      <c r="N85" t="str">
        <f t="shared" si="3"/>
        <v>Exists</v>
      </c>
      <c r="O85" t="str">
        <f t="shared" si="4"/>
        <v>Exists</v>
      </c>
      <c r="P85" t="str">
        <f t="shared" si="5"/>
        <v>Exists</v>
      </c>
    </row>
    <row r="86" spans="1:16">
      <c r="A86" s="50" t="s">
        <v>307</v>
      </c>
      <c r="B86" s="50" t="s">
        <v>266</v>
      </c>
      <c r="C86" s="50" t="s">
        <v>256</v>
      </c>
      <c r="D86" s="50">
        <v>50</v>
      </c>
      <c r="E86" s="50" t="s">
        <v>298</v>
      </c>
      <c r="F86" s="50" t="s">
        <v>264</v>
      </c>
      <c r="G86" s="50" t="s">
        <v>256</v>
      </c>
      <c r="H86" s="50">
        <v>50</v>
      </c>
      <c r="M86" t="str">
        <f>IF(COUNTIF($A:$A,E86)=0,"Not Exists","Exists")</f>
        <v>Not Exists</v>
      </c>
      <c r="N86" t="str">
        <f t="shared" si="3"/>
        <v>Exists</v>
      </c>
      <c r="O86" t="str">
        <f t="shared" si="4"/>
        <v>Exists</v>
      </c>
      <c r="P86" t="str">
        <f t="shared" si="5"/>
        <v>Exists</v>
      </c>
    </row>
    <row r="87" spans="1:16">
      <c r="A87" s="50" t="s">
        <v>307</v>
      </c>
      <c r="B87" s="50" t="s">
        <v>267</v>
      </c>
      <c r="C87" s="50" t="s">
        <v>256</v>
      </c>
      <c r="D87" s="50">
        <v>50</v>
      </c>
      <c r="E87" s="50" t="s">
        <v>311</v>
      </c>
      <c r="F87" s="50" t="s">
        <v>312</v>
      </c>
      <c r="G87" s="50" t="s">
        <v>256</v>
      </c>
      <c r="H87" s="50">
        <v>50</v>
      </c>
      <c r="M87" t="str">
        <f>IF(COUNTIF($A:$A,E87)=0,"Not Exists","Exists")</f>
        <v>Not Exists</v>
      </c>
      <c r="N87" t="str">
        <f t="shared" si="3"/>
        <v>Not Exists</v>
      </c>
      <c r="O87" t="str">
        <f t="shared" si="4"/>
        <v>Exists</v>
      </c>
      <c r="P87" t="str">
        <f t="shared" si="5"/>
        <v>Exists</v>
      </c>
    </row>
    <row r="88" spans="1:16">
      <c r="A88" s="50" t="s">
        <v>307</v>
      </c>
      <c r="B88" s="50" t="s">
        <v>268</v>
      </c>
      <c r="C88" s="50" t="s">
        <v>256</v>
      </c>
      <c r="D88" s="50">
        <v>17</v>
      </c>
      <c r="E88" s="50" t="s">
        <v>311</v>
      </c>
      <c r="F88" s="50" t="s">
        <v>313</v>
      </c>
      <c r="G88" s="50" t="s">
        <v>256</v>
      </c>
      <c r="H88" s="50">
        <v>50</v>
      </c>
      <c r="M88" t="str">
        <f>IF(COUNTIF($A:$A,E88)=0,"Not Exists","Exists")</f>
        <v>Not Exists</v>
      </c>
      <c r="N88" t="str">
        <f t="shared" si="3"/>
        <v>Exists</v>
      </c>
      <c r="O88" t="str">
        <f t="shared" si="4"/>
        <v>Exists</v>
      </c>
      <c r="P88" t="str">
        <f t="shared" si="5"/>
        <v>Exists</v>
      </c>
    </row>
    <row r="89" spans="1:16">
      <c r="A89" s="50" t="s">
        <v>307</v>
      </c>
      <c r="B89" s="50" t="s">
        <v>269</v>
      </c>
      <c r="C89" s="50" t="s">
        <v>256</v>
      </c>
      <c r="D89" s="50">
        <v>50</v>
      </c>
      <c r="E89" s="50" t="s">
        <v>311</v>
      </c>
      <c r="F89" s="50" t="s">
        <v>314</v>
      </c>
      <c r="G89" s="50" t="s">
        <v>256</v>
      </c>
      <c r="H89" s="50">
        <v>64</v>
      </c>
      <c r="M89" t="str">
        <f>IF(COUNTIF($A:$A,E89)=0,"Not Exists","Exists")</f>
        <v>Not Exists</v>
      </c>
      <c r="N89" t="str">
        <f t="shared" si="3"/>
        <v>Not Exists</v>
      </c>
      <c r="O89" t="str">
        <f t="shared" si="4"/>
        <v>Exists</v>
      </c>
      <c r="P89" t="str">
        <f t="shared" si="5"/>
        <v>Exists</v>
      </c>
    </row>
    <row r="90" spans="1:16">
      <c r="A90" s="50" t="s">
        <v>307</v>
      </c>
      <c r="B90" s="50" t="s">
        <v>270</v>
      </c>
      <c r="C90" s="50" t="s">
        <v>256</v>
      </c>
      <c r="D90" s="50">
        <v>50</v>
      </c>
      <c r="E90" s="50" t="s">
        <v>311</v>
      </c>
      <c r="F90" s="50" t="s">
        <v>315</v>
      </c>
      <c r="G90" s="50" t="s">
        <v>251</v>
      </c>
      <c r="H90" s="50">
        <v>17</v>
      </c>
      <c r="M90" t="str">
        <f>IF(COUNTIF($A:$A,E90)=0,"Not Exists","Exists")</f>
        <v>Not Exists</v>
      </c>
      <c r="N90" t="str">
        <f t="shared" si="3"/>
        <v>Exists</v>
      </c>
      <c r="O90" t="str">
        <f t="shared" si="4"/>
        <v>Exists</v>
      </c>
      <c r="P90" t="str">
        <f t="shared" si="5"/>
        <v>Exists</v>
      </c>
    </row>
    <row r="91" spans="1:16">
      <c r="A91" s="50" t="s">
        <v>307</v>
      </c>
      <c r="B91" s="50" t="s">
        <v>271</v>
      </c>
      <c r="C91" s="50" t="s">
        <v>256</v>
      </c>
      <c r="D91" s="50">
        <v>50</v>
      </c>
      <c r="E91" s="50" t="s">
        <v>311</v>
      </c>
      <c r="F91" s="50" t="s">
        <v>316</v>
      </c>
      <c r="G91" s="50" t="s">
        <v>256</v>
      </c>
      <c r="H91" s="50">
        <v>50</v>
      </c>
      <c r="M91" t="str">
        <f>IF(COUNTIF($A:$A,E91)=0,"Not Exists","Exists")</f>
        <v>Not Exists</v>
      </c>
      <c r="N91" t="str">
        <f t="shared" si="3"/>
        <v>Exists</v>
      </c>
      <c r="O91" t="str">
        <f t="shared" si="4"/>
        <v>Exists</v>
      </c>
      <c r="P91" t="str">
        <f t="shared" si="5"/>
        <v>Exists</v>
      </c>
    </row>
    <row r="92" spans="1:16">
      <c r="A92" s="50" t="s">
        <v>307</v>
      </c>
      <c r="B92" s="50" t="s">
        <v>272</v>
      </c>
      <c r="C92" s="50" t="s">
        <v>256</v>
      </c>
      <c r="D92" s="50">
        <v>50</v>
      </c>
      <c r="E92" s="50" t="s">
        <v>311</v>
      </c>
      <c r="F92" s="50" t="s">
        <v>317</v>
      </c>
      <c r="G92" s="50" t="s">
        <v>251</v>
      </c>
      <c r="H92" s="50">
        <v>17</v>
      </c>
      <c r="M92" t="str">
        <f>IF(COUNTIF($A:$A,E92)=0,"Not Exists","Exists")</f>
        <v>Not Exists</v>
      </c>
      <c r="N92" t="str">
        <f t="shared" si="3"/>
        <v>Exists</v>
      </c>
      <c r="O92" t="str">
        <f t="shared" si="4"/>
        <v>Exists</v>
      </c>
      <c r="P92" t="str">
        <f t="shared" si="5"/>
        <v>Exists</v>
      </c>
    </row>
    <row r="93" spans="1:16">
      <c r="A93" s="50" t="s">
        <v>307</v>
      </c>
      <c r="B93" s="50" t="s">
        <v>313</v>
      </c>
      <c r="C93" s="50" t="s">
        <v>256</v>
      </c>
      <c r="D93" s="50">
        <v>50</v>
      </c>
      <c r="E93" s="50" t="s">
        <v>311</v>
      </c>
      <c r="F93" s="50" t="s">
        <v>318</v>
      </c>
      <c r="G93" s="50" t="s">
        <v>256</v>
      </c>
      <c r="H93" s="50">
        <v>50</v>
      </c>
      <c r="M93" t="str">
        <f>IF(COUNTIF($A:$A,E93)=0,"Not Exists","Exists")</f>
        <v>Not Exists</v>
      </c>
      <c r="N93" t="str">
        <f t="shared" si="3"/>
        <v>Exists</v>
      </c>
      <c r="O93" t="str">
        <f t="shared" si="4"/>
        <v>Exists</v>
      </c>
      <c r="P93" t="str">
        <f t="shared" si="5"/>
        <v>Exists</v>
      </c>
    </row>
    <row r="94" spans="1:16">
      <c r="A94" s="50" t="s">
        <v>307</v>
      </c>
      <c r="B94" s="50" t="s">
        <v>319</v>
      </c>
      <c r="C94" s="50" t="s">
        <v>256</v>
      </c>
      <c r="D94" s="50">
        <v>64</v>
      </c>
      <c r="E94" s="50" t="s">
        <v>320</v>
      </c>
      <c r="F94" s="50" t="s">
        <v>321</v>
      </c>
      <c r="G94" s="50" t="s">
        <v>256</v>
      </c>
      <c r="H94" s="50">
        <v>50</v>
      </c>
      <c r="M94" t="str">
        <f>IF(COUNTIF($A:$A,E94)=0,"Not Exists","Exists")</f>
        <v>Not Exists</v>
      </c>
      <c r="N94" t="str">
        <f t="shared" si="3"/>
        <v>Not Exists</v>
      </c>
      <c r="O94" t="str">
        <f t="shared" si="4"/>
        <v>Exists</v>
      </c>
      <c r="P94" t="str">
        <f t="shared" si="5"/>
        <v>Exists</v>
      </c>
    </row>
    <row r="95" spans="1:16">
      <c r="A95" s="50" t="s">
        <v>307</v>
      </c>
      <c r="B95" s="50" t="s">
        <v>322</v>
      </c>
      <c r="C95" s="50" t="s">
        <v>256</v>
      </c>
      <c r="D95" s="50">
        <v>450</v>
      </c>
      <c r="E95" s="50" t="s">
        <v>320</v>
      </c>
      <c r="F95" s="50" t="s">
        <v>323</v>
      </c>
      <c r="G95" s="50" t="s">
        <v>256</v>
      </c>
      <c r="H95" s="50">
        <v>50</v>
      </c>
      <c r="M95" t="str">
        <f>IF(COUNTIF($A:$A,E95)=0,"Not Exists","Exists")</f>
        <v>Not Exists</v>
      </c>
      <c r="N95" t="str">
        <f t="shared" si="3"/>
        <v>Not Exists</v>
      </c>
      <c r="O95" t="str">
        <f t="shared" si="4"/>
        <v>Exists</v>
      </c>
      <c r="P95" t="str">
        <f t="shared" si="5"/>
        <v>Exists</v>
      </c>
    </row>
    <row r="96" spans="1:16">
      <c r="A96" s="50" t="s">
        <v>307</v>
      </c>
      <c r="B96" s="50" t="s">
        <v>324</v>
      </c>
      <c r="C96" s="50" t="s">
        <v>256</v>
      </c>
      <c r="D96" s="50">
        <v>450</v>
      </c>
      <c r="E96" s="50" t="s">
        <v>320</v>
      </c>
      <c r="F96" s="50" t="s">
        <v>325</v>
      </c>
      <c r="G96" s="50" t="s">
        <v>256</v>
      </c>
      <c r="H96" s="50">
        <v>2</v>
      </c>
      <c r="M96" t="str">
        <f>IF(COUNTIF($A:$A,E96)=0,"Not Exists","Exists")</f>
        <v>Not Exists</v>
      </c>
      <c r="N96" t="str">
        <f t="shared" si="3"/>
        <v>Not Exists</v>
      </c>
      <c r="O96" t="str">
        <f t="shared" si="4"/>
        <v>Exists</v>
      </c>
      <c r="P96" t="str">
        <f t="shared" si="5"/>
        <v>Exists</v>
      </c>
    </row>
    <row r="97" spans="1:16">
      <c r="A97" s="50" t="s">
        <v>307</v>
      </c>
      <c r="B97" s="50" t="s">
        <v>326</v>
      </c>
      <c r="C97" s="50" t="s">
        <v>256</v>
      </c>
      <c r="D97" s="50">
        <v>450</v>
      </c>
      <c r="E97" s="50" t="s">
        <v>320</v>
      </c>
      <c r="F97" s="50" t="s">
        <v>327</v>
      </c>
      <c r="G97" s="50" t="s">
        <v>256</v>
      </c>
      <c r="H97" s="50">
        <v>17</v>
      </c>
      <c r="M97" t="str">
        <f>IF(COUNTIF($A:$A,E97)=0,"Not Exists","Exists")</f>
        <v>Not Exists</v>
      </c>
      <c r="N97" t="str">
        <f t="shared" si="3"/>
        <v>Not Exists</v>
      </c>
      <c r="O97" t="str">
        <f t="shared" si="4"/>
        <v>Exists</v>
      </c>
      <c r="P97" t="str">
        <f t="shared" si="5"/>
        <v>Exists</v>
      </c>
    </row>
    <row r="98" spans="1:16">
      <c r="A98" s="50" t="s">
        <v>307</v>
      </c>
      <c r="B98" s="50" t="s">
        <v>328</v>
      </c>
      <c r="C98" s="50" t="s">
        <v>256</v>
      </c>
      <c r="D98" s="50">
        <v>13</v>
      </c>
      <c r="E98" s="50" t="s">
        <v>320</v>
      </c>
      <c r="F98" s="50" t="s">
        <v>329</v>
      </c>
      <c r="G98" s="50" t="s">
        <v>256</v>
      </c>
      <c r="H98" s="50">
        <v>50</v>
      </c>
      <c r="M98" t="str">
        <f>IF(COUNTIF($A:$A,E98)=0,"Not Exists","Exists")</f>
        <v>Not Exists</v>
      </c>
      <c r="N98" t="str">
        <f t="shared" si="3"/>
        <v>Not Exists</v>
      </c>
      <c r="O98" t="str">
        <f t="shared" si="4"/>
        <v>Exists</v>
      </c>
      <c r="P98" t="str">
        <f t="shared" si="5"/>
        <v>Exists</v>
      </c>
    </row>
    <row r="99" spans="1:16">
      <c r="A99" s="50" t="s">
        <v>307</v>
      </c>
      <c r="B99" s="50" t="s">
        <v>330</v>
      </c>
      <c r="C99" s="50" t="s">
        <v>256</v>
      </c>
      <c r="D99" s="50">
        <v>13</v>
      </c>
      <c r="E99" s="50" t="s">
        <v>320</v>
      </c>
      <c r="F99" s="50" t="s">
        <v>331</v>
      </c>
      <c r="G99" s="50" t="s">
        <v>256</v>
      </c>
      <c r="H99" s="50">
        <v>17</v>
      </c>
      <c r="M99" t="str">
        <f>IF(COUNTIF($A:$A,E99)=0,"Not Exists","Exists")</f>
        <v>Not Exists</v>
      </c>
      <c r="N99" t="str">
        <f t="shared" si="3"/>
        <v>Not Exists</v>
      </c>
      <c r="O99" t="str">
        <f t="shared" si="4"/>
        <v>Exists</v>
      </c>
      <c r="P99" t="str">
        <f t="shared" si="5"/>
        <v>Exists</v>
      </c>
    </row>
    <row r="100" spans="1:16">
      <c r="A100" s="50" t="s">
        <v>307</v>
      </c>
      <c r="B100" s="50" t="s">
        <v>332</v>
      </c>
      <c r="C100" s="50" t="s">
        <v>256</v>
      </c>
      <c r="D100" s="50">
        <v>50</v>
      </c>
      <c r="E100" s="50" t="s">
        <v>320</v>
      </c>
      <c r="F100" s="50" t="s">
        <v>333</v>
      </c>
      <c r="G100" s="50" t="s">
        <v>256</v>
      </c>
      <c r="H100" s="50">
        <v>50</v>
      </c>
      <c r="M100" t="str">
        <f>IF(COUNTIF($A:$A,E100)=0,"Not Exists","Exists")</f>
        <v>Not Exists</v>
      </c>
      <c r="N100" t="str">
        <f t="shared" si="3"/>
        <v>Not Exists</v>
      </c>
      <c r="O100" t="str">
        <f t="shared" si="4"/>
        <v>Exists</v>
      </c>
      <c r="P100" t="str">
        <f t="shared" si="5"/>
        <v>Exists</v>
      </c>
    </row>
    <row r="101" spans="1:16">
      <c r="A101" s="50" t="s">
        <v>307</v>
      </c>
      <c r="B101" s="50" t="s">
        <v>334</v>
      </c>
      <c r="C101" s="50" t="s">
        <v>256</v>
      </c>
      <c r="D101" s="50">
        <v>50</v>
      </c>
      <c r="E101" s="50" t="s">
        <v>297</v>
      </c>
      <c r="F101" s="50" t="s">
        <v>250</v>
      </c>
      <c r="G101" s="50" t="s">
        <v>251</v>
      </c>
      <c r="H101" s="50">
        <v>41</v>
      </c>
      <c r="M101" t="str">
        <f>IF(COUNTIF($A:$A,E101)=0,"Not Exists","Exists")</f>
        <v>Exists</v>
      </c>
      <c r="N101" t="str">
        <f t="shared" si="3"/>
        <v>Exists</v>
      </c>
      <c r="O101" t="str">
        <f t="shared" si="4"/>
        <v>Exists</v>
      </c>
      <c r="P101" t="str">
        <f>IF(COUNTIF($F:$F,B101)=0,"Not Exists","Exists")</f>
        <v>Not Exists</v>
      </c>
    </row>
    <row r="102" spans="1:16">
      <c r="A102" s="50" t="s">
        <v>307</v>
      </c>
      <c r="B102" s="50" t="s">
        <v>335</v>
      </c>
      <c r="C102" s="50" t="s">
        <v>251</v>
      </c>
      <c r="D102" s="50">
        <v>41</v>
      </c>
      <c r="E102" s="50" t="s">
        <v>297</v>
      </c>
      <c r="F102" s="50" t="s">
        <v>255</v>
      </c>
      <c r="G102" s="50" t="s">
        <v>256</v>
      </c>
      <c r="H102" s="50">
        <v>50</v>
      </c>
      <c r="M102" t="str">
        <f>IF(COUNTIF($A:$A,E102)=0,"Not Exists","Exists")</f>
        <v>Exists</v>
      </c>
      <c r="N102" t="str">
        <f t="shared" si="3"/>
        <v>Exists</v>
      </c>
      <c r="O102" t="str">
        <f t="shared" si="4"/>
        <v>Exists</v>
      </c>
      <c r="P102" t="str">
        <f t="shared" si="5"/>
        <v>Exists</v>
      </c>
    </row>
    <row r="103" spans="1:16">
      <c r="A103" s="50" t="s">
        <v>307</v>
      </c>
      <c r="B103" s="50" t="s">
        <v>336</v>
      </c>
      <c r="C103" s="50" t="s">
        <v>256</v>
      </c>
      <c r="D103" s="50">
        <v>64</v>
      </c>
      <c r="E103" s="50" t="s">
        <v>297</v>
      </c>
      <c r="F103" s="50" t="s">
        <v>266</v>
      </c>
      <c r="G103" s="50" t="s">
        <v>256</v>
      </c>
      <c r="H103" s="50">
        <v>50</v>
      </c>
      <c r="M103" t="str">
        <f>IF(COUNTIF($A:$A,E103)=0,"Not Exists","Exists")</f>
        <v>Exists</v>
      </c>
      <c r="N103" t="str">
        <f t="shared" si="3"/>
        <v>Exists</v>
      </c>
      <c r="O103" t="str">
        <f t="shared" si="4"/>
        <v>Exists</v>
      </c>
      <c r="P103" t="str">
        <f t="shared" si="5"/>
        <v>Exists</v>
      </c>
    </row>
    <row r="104" spans="1:16">
      <c r="A104" s="50" t="s">
        <v>307</v>
      </c>
      <c r="B104" s="50" t="s">
        <v>337</v>
      </c>
      <c r="C104" s="50" t="s">
        <v>256</v>
      </c>
      <c r="D104" s="50">
        <v>64</v>
      </c>
      <c r="E104" s="50" t="s">
        <v>297</v>
      </c>
      <c r="F104" s="50" t="s">
        <v>267</v>
      </c>
      <c r="G104" s="50" t="s">
        <v>256</v>
      </c>
      <c r="H104" s="50">
        <v>50</v>
      </c>
      <c r="M104" t="str">
        <f>IF(COUNTIF($A:$A,E104)=0,"Not Exists","Exists")</f>
        <v>Exists</v>
      </c>
      <c r="N104" t="str">
        <f t="shared" si="3"/>
        <v>Exists</v>
      </c>
      <c r="O104" t="str">
        <f t="shared" si="4"/>
        <v>Exists</v>
      </c>
      <c r="P104" t="str">
        <f t="shared" si="5"/>
        <v>Exists</v>
      </c>
    </row>
    <row r="105" spans="1:16">
      <c r="A105" s="50" t="s">
        <v>338</v>
      </c>
      <c r="B105" s="50" t="s">
        <v>250</v>
      </c>
      <c r="C105" s="50" t="s">
        <v>251</v>
      </c>
      <c r="D105" s="50">
        <v>41</v>
      </c>
      <c r="E105" s="50" t="s">
        <v>297</v>
      </c>
      <c r="F105" s="50" t="s">
        <v>268</v>
      </c>
      <c r="G105" s="50" t="s">
        <v>256</v>
      </c>
      <c r="H105" s="50">
        <v>17</v>
      </c>
      <c r="M105" t="str">
        <f>IF(COUNTIF($A:$A,E105)=0,"Not Exists","Exists")</f>
        <v>Exists</v>
      </c>
      <c r="N105" t="str">
        <f t="shared" si="3"/>
        <v>Exists</v>
      </c>
      <c r="O105" t="str">
        <f t="shared" si="4"/>
        <v>Not Exists</v>
      </c>
      <c r="P105" t="str">
        <f t="shared" si="5"/>
        <v>Exists</v>
      </c>
    </row>
    <row r="106" spans="1:16">
      <c r="A106" s="50" t="s">
        <v>338</v>
      </c>
      <c r="B106" s="50" t="s">
        <v>255</v>
      </c>
      <c r="C106" s="50" t="s">
        <v>256</v>
      </c>
      <c r="D106" s="50">
        <v>50</v>
      </c>
      <c r="E106" s="50" t="s">
        <v>297</v>
      </c>
      <c r="F106" s="50" t="s">
        <v>269</v>
      </c>
      <c r="G106" s="50" t="s">
        <v>256</v>
      </c>
      <c r="H106" s="50">
        <v>50</v>
      </c>
      <c r="M106" t="str">
        <f>IF(COUNTIF($A:$A,E106)=0,"Not Exists","Exists")</f>
        <v>Exists</v>
      </c>
      <c r="N106" t="str">
        <f t="shared" si="3"/>
        <v>Exists</v>
      </c>
      <c r="O106" t="str">
        <f t="shared" si="4"/>
        <v>Not Exists</v>
      </c>
      <c r="P106" t="str">
        <f t="shared" si="5"/>
        <v>Exists</v>
      </c>
    </row>
    <row r="107" spans="1:16">
      <c r="A107" s="50" t="s">
        <v>338</v>
      </c>
      <c r="B107" s="50" t="s">
        <v>258</v>
      </c>
      <c r="C107" s="50" t="s">
        <v>251</v>
      </c>
      <c r="D107" s="50">
        <v>17</v>
      </c>
      <c r="E107" s="50" t="s">
        <v>297</v>
      </c>
      <c r="F107" s="50" t="s">
        <v>270</v>
      </c>
      <c r="G107" s="50" t="s">
        <v>256</v>
      </c>
      <c r="H107" s="50">
        <v>50</v>
      </c>
      <c r="M107" t="str">
        <f>IF(COUNTIF($A:$A,E107)=0,"Not Exists","Exists")</f>
        <v>Exists</v>
      </c>
      <c r="N107" t="str">
        <f t="shared" si="3"/>
        <v>Exists</v>
      </c>
      <c r="O107" t="str">
        <f t="shared" si="4"/>
        <v>Not Exists</v>
      </c>
      <c r="P107" t="str">
        <f t="shared" si="5"/>
        <v>Exists</v>
      </c>
    </row>
    <row r="108" spans="1:16">
      <c r="A108" s="50" t="s">
        <v>338</v>
      </c>
      <c r="B108" s="50" t="s">
        <v>260</v>
      </c>
      <c r="C108" s="50" t="s">
        <v>256</v>
      </c>
      <c r="D108" s="50">
        <v>50</v>
      </c>
      <c r="E108" s="50" t="s">
        <v>297</v>
      </c>
      <c r="F108" s="50" t="s">
        <v>271</v>
      </c>
      <c r="G108" s="50" t="s">
        <v>256</v>
      </c>
      <c r="H108" s="50">
        <v>50</v>
      </c>
      <c r="M108" t="str">
        <f>IF(COUNTIF($A:$A,E108)=0,"Not Exists","Exists")</f>
        <v>Exists</v>
      </c>
      <c r="N108" t="str">
        <f t="shared" si="3"/>
        <v>Exists</v>
      </c>
      <c r="O108" t="str">
        <f t="shared" si="4"/>
        <v>Not Exists</v>
      </c>
      <c r="P108" t="str">
        <f t="shared" si="5"/>
        <v>Exists</v>
      </c>
    </row>
    <row r="109" spans="1:16">
      <c r="A109" s="50" t="s">
        <v>338</v>
      </c>
      <c r="B109" s="50" t="s">
        <v>262</v>
      </c>
      <c r="C109" s="50" t="s">
        <v>251</v>
      </c>
      <c r="D109" s="50">
        <v>17</v>
      </c>
      <c r="E109" s="50" t="s">
        <v>297</v>
      </c>
      <c r="F109" s="50" t="s">
        <v>299</v>
      </c>
      <c r="G109" s="50" t="s">
        <v>256</v>
      </c>
      <c r="H109" s="50">
        <v>50</v>
      </c>
      <c r="M109" t="str">
        <f>IF(COUNTIF($A:$A,E109)=0,"Not Exists","Exists")</f>
        <v>Exists</v>
      </c>
      <c r="N109" t="str">
        <f t="shared" si="3"/>
        <v>Exists</v>
      </c>
      <c r="O109" t="str">
        <f t="shared" si="4"/>
        <v>Not Exists</v>
      </c>
      <c r="P109" t="str">
        <f t="shared" si="5"/>
        <v>Exists</v>
      </c>
    </row>
    <row r="110" spans="1:16">
      <c r="A110" s="50" t="s">
        <v>338</v>
      </c>
      <c r="B110" s="50" t="s">
        <v>264</v>
      </c>
      <c r="C110" s="50" t="s">
        <v>256</v>
      </c>
      <c r="D110" s="50">
        <v>50</v>
      </c>
      <c r="E110" s="50" t="s">
        <v>297</v>
      </c>
      <c r="F110" s="50" t="s">
        <v>301</v>
      </c>
      <c r="G110" s="50" t="s">
        <v>256</v>
      </c>
      <c r="H110" s="50">
        <v>450</v>
      </c>
      <c r="M110" t="str">
        <f>IF(COUNTIF($A:$A,E110)=0,"Not Exists","Exists")</f>
        <v>Exists</v>
      </c>
      <c r="N110" t="str">
        <f t="shared" si="3"/>
        <v>Exists</v>
      </c>
      <c r="O110" t="str">
        <f t="shared" si="4"/>
        <v>Not Exists</v>
      </c>
      <c r="P110" t="str">
        <f t="shared" si="5"/>
        <v>Exists</v>
      </c>
    </row>
    <row r="111" spans="1:16">
      <c r="A111" s="50" t="s">
        <v>338</v>
      </c>
      <c r="B111" s="50" t="s">
        <v>266</v>
      </c>
      <c r="C111" s="50" t="s">
        <v>256</v>
      </c>
      <c r="D111" s="50">
        <v>50</v>
      </c>
      <c r="E111" s="50" t="s">
        <v>297</v>
      </c>
      <c r="F111" s="50" t="s">
        <v>303</v>
      </c>
      <c r="G111" s="50" t="s">
        <v>256</v>
      </c>
      <c r="H111" s="50">
        <v>3000</v>
      </c>
      <c r="M111" t="str">
        <f>IF(COUNTIF($A:$A,E111)=0,"Not Exists","Exists")</f>
        <v>Exists</v>
      </c>
      <c r="N111" t="str">
        <f t="shared" si="3"/>
        <v>Exists</v>
      </c>
      <c r="O111" t="str">
        <f t="shared" si="4"/>
        <v>Not Exists</v>
      </c>
      <c r="P111" t="str">
        <f t="shared" si="5"/>
        <v>Exists</v>
      </c>
    </row>
    <row r="112" spans="1:16">
      <c r="A112" s="50" t="s">
        <v>338</v>
      </c>
      <c r="B112" s="50" t="s">
        <v>267</v>
      </c>
      <c r="C112" s="50" t="s">
        <v>256</v>
      </c>
      <c r="D112" s="50">
        <v>50</v>
      </c>
      <c r="E112" s="50" t="s">
        <v>297</v>
      </c>
      <c r="F112" s="50" t="s">
        <v>305</v>
      </c>
      <c r="G112" s="50" t="s">
        <v>251</v>
      </c>
      <c r="H112" s="50">
        <v>41</v>
      </c>
      <c r="M112" t="str">
        <f>IF(COUNTIF($A:$A,E112)=0,"Not Exists","Exists")</f>
        <v>Exists</v>
      </c>
      <c r="N112" t="str">
        <f t="shared" si="3"/>
        <v>Exists</v>
      </c>
      <c r="O112" t="str">
        <f t="shared" si="4"/>
        <v>Not Exists</v>
      </c>
      <c r="P112" t="str">
        <f t="shared" si="5"/>
        <v>Exists</v>
      </c>
    </row>
    <row r="113" spans="1:16">
      <c r="A113" s="50" t="s">
        <v>338</v>
      </c>
      <c r="B113" s="50" t="s">
        <v>268</v>
      </c>
      <c r="C113" s="50" t="s">
        <v>256</v>
      </c>
      <c r="D113" s="50">
        <v>17</v>
      </c>
      <c r="E113" s="50" t="s">
        <v>297</v>
      </c>
      <c r="F113" s="50" t="s">
        <v>258</v>
      </c>
      <c r="G113" s="50" t="s">
        <v>251</v>
      </c>
      <c r="H113" s="50">
        <v>17</v>
      </c>
      <c r="M113" t="str">
        <f>IF(COUNTIF($A:$A,E113)=0,"Not Exists","Exists")</f>
        <v>Exists</v>
      </c>
      <c r="N113" t="str">
        <f t="shared" si="3"/>
        <v>Exists</v>
      </c>
      <c r="O113" t="str">
        <f t="shared" si="4"/>
        <v>Not Exists</v>
      </c>
      <c r="P113" t="str">
        <f t="shared" si="5"/>
        <v>Exists</v>
      </c>
    </row>
    <row r="114" spans="1:16">
      <c r="A114" s="50" t="s">
        <v>338</v>
      </c>
      <c r="B114" s="50" t="s">
        <v>269</v>
      </c>
      <c r="C114" s="50" t="s">
        <v>256</v>
      </c>
      <c r="D114" s="50">
        <v>50</v>
      </c>
      <c r="E114" s="50" t="s">
        <v>297</v>
      </c>
      <c r="F114" s="50" t="s">
        <v>260</v>
      </c>
      <c r="G114" s="50" t="s">
        <v>256</v>
      </c>
      <c r="H114" s="50">
        <v>50</v>
      </c>
      <c r="M114" t="str">
        <f>IF(COUNTIF($A:$A,E114)=0,"Not Exists","Exists")</f>
        <v>Exists</v>
      </c>
      <c r="N114" t="str">
        <f t="shared" si="3"/>
        <v>Exists</v>
      </c>
      <c r="O114" t="str">
        <f t="shared" si="4"/>
        <v>Not Exists</v>
      </c>
      <c r="P114" t="str">
        <f t="shared" si="5"/>
        <v>Exists</v>
      </c>
    </row>
    <row r="115" spans="1:16">
      <c r="A115" s="50" t="s">
        <v>338</v>
      </c>
      <c r="B115" s="50" t="s">
        <v>270</v>
      </c>
      <c r="C115" s="50" t="s">
        <v>256</v>
      </c>
      <c r="D115" s="50">
        <v>50</v>
      </c>
      <c r="E115" s="50" t="s">
        <v>297</v>
      </c>
      <c r="F115" s="50" t="s">
        <v>262</v>
      </c>
      <c r="G115" s="50" t="s">
        <v>251</v>
      </c>
      <c r="H115" s="50">
        <v>17</v>
      </c>
      <c r="M115" t="str">
        <f>IF(COUNTIF($A:$A,E115)=0,"Not Exists","Exists")</f>
        <v>Exists</v>
      </c>
      <c r="N115" t="str">
        <f t="shared" si="3"/>
        <v>Exists</v>
      </c>
      <c r="O115" t="str">
        <f t="shared" si="4"/>
        <v>Not Exists</v>
      </c>
      <c r="P115" t="str">
        <f t="shared" si="5"/>
        <v>Exists</v>
      </c>
    </row>
    <row r="116" spans="1:16">
      <c r="A116" s="50" t="s">
        <v>338</v>
      </c>
      <c r="B116" s="50" t="s">
        <v>271</v>
      </c>
      <c r="C116" s="50" t="s">
        <v>256</v>
      </c>
      <c r="D116" s="50">
        <v>50</v>
      </c>
      <c r="E116" s="50" t="s">
        <v>297</v>
      </c>
      <c r="F116" s="50" t="s">
        <v>264</v>
      </c>
      <c r="G116" s="50" t="s">
        <v>256</v>
      </c>
      <c r="H116" s="50">
        <v>50</v>
      </c>
      <c r="M116" t="str">
        <f>IF(COUNTIF($A:$A,E116)=0,"Not Exists","Exists")</f>
        <v>Exists</v>
      </c>
      <c r="N116" t="str">
        <f t="shared" si="3"/>
        <v>Exists</v>
      </c>
      <c r="O116" t="str">
        <f t="shared" si="4"/>
        <v>Not Exists</v>
      </c>
      <c r="P116" t="str">
        <f t="shared" si="5"/>
        <v>Exists</v>
      </c>
    </row>
    <row r="117" spans="1:16">
      <c r="A117" s="50" t="s">
        <v>338</v>
      </c>
      <c r="B117" s="50" t="s">
        <v>272</v>
      </c>
      <c r="C117" s="50" t="s">
        <v>256</v>
      </c>
      <c r="D117" s="50">
        <v>50</v>
      </c>
      <c r="E117" s="50" t="s">
        <v>339</v>
      </c>
      <c r="F117" s="50" t="s">
        <v>340</v>
      </c>
      <c r="G117" s="50" t="s">
        <v>251</v>
      </c>
      <c r="H117" s="50">
        <v>17</v>
      </c>
      <c r="M117" t="str">
        <f>IF(COUNTIF($A:$A,E117)=0,"Not Exists","Exists")</f>
        <v>Not Exists</v>
      </c>
      <c r="N117" t="str">
        <f t="shared" si="3"/>
        <v>Not Exists</v>
      </c>
      <c r="O117" t="str">
        <f t="shared" si="4"/>
        <v>Not Exists</v>
      </c>
      <c r="P117" t="str">
        <f t="shared" si="5"/>
        <v>Exists</v>
      </c>
    </row>
    <row r="118" spans="1:16">
      <c r="A118" s="50" t="s">
        <v>338</v>
      </c>
      <c r="B118" s="50" t="s">
        <v>341</v>
      </c>
      <c r="C118" s="50" t="s">
        <v>256</v>
      </c>
      <c r="D118" s="50">
        <v>50</v>
      </c>
      <c r="E118" s="50" t="s">
        <v>339</v>
      </c>
      <c r="F118" s="50" t="s">
        <v>342</v>
      </c>
      <c r="G118" s="50" t="s">
        <v>256</v>
      </c>
      <c r="H118" s="50">
        <v>2</v>
      </c>
      <c r="M118" t="str">
        <f>IF(COUNTIF($A:$A,E118)=0,"Not Exists","Exists")</f>
        <v>Not Exists</v>
      </c>
      <c r="N118" t="str">
        <f t="shared" ref="N117:N180" si="6">IF(COUNTIF($A:$B,F118)=0,"Not Exists","Exists")</f>
        <v>Not Exists</v>
      </c>
      <c r="O118" t="str">
        <f t="shared" si="4"/>
        <v>Not Exists</v>
      </c>
      <c r="P118" t="str">
        <f t="shared" si="5"/>
        <v>Not Exists</v>
      </c>
    </row>
    <row r="119" spans="1:16">
      <c r="A119" s="50" t="s">
        <v>338</v>
      </c>
      <c r="B119" s="50" t="s">
        <v>343</v>
      </c>
      <c r="C119" s="50" t="s">
        <v>256</v>
      </c>
      <c r="D119" s="50">
        <v>450</v>
      </c>
      <c r="E119" s="50" t="s">
        <v>339</v>
      </c>
      <c r="F119" s="50" t="s">
        <v>344</v>
      </c>
      <c r="G119" s="50" t="s">
        <v>256</v>
      </c>
      <c r="H119" s="50">
        <v>50</v>
      </c>
      <c r="M119" t="str">
        <f>IF(COUNTIF($A:$A,E119)=0,"Not Exists","Exists")</f>
        <v>Not Exists</v>
      </c>
      <c r="N119" t="str">
        <f t="shared" si="6"/>
        <v>Not Exists</v>
      </c>
      <c r="O119" t="str">
        <f t="shared" si="4"/>
        <v>Not Exists</v>
      </c>
      <c r="P119" t="str">
        <f t="shared" si="5"/>
        <v>Not Exists</v>
      </c>
    </row>
    <row r="120" spans="1:16">
      <c r="A120" s="50" t="s">
        <v>338</v>
      </c>
      <c r="B120" s="50" t="s">
        <v>345</v>
      </c>
      <c r="C120" s="50" t="s">
        <v>256</v>
      </c>
      <c r="D120" s="50">
        <v>450</v>
      </c>
      <c r="E120" s="50" t="s">
        <v>339</v>
      </c>
      <c r="F120" s="50" t="s">
        <v>313</v>
      </c>
      <c r="G120" s="50" t="s">
        <v>256</v>
      </c>
      <c r="H120" s="50">
        <v>50</v>
      </c>
      <c r="M120" t="str">
        <f>IF(COUNTIF($A:$A,E120)=0,"Not Exists","Exists")</f>
        <v>Not Exists</v>
      </c>
      <c r="N120" t="str">
        <f t="shared" si="6"/>
        <v>Exists</v>
      </c>
      <c r="O120" t="str">
        <f t="shared" si="4"/>
        <v>Not Exists</v>
      </c>
      <c r="P120" t="str">
        <f t="shared" si="5"/>
        <v>Not Exists</v>
      </c>
    </row>
    <row r="121" spans="1:16">
      <c r="A121" s="50" t="s">
        <v>338</v>
      </c>
      <c r="B121" s="50" t="s">
        <v>346</v>
      </c>
      <c r="C121" s="50" t="s">
        <v>256</v>
      </c>
      <c r="D121" s="50">
        <v>3000</v>
      </c>
      <c r="E121" s="50" t="s">
        <v>339</v>
      </c>
      <c r="F121" s="50" t="s">
        <v>326</v>
      </c>
      <c r="G121" s="50" t="s">
        <v>256</v>
      </c>
      <c r="H121" s="50">
        <v>450</v>
      </c>
      <c r="M121" t="str">
        <f>IF(COUNTIF($A:$A,E121)=0,"Not Exists","Exists")</f>
        <v>Not Exists</v>
      </c>
      <c r="N121" t="str">
        <f t="shared" si="6"/>
        <v>Exists</v>
      </c>
      <c r="O121" t="str">
        <f t="shared" si="4"/>
        <v>Not Exists</v>
      </c>
      <c r="P121" t="str">
        <f t="shared" si="5"/>
        <v>Not Exists</v>
      </c>
    </row>
    <row r="122" spans="1:16">
      <c r="A122" s="50" t="s">
        <v>338</v>
      </c>
      <c r="B122" s="50" t="s">
        <v>347</v>
      </c>
      <c r="C122" s="50" t="s">
        <v>256</v>
      </c>
      <c r="D122" s="50">
        <v>450</v>
      </c>
      <c r="E122" s="50" t="s">
        <v>339</v>
      </c>
      <c r="F122" s="50" t="s">
        <v>319</v>
      </c>
      <c r="G122" s="50" t="s">
        <v>256</v>
      </c>
      <c r="H122" s="50">
        <v>64</v>
      </c>
      <c r="M122" t="str">
        <f>IF(COUNTIF($A:$A,E122)=0,"Not Exists","Exists")</f>
        <v>Not Exists</v>
      </c>
      <c r="N122" t="str">
        <f t="shared" si="6"/>
        <v>Exists</v>
      </c>
      <c r="O122" t="str">
        <f t="shared" si="4"/>
        <v>Not Exists</v>
      </c>
      <c r="P122" t="str">
        <f t="shared" si="5"/>
        <v>Not Exists</v>
      </c>
    </row>
    <row r="123" spans="1:16">
      <c r="A123" s="50" t="s">
        <v>338</v>
      </c>
      <c r="B123" s="50" t="s">
        <v>348</v>
      </c>
      <c r="C123" s="50" t="s">
        <v>256</v>
      </c>
      <c r="D123" s="50">
        <v>50</v>
      </c>
      <c r="E123" s="50" t="s">
        <v>339</v>
      </c>
      <c r="F123" s="50" t="s">
        <v>332</v>
      </c>
      <c r="G123" s="50" t="s">
        <v>256</v>
      </c>
      <c r="H123" s="50">
        <v>50</v>
      </c>
      <c r="M123" t="str">
        <f>IF(COUNTIF($A:$A,E123)=0,"Not Exists","Exists")</f>
        <v>Not Exists</v>
      </c>
      <c r="N123" t="str">
        <f t="shared" si="6"/>
        <v>Exists</v>
      </c>
      <c r="O123" t="str">
        <f t="shared" si="4"/>
        <v>Not Exists</v>
      </c>
      <c r="P123" t="str">
        <f t="shared" si="5"/>
        <v>Not Exists</v>
      </c>
    </row>
    <row r="124" spans="1:16">
      <c r="A124" s="50" t="s">
        <v>349</v>
      </c>
      <c r="B124" s="50" t="s">
        <v>350</v>
      </c>
      <c r="C124" s="50" t="s">
        <v>256</v>
      </c>
      <c r="D124" s="50">
        <v>50</v>
      </c>
      <c r="E124" s="50" t="s">
        <v>339</v>
      </c>
      <c r="F124" s="50" t="s">
        <v>250</v>
      </c>
      <c r="G124" s="50" t="s">
        <v>251</v>
      </c>
      <c r="H124" s="50">
        <v>41</v>
      </c>
      <c r="M124" t="str">
        <f>IF(COUNTIF($A:$A,E124)=0,"Not Exists","Exists")</f>
        <v>Not Exists</v>
      </c>
      <c r="N124" t="str">
        <f t="shared" si="6"/>
        <v>Exists</v>
      </c>
      <c r="O124" t="str">
        <f t="shared" si="4"/>
        <v>Not Exists</v>
      </c>
      <c r="P124" t="str">
        <f t="shared" si="5"/>
        <v>Exists</v>
      </c>
    </row>
    <row r="125" spans="1:16">
      <c r="A125" s="50" t="s">
        <v>349</v>
      </c>
      <c r="B125" s="50" t="s">
        <v>351</v>
      </c>
      <c r="C125" s="50" t="s">
        <v>254</v>
      </c>
      <c r="D125" s="50">
        <v>22</v>
      </c>
      <c r="E125" s="50" t="s">
        <v>339</v>
      </c>
      <c r="F125" s="50" t="s">
        <v>255</v>
      </c>
      <c r="G125" s="50" t="s">
        <v>256</v>
      </c>
      <c r="H125" s="50">
        <v>50</v>
      </c>
      <c r="M125" t="str">
        <f>IF(COUNTIF($A:$A,E125)=0,"Not Exists","Exists")</f>
        <v>Not Exists</v>
      </c>
      <c r="N125" t="str">
        <f t="shared" si="6"/>
        <v>Exists</v>
      </c>
      <c r="O125" t="str">
        <f t="shared" si="4"/>
        <v>Not Exists</v>
      </c>
      <c r="P125" t="str">
        <f t="shared" si="5"/>
        <v>Not Exists</v>
      </c>
    </row>
    <row r="126" spans="1:16">
      <c r="A126" s="50" t="s">
        <v>349</v>
      </c>
      <c r="B126" s="50" t="s">
        <v>352</v>
      </c>
      <c r="C126" s="50" t="s">
        <v>256</v>
      </c>
      <c r="D126" s="50">
        <v>50</v>
      </c>
      <c r="E126" s="50" t="s">
        <v>339</v>
      </c>
      <c r="F126" s="50" t="s">
        <v>266</v>
      </c>
      <c r="G126" s="50" t="s">
        <v>256</v>
      </c>
      <c r="H126" s="50">
        <v>50</v>
      </c>
      <c r="M126" t="str">
        <f>IF(COUNTIF($A:$A,E126)=0,"Not Exists","Exists")</f>
        <v>Not Exists</v>
      </c>
      <c r="N126" t="str">
        <f t="shared" si="6"/>
        <v>Exists</v>
      </c>
      <c r="O126" t="str">
        <f t="shared" si="4"/>
        <v>Not Exists</v>
      </c>
      <c r="P126" t="str">
        <f t="shared" si="5"/>
        <v>Not Exists</v>
      </c>
    </row>
    <row r="127" spans="1:16">
      <c r="A127" s="50" t="s">
        <v>349</v>
      </c>
      <c r="B127" s="50" t="s">
        <v>353</v>
      </c>
      <c r="C127" s="50" t="s">
        <v>256</v>
      </c>
      <c r="D127" s="50">
        <v>50</v>
      </c>
      <c r="E127" s="50" t="s">
        <v>339</v>
      </c>
      <c r="F127" s="50" t="s">
        <v>267</v>
      </c>
      <c r="G127" s="50" t="s">
        <v>256</v>
      </c>
      <c r="H127" s="50">
        <v>50</v>
      </c>
      <c r="M127" t="str">
        <f>IF(COUNTIF($A:$A,E127)=0,"Not Exists","Exists")</f>
        <v>Not Exists</v>
      </c>
      <c r="N127" t="str">
        <f t="shared" si="6"/>
        <v>Exists</v>
      </c>
      <c r="O127" t="str">
        <f t="shared" si="4"/>
        <v>Not Exists</v>
      </c>
      <c r="P127" t="str">
        <f t="shared" si="5"/>
        <v>Not Exists</v>
      </c>
    </row>
    <row r="128" spans="1:16">
      <c r="A128" s="50" t="s">
        <v>349</v>
      </c>
      <c r="B128" s="50" t="s">
        <v>354</v>
      </c>
      <c r="C128" s="50" t="s">
        <v>256</v>
      </c>
      <c r="D128" s="50">
        <v>50</v>
      </c>
      <c r="E128" s="50" t="s">
        <v>339</v>
      </c>
      <c r="F128" s="50" t="s">
        <v>322</v>
      </c>
      <c r="G128" s="50" t="s">
        <v>256</v>
      </c>
      <c r="H128" s="50">
        <v>450</v>
      </c>
      <c r="M128" t="str">
        <f>IF(COUNTIF($A:$A,E128)=0,"Not Exists","Exists")</f>
        <v>Not Exists</v>
      </c>
      <c r="N128" t="str">
        <f t="shared" si="6"/>
        <v>Exists</v>
      </c>
      <c r="O128" t="str">
        <f t="shared" si="4"/>
        <v>Not Exists</v>
      </c>
      <c r="P128" t="str">
        <f t="shared" si="5"/>
        <v>Not Exists</v>
      </c>
    </row>
    <row r="129" spans="1:16">
      <c r="A129" s="50" t="s">
        <v>349</v>
      </c>
      <c r="B129" s="50" t="s">
        <v>355</v>
      </c>
      <c r="C129" s="50" t="s">
        <v>256</v>
      </c>
      <c r="D129" s="50">
        <v>50</v>
      </c>
      <c r="E129" s="50" t="s">
        <v>339</v>
      </c>
      <c r="F129" s="50" t="s">
        <v>324</v>
      </c>
      <c r="G129" s="50" t="s">
        <v>256</v>
      </c>
      <c r="H129" s="50">
        <v>450</v>
      </c>
      <c r="M129" t="str">
        <f>IF(COUNTIF($A:$A,E129)=0,"Not Exists","Exists")</f>
        <v>Not Exists</v>
      </c>
      <c r="N129" t="str">
        <f t="shared" si="6"/>
        <v>Exists</v>
      </c>
      <c r="O129" t="str">
        <f t="shared" si="4"/>
        <v>Not Exists</v>
      </c>
      <c r="P129" t="str">
        <f t="shared" si="5"/>
        <v>Exists</v>
      </c>
    </row>
    <row r="130" spans="1:16">
      <c r="A130" s="50" t="s">
        <v>349</v>
      </c>
      <c r="B130" s="50" t="s">
        <v>356</v>
      </c>
      <c r="C130" s="50" t="s">
        <v>256</v>
      </c>
      <c r="D130" s="50">
        <v>50</v>
      </c>
      <c r="E130" s="50" t="s">
        <v>339</v>
      </c>
      <c r="F130" s="50" t="s">
        <v>328</v>
      </c>
      <c r="G130" s="50" t="s">
        <v>256</v>
      </c>
      <c r="H130" s="50">
        <v>13</v>
      </c>
      <c r="M130" t="str">
        <f>IF(COUNTIF($A:$A,E130)=0,"Not Exists","Exists")</f>
        <v>Not Exists</v>
      </c>
      <c r="N130" t="str">
        <f t="shared" si="6"/>
        <v>Exists</v>
      </c>
      <c r="O130" t="str">
        <f t="shared" si="4"/>
        <v>Not Exists</v>
      </c>
      <c r="P130" t="str">
        <f t="shared" si="5"/>
        <v>Not Exists</v>
      </c>
    </row>
    <row r="131" spans="1:16">
      <c r="A131" s="50" t="s">
        <v>349</v>
      </c>
      <c r="B131" s="50" t="s">
        <v>357</v>
      </c>
      <c r="C131" s="50" t="s">
        <v>256</v>
      </c>
      <c r="D131" s="50">
        <v>50</v>
      </c>
      <c r="E131" s="50" t="s">
        <v>339</v>
      </c>
      <c r="F131" s="50" t="s">
        <v>330</v>
      </c>
      <c r="G131" s="50" t="s">
        <v>256</v>
      </c>
      <c r="H131" s="50">
        <v>13</v>
      </c>
      <c r="M131" t="str">
        <f>IF(COUNTIF($A:$A,E131)=0,"Not Exists","Exists")</f>
        <v>Not Exists</v>
      </c>
      <c r="N131" t="str">
        <f t="shared" si="6"/>
        <v>Exists</v>
      </c>
      <c r="O131" t="str">
        <f t="shared" si="4"/>
        <v>Not Exists</v>
      </c>
      <c r="P131" t="str">
        <f t="shared" si="5"/>
        <v>Exists</v>
      </c>
    </row>
    <row r="132" spans="1:16">
      <c r="A132" s="50" t="s">
        <v>349</v>
      </c>
      <c r="B132" s="50" t="s">
        <v>358</v>
      </c>
      <c r="C132" s="50" t="s">
        <v>251</v>
      </c>
      <c r="D132" s="50">
        <v>17</v>
      </c>
      <c r="E132" s="50" t="s">
        <v>339</v>
      </c>
      <c r="F132" s="50" t="s">
        <v>335</v>
      </c>
      <c r="G132" s="50" t="s">
        <v>251</v>
      </c>
      <c r="H132" s="50">
        <v>41</v>
      </c>
      <c r="M132" t="str">
        <f>IF(COUNTIF($A:$A,E132)=0,"Not Exists","Exists")</f>
        <v>Not Exists</v>
      </c>
      <c r="N132" t="str">
        <f t="shared" si="6"/>
        <v>Exists</v>
      </c>
      <c r="O132" t="str">
        <f t="shared" ref="O132:O195" si="7">IF(COUNTIF($E:$E,A132)=0,"Not Exists","Exists")</f>
        <v>Not Exists</v>
      </c>
      <c r="P132" t="str">
        <f t="shared" ref="P132:P195" si="8">IF(COUNTIF($F:$F,B132)=0,"Not Exists","Exists")</f>
        <v>Not Exists</v>
      </c>
    </row>
    <row r="133" spans="1:16">
      <c r="A133" s="50" t="s">
        <v>349</v>
      </c>
      <c r="B133" s="50" t="s">
        <v>359</v>
      </c>
      <c r="C133" s="50" t="s">
        <v>251</v>
      </c>
      <c r="D133" s="50">
        <v>17</v>
      </c>
      <c r="E133" s="50" t="s">
        <v>339</v>
      </c>
      <c r="F133" s="50" t="s">
        <v>268</v>
      </c>
      <c r="G133" s="50" t="s">
        <v>256</v>
      </c>
      <c r="H133" s="50">
        <v>17</v>
      </c>
      <c r="M133" t="str">
        <f>IF(COUNTIF($A:$A,E133)=0,"Not Exists","Exists")</f>
        <v>Not Exists</v>
      </c>
      <c r="N133" t="str">
        <f t="shared" si="6"/>
        <v>Exists</v>
      </c>
      <c r="O133" t="str">
        <f t="shared" si="7"/>
        <v>Not Exists</v>
      </c>
      <c r="P133" t="str">
        <f t="shared" si="8"/>
        <v>Not Exists</v>
      </c>
    </row>
    <row r="134" spans="1:16">
      <c r="A134" s="50" t="s">
        <v>349</v>
      </c>
      <c r="B134" s="50" t="s">
        <v>360</v>
      </c>
      <c r="C134" s="50" t="s">
        <v>256</v>
      </c>
      <c r="D134" s="50">
        <v>50</v>
      </c>
      <c r="E134" s="50" t="s">
        <v>339</v>
      </c>
      <c r="F134" s="50" t="s">
        <v>269</v>
      </c>
      <c r="G134" s="50" t="s">
        <v>256</v>
      </c>
      <c r="H134" s="50">
        <v>50</v>
      </c>
      <c r="M134" t="str">
        <f>IF(COUNTIF($A:$A,E134)=0,"Not Exists","Exists")</f>
        <v>Not Exists</v>
      </c>
      <c r="N134" t="str">
        <f t="shared" si="6"/>
        <v>Exists</v>
      </c>
      <c r="O134" t="str">
        <f t="shared" si="7"/>
        <v>Not Exists</v>
      </c>
      <c r="P134" t="str">
        <f t="shared" si="8"/>
        <v>Exists</v>
      </c>
    </row>
    <row r="135" spans="1:16">
      <c r="A135" s="50" t="s">
        <v>349</v>
      </c>
      <c r="B135" s="50" t="s">
        <v>361</v>
      </c>
      <c r="C135" s="50" t="s">
        <v>256</v>
      </c>
      <c r="D135" s="50">
        <v>8</v>
      </c>
      <c r="E135" s="50" t="s">
        <v>339</v>
      </c>
      <c r="F135" s="50" t="s">
        <v>270</v>
      </c>
      <c r="G135" s="50" t="s">
        <v>256</v>
      </c>
      <c r="H135" s="50">
        <v>50</v>
      </c>
      <c r="M135" t="str">
        <f>IF(COUNTIF($A:$A,E135)=0,"Not Exists","Exists")</f>
        <v>Not Exists</v>
      </c>
      <c r="N135" t="str">
        <f t="shared" si="6"/>
        <v>Exists</v>
      </c>
      <c r="O135" t="str">
        <f t="shared" si="7"/>
        <v>Not Exists</v>
      </c>
      <c r="P135" t="str">
        <f t="shared" si="8"/>
        <v>Not Exists</v>
      </c>
    </row>
    <row r="136" spans="1:16">
      <c r="A136" s="50" t="s">
        <v>349</v>
      </c>
      <c r="B136" s="50" t="s">
        <v>362</v>
      </c>
      <c r="C136" s="50" t="s">
        <v>256</v>
      </c>
      <c r="D136" s="50">
        <v>4000</v>
      </c>
      <c r="E136" s="50" t="s">
        <v>339</v>
      </c>
      <c r="F136" s="50" t="s">
        <v>271</v>
      </c>
      <c r="G136" s="50" t="s">
        <v>256</v>
      </c>
      <c r="H136" s="50">
        <v>50</v>
      </c>
      <c r="M136" t="str">
        <f>IF(COUNTIF($A:$A,E136)=0,"Not Exists","Exists")</f>
        <v>Not Exists</v>
      </c>
      <c r="N136" t="str">
        <f t="shared" si="6"/>
        <v>Exists</v>
      </c>
      <c r="O136" t="str">
        <f t="shared" si="7"/>
        <v>Not Exists</v>
      </c>
      <c r="P136" t="str">
        <f t="shared" si="8"/>
        <v>Not Exists</v>
      </c>
    </row>
    <row r="137" spans="1:16">
      <c r="A137" s="50" t="s">
        <v>349</v>
      </c>
      <c r="B137" s="50" t="s">
        <v>363</v>
      </c>
      <c r="C137" s="50" t="s">
        <v>256</v>
      </c>
      <c r="D137" s="50">
        <v>4000</v>
      </c>
      <c r="E137" s="50" t="s">
        <v>339</v>
      </c>
      <c r="F137" s="50" t="s">
        <v>258</v>
      </c>
      <c r="G137" s="50" t="s">
        <v>251</v>
      </c>
      <c r="H137" s="50">
        <v>17</v>
      </c>
      <c r="M137" t="str">
        <f>IF(COUNTIF($A:$A,E137)=0,"Not Exists","Exists")</f>
        <v>Not Exists</v>
      </c>
      <c r="N137" t="str">
        <f t="shared" si="6"/>
        <v>Exists</v>
      </c>
      <c r="O137" t="str">
        <f t="shared" si="7"/>
        <v>Not Exists</v>
      </c>
      <c r="P137" t="str">
        <f t="shared" si="8"/>
        <v>Not Exists</v>
      </c>
    </row>
    <row r="138" spans="1:16">
      <c r="A138" s="50" t="s">
        <v>349</v>
      </c>
      <c r="B138" s="50" t="s">
        <v>364</v>
      </c>
      <c r="C138" s="50" t="s">
        <v>256</v>
      </c>
      <c r="D138" s="50">
        <v>50</v>
      </c>
      <c r="E138" s="50" t="s">
        <v>339</v>
      </c>
      <c r="F138" s="50" t="s">
        <v>260</v>
      </c>
      <c r="G138" s="50" t="s">
        <v>256</v>
      </c>
      <c r="H138" s="50">
        <v>50</v>
      </c>
      <c r="M138" t="str">
        <f>IF(COUNTIF($A:$A,E138)=0,"Not Exists","Exists")</f>
        <v>Not Exists</v>
      </c>
      <c r="N138" t="str">
        <f t="shared" si="6"/>
        <v>Exists</v>
      </c>
      <c r="O138" t="str">
        <f t="shared" si="7"/>
        <v>Not Exists</v>
      </c>
      <c r="P138" t="str">
        <f t="shared" si="8"/>
        <v>Not Exists</v>
      </c>
    </row>
    <row r="139" spans="1:16">
      <c r="A139" s="50" t="s">
        <v>349</v>
      </c>
      <c r="B139" s="50" t="s">
        <v>365</v>
      </c>
      <c r="C139" s="50" t="s">
        <v>251</v>
      </c>
      <c r="D139" s="50">
        <v>17</v>
      </c>
      <c r="E139" s="50" t="s">
        <v>339</v>
      </c>
      <c r="F139" s="50" t="s">
        <v>262</v>
      </c>
      <c r="G139" s="50" t="s">
        <v>251</v>
      </c>
      <c r="H139" s="50">
        <v>17</v>
      </c>
      <c r="M139" t="str">
        <f>IF(COUNTIF($A:$A,E139)=0,"Not Exists","Exists")</f>
        <v>Not Exists</v>
      </c>
      <c r="N139" t="str">
        <f t="shared" si="6"/>
        <v>Exists</v>
      </c>
      <c r="O139" t="str">
        <f t="shared" si="7"/>
        <v>Not Exists</v>
      </c>
      <c r="P139" t="str">
        <f t="shared" si="8"/>
        <v>Not Exists</v>
      </c>
    </row>
    <row r="140" spans="1:16">
      <c r="A140" s="50" t="s">
        <v>366</v>
      </c>
      <c r="B140" s="50" t="s">
        <v>367</v>
      </c>
      <c r="C140" s="50" t="s">
        <v>256</v>
      </c>
      <c r="D140" s="50">
        <v>50</v>
      </c>
      <c r="E140" s="50" t="s">
        <v>339</v>
      </c>
      <c r="F140" s="50" t="s">
        <v>264</v>
      </c>
      <c r="G140" s="50" t="s">
        <v>256</v>
      </c>
      <c r="H140" s="50">
        <v>50</v>
      </c>
      <c r="M140" t="str">
        <f>IF(COUNTIF($A:$A,E140)=0,"Not Exists","Exists")</f>
        <v>Not Exists</v>
      </c>
      <c r="N140" t="str">
        <f t="shared" si="6"/>
        <v>Exists</v>
      </c>
      <c r="O140" t="str">
        <f t="shared" si="7"/>
        <v>Not Exists</v>
      </c>
      <c r="P140" t="str">
        <f t="shared" si="8"/>
        <v>Not Exists</v>
      </c>
    </row>
    <row r="141" spans="1:16">
      <c r="A141" s="50" t="s">
        <v>366</v>
      </c>
      <c r="B141" s="50" t="s">
        <v>368</v>
      </c>
      <c r="C141" s="50" t="s">
        <v>256</v>
      </c>
      <c r="D141" s="50">
        <v>50</v>
      </c>
      <c r="E141" s="50" t="s">
        <v>339</v>
      </c>
      <c r="F141" s="50" t="s">
        <v>336</v>
      </c>
      <c r="G141" s="50" t="s">
        <v>256</v>
      </c>
      <c r="H141" s="50">
        <v>64</v>
      </c>
      <c r="M141" t="str">
        <f>IF(COUNTIF($A:$A,E141)=0,"Not Exists","Exists")</f>
        <v>Not Exists</v>
      </c>
      <c r="N141" t="str">
        <f t="shared" si="6"/>
        <v>Exists</v>
      </c>
      <c r="O141" t="str">
        <f t="shared" si="7"/>
        <v>Not Exists</v>
      </c>
      <c r="P141" t="str">
        <f t="shared" si="8"/>
        <v>Not Exists</v>
      </c>
    </row>
    <row r="142" spans="1:16">
      <c r="A142" s="50" t="s">
        <v>366</v>
      </c>
      <c r="B142" s="50" t="s">
        <v>369</v>
      </c>
      <c r="C142" s="50" t="s">
        <v>256</v>
      </c>
      <c r="D142" s="50">
        <v>50</v>
      </c>
      <c r="E142" s="50" t="s">
        <v>339</v>
      </c>
      <c r="F142" s="50" t="s">
        <v>337</v>
      </c>
      <c r="G142" s="50" t="s">
        <v>256</v>
      </c>
      <c r="H142" s="50">
        <v>64</v>
      </c>
      <c r="M142" t="str">
        <f>IF(COUNTIF($A:$A,E142)=0,"Not Exists","Exists")</f>
        <v>Not Exists</v>
      </c>
      <c r="N142" t="str">
        <f t="shared" si="6"/>
        <v>Exists</v>
      </c>
      <c r="O142" t="str">
        <f t="shared" si="7"/>
        <v>Not Exists</v>
      </c>
      <c r="P142" t="str">
        <f t="shared" si="8"/>
        <v>Not Exists</v>
      </c>
    </row>
    <row r="143" spans="1:16">
      <c r="A143" s="50" t="s">
        <v>366</v>
      </c>
      <c r="B143" s="50" t="s">
        <v>370</v>
      </c>
      <c r="C143" s="50" t="s">
        <v>256</v>
      </c>
      <c r="D143" s="50">
        <v>50</v>
      </c>
      <c r="E143" s="50" t="s">
        <v>307</v>
      </c>
      <c r="F143" s="50" t="s">
        <v>313</v>
      </c>
      <c r="G143" s="50" t="s">
        <v>256</v>
      </c>
      <c r="H143" s="50">
        <v>50</v>
      </c>
      <c r="M143" t="str">
        <f>IF(COUNTIF($A:$A,E143)=0,"Not Exists","Exists")</f>
        <v>Exists</v>
      </c>
      <c r="N143" t="str">
        <f t="shared" si="6"/>
        <v>Exists</v>
      </c>
      <c r="O143" t="str">
        <f t="shared" si="7"/>
        <v>Not Exists</v>
      </c>
      <c r="P143" t="str">
        <f t="shared" si="8"/>
        <v>Not Exists</v>
      </c>
    </row>
    <row r="144" spans="1:16">
      <c r="A144" s="50" t="s">
        <v>366</v>
      </c>
      <c r="B144" s="50" t="s">
        <v>371</v>
      </c>
      <c r="C144" s="50" t="s">
        <v>256</v>
      </c>
      <c r="D144" s="50">
        <v>50</v>
      </c>
      <c r="E144" s="50" t="s">
        <v>307</v>
      </c>
      <c r="F144" s="50" t="s">
        <v>326</v>
      </c>
      <c r="G144" s="50" t="s">
        <v>256</v>
      </c>
      <c r="H144" s="50">
        <v>450</v>
      </c>
      <c r="M144" t="str">
        <f>IF(COUNTIF($A:$A,E144)=0,"Not Exists","Exists")</f>
        <v>Exists</v>
      </c>
      <c r="N144" t="str">
        <f t="shared" si="6"/>
        <v>Exists</v>
      </c>
      <c r="O144" t="str">
        <f t="shared" si="7"/>
        <v>Not Exists</v>
      </c>
      <c r="P144" t="str">
        <f t="shared" si="8"/>
        <v>Not Exists</v>
      </c>
    </row>
    <row r="145" spans="1:16">
      <c r="A145" s="50" t="s">
        <v>366</v>
      </c>
      <c r="B145" s="50" t="s">
        <v>372</v>
      </c>
      <c r="C145" s="50" t="s">
        <v>256</v>
      </c>
      <c r="D145" s="50">
        <v>50</v>
      </c>
      <c r="E145" s="50" t="s">
        <v>307</v>
      </c>
      <c r="F145" s="50" t="s">
        <v>319</v>
      </c>
      <c r="G145" s="50" t="s">
        <v>256</v>
      </c>
      <c r="H145" s="50">
        <v>64</v>
      </c>
      <c r="M145" t="str">
        <f>IF(COUNTIF($A:$A,E145)=0,"Not Exists","Exists")</f>
        <v>Exists</v>
      </c>
      <c r="N145" t="str">
        <f t="shared" si="6"/>
        <v>Exists</v>
      </c>
      <c r="O145" t="str">
        <f t="shared" si="7"/>
        <v>Not Exists</v>
      </c>
      <c r="P145" t="str">
        <f t="shared" si="8"/>
        <v>Not Exists</v>
      </c>
    </row>
    <row r="146" spans="1:16">
      <c r="A146" s="50" t="s">
        <v>366</v>
      </c>
      <c r="B146" s="50" t="s">
        <v>373</v>
      </c>
      <c r="C146" s="50" t="s">
        <v>251</v>
      </c>
      <c r="D146" s="50">
        <v>1</v>
      </c>
      <c r="E146" s="50" t="s">
        <v>307</v>
      </c>
      <c r="F146" s="50" t="s">
        <v>332</v>
      </c>
      <c r="G146" s="50" t="s">
        <v>256</v>
      </c>
      <c r="H146" s="50">
        <v>50</v>
      </c>
      <c r="M146" t="str">
        <f>IF(COUNTIF($A:$A,E146)=0,"Not Exists","Exists")</f>
        <v>Exists</v>
      </c>
      <c r="N146" t="str">
        <f t="shared" si="6"/>
        <v>Exists</v>
      </c>
      <c r="O146" t="str">
        <f t="shared" si="7"/>
        <v>Not Exists</v>
      </c>
      <c r="P146" t="str">
        <f t="shared" si="8"/>
        <v>Exists</v>
      </c>
    </row>
    <row r="147" spans="1:16">
      <c r="A147" s="50" t="s">
        <v>366</v>
      </c>
      <c r="B147" s="50" t="s">
        <v>374</v>
      </c>
      <c r="C147" s="50" t="s">
        <v>251</v>
      </c>
      <c r="D147" s="50">
        <v>17</v>
      </c>
      <c r="E147" s="50" t="s">
        <v>307</v>
      </c>
      <c r="F147" s="50" t="s">
        <v>250</v>
      </c>
      <c r="G147" s="50" t="s">
        <v>251</v>
      </c>
      <c r="H147" s="50">
        <v>41</v>
      </c>
      <c r="M147" t="str">
        <f>IF(COUNTIF($A:$A,E147)=0,"Not Exists","Exists")</f>
        <v>Exists</v>
      </c>
      <c r="N147" t="str">
        <f t="shared" si="6"/>
        <v>Exists</v>
      </c>
      <c r="O147" t="str">
        <f t="shared" si="7"/>
        <v>Not Exists</v>
      </c>
      <c r="P147" t="str">
        <f t="shared" si="8"/>
        <v>Not Exists</v>
      </c>
    </row>
    <row r="148" spans="1:16">
      <c r="A148" s="50" t="s">
        <v>366</v>
      </c>
      <c r="B148" s="50" t="s">
        <v>375</v>
      </c>
      <c r="C148" s="50" t="s">
        <v>251</v>
      </c>
      <c r="D148" s="50">
        <v>17</v>
      </c>
      <c r="E148" s="50" t="s">
        <v>307</v>
      </c>
      <c r="F148" s="50" t="s">
        <v>255</v>
      </c>
      <c r="G148" s="50" t="s">
        <v>256</v>
      </c>
      <c r="H148" s="50">
        <v>50</v>
      </c>
      <c r="M148" t="str">
        <f>IF(COUNTIF($A:$A,E148)=0,"Not Exists","Exists")</f>
        <v>Exists</v>
      </c>
      <c r="N148" t="str">
        <f t="shared" si="6"/>
        <v>Exists</v>
      </c>
      <c r="O148" t="str">
        <f t="shared" si="7"/>
        <v>Not Exists</v>
      </c>
      <c r="P148" t="str">
        <f t="shared" si="8"/>
        <v>Not Exists</v>
      </c>
    </row>
    <row r="149" spans="1:16">
      <c r="A149" s="50" t="s">
        <v>366</v>
      </c>
      <c r="B149" s="50" t="s">
        <v>376</v>
      </c>
      <c r="C149" s="50" t="s">
        <v>251</v>
      </c>
      <c r="D149" s="50">
        <v>17</v>
      </c>
      <c r="E149" s="50" t="s">
        <v>307</v>
      </c>
      <c r="F149" s="50" t="s">
        <v>266</v>
      </c>
      <c r="G149" s="50" t="s">
        <v>256</v>
      </c>
      <c r="H149" s="50">
        <v>50</v>
      </c>
      <c r="M149" t="str">
        <f>IF(COUNTIF($A:$A,E149)=0,"Not Exists","Exists")</f>
        <v>Exists</v>
      </c>
      <c r="N149" t="str">
        <f t="shared" si="6"/>
        <v>Exists</v>
      </c>
      <c r="O149" t="str">
        <f t="shared" si="7"/>
        <v>Not Exists</v>
      </c>
      <c r="P149" t="str">
        <f t="shared" si="8"/>
        <v>Not Exists</v>
      </c>
    </row>
    <row r="150" spans="1:16">
      <c r="A150" s="50" t="s">
        <v>366</v>
      </c>
      <c r="B150" s="50" t="s">
        <v>377</v>
      </c>
      <c r="C150" s="50" t="s">
        <v>251</v>
      </c>
      <c r="D150" s="50">
        <v>17</v>
      </c>
      <c r="E150" s="50" t="s">
        <v>307</v>
      </c>
      <c r="F150" s="50" t="s">
        <v>267</v>
      </c>
      <c r="G150" s="50" t="s">
        <v>256</v>
      </c>
      <c r="H150" s="50">
        <v>50</v>
      </c>
      <c r="M150" t="str">
        <f>IF(COUNTIF($A:$A,E150)=0,"Not Exists","Exists")</f>
        <v>Exists</v>
      </c>
      <c r="N150" t="str">
        <f t="shared" si="6"/>
        <v>Exists</v>
      </c>
      <c r="O150" t="str">
        <f t="shared" si="7"/>
        <v>Not Exists</v>
      </c>
      <c r="P150" t="str">
        <f t="shared" si="8"/>
        <v>Not Exists</v>
      </c>
    </row>
    <row r="151" spans="1:16">
      <c r="A151" s="50" t="s">
        <v>366</v>
      </c>
      <c r="B151" s="50" t="s">
        <v>378</v>
      </c>
      <c r="C151" s="50" t="s">
        <v>256</v>
      </c>
      <c r="D151" s="50">
        <v>50</v>
      </c>
      <c r="E151" s="50" t="s">
        <v>307</v>
      </c>
      <c r="F151" s="50" t="s">
        <v>322</v>
      </c>
      <c r="G151" s="50" t="s">
        <v>256</v>
      </c>
      <c r="H151" s="50">
        <v>450</v>
      </c>
      <c r="M151" t="str">
        <f>IF(COUNTIF($A:$A,E151)=0,"Not Exists","Exists")</f>
        <v>Exists</v>
      </c>
      <c r="N151" t="str">
        <f t="shared" si="6"/>
        <v>Exists</v>
      </c>
      <c r="O151" t="str">
        <f t="shared" si="7"/>
        <v>Not Exists</v>
      </c>
      <c r="P151" t="str">
        <f t="shared" si="8"/>
        <v>Not Exists</v>
      </c>
    </row>
    <row r="152" spans="1:16">
      <c r="A152" s="50" t="s">
        <v>366</v>
      </c>
      <c r="B152" s="50" t="s">
        <v>272</v>
      </c>
      <c r="C152" s="50" t="s">
        <v>256</v>
      </c>
      <c r="D152" s="50">
        <v>50</v>
      </c>
      <c r="E152" s="50" t="s">
        <v>307</v>
      </c>
      <c r="F152" s="50" t="s">
        <v>324</v>
      </c>
      <c r="G152" s="50" t="s">
        <v>256</v>
      </c>
      <c r="H152" s="50">
        <v>450</v>
      </c>
      <c r="M152" t="str">
        <f>IF(COUNTIF($A:$A,E152)=0,"Not Exists","Exists")</f>
        <v>Exists</v>
      </c>
      <c r="N152" t="str">
        <f t="shared" si="6"/>
        <v>Exists</v>
      </c>
      <c r="O152" t="str">
        <f t="shared" si="7"/>
        <v>Not Exists</v>
      </c>
      <c r="P152" t="str">
        <f t="shared" si="8"/>
        <v>Exists</v>
      </c>
    </row>
    <row r="153" spans="1:16">
      <c r="A153" s="50" t="s">
        <v>366</v>
      </c>
      <c r="B153" s="50" t="s">
        <v>364</v>
      </c>
      <c r="C153" s="50" t="s">
        <v>256</v>
      </c>
      <c r="D153" s="50">
        <v>50</v>
      </c>
      <c r="E153" s="50" t="s">
        <v>307</v>
      </c>
      <c r="F153" s="50" t="s">
        <v>328</v>
      </c>
      <c r="G153" s="50" t="s">
        <v>256</v>
      </c>
      <c r="H153" s="50">
        <v>13</v>
      </c>
      <c r="M153" t="str">
        <f>IF(COUNTIF($A:$A,E153)=0,"Not Exists","Exists")</f>
        <v>Exists</v>
      </c>
      <c r="N153" t="str">
        <f t="shared" si="6"/>
        <v>Exists</v>
      </c>
      <c r="O153" t="str">
        <f t="shared" si="7"/>
        <v>Not Exists</v>
      </c>
      <c r="P153" t="str">
        <f t="shared" si="8"/>
        <v>Not Exists</v>
      </c>
    </row>
    <row r="154" spans="1:16">
      <c r="A154" s="50" t="s">
        <v>366</v>
      </c>
      <c r="B154" s="50" t="s">
        <v>365</v>
      </c>
      <c r="C154" s="50" t="s">
        <v>251</v>
      </c>
      <c r="D154" s="50">
        <v>17</v>
      </c>
      <c r="E154" s="50" t="s">
        <v>307</v>
      </c>
      <c r="F154" s="50" t="s">
        <v>330</v>
      </c>
      <c r="G154" s="50" t="s">
        <v>256</v>
      </c>
      <c r="H154" s="50">
        <v>13</v>
      </c>
      <c r="M154" t="str">
        <f>IF(COUNTIF($A:$A,E154)=0,"Not Exists","Exists")</f>
        <v>Exists</v>
      </c>
      <c r="N154" t="str">
        <f t="shared" si="6"/>
        <v>Exists</v>
      </c>
      <c r="O154" t="str">
        <f t="shared" si="7"/>
        <v>Not Exists</v>
      </c>
      <c r="P154" t="str">
        <f t="shared" si="8"/>
        <v>Not Exists</v>
      </c>
    </row>
    <row r="155" spans="1:16">
      <c r="A155" s="50" t="s">
        <v>379</v>
      </c>
      <c r="B155" s="50" t="s">
        <v>367</v>
      </c>
      <c r="C155" s="50" t="s">
        <v>256</v>
      </c>
      <c r="D155" s="50">
        <v>50</v>
      </c>
      <c r="E155" s="50" t="s">
        <v>307</v>
      </c>
      <c r="F155" s="50" t="s">
        <v>335</v>
      </c>
      <c r="G155" s="50" t="s">
        <v>251</v>
      </c>
      <c r="H155" s="50">
        <v>41</v>
      </c>
      <c r="M155" t="str">
        <f>IF(COUNTIF($A:$A,E155)=0,"Not Exists","Exists")</f>
        <v>Exists</v>
      </c>
      <c r="N155" t="str">
        <f t="shared" si="6"/>
        <v>Exists</v>
      </c>
      <c r="O155" t="str">
        <f t="shared" si="7"/>
        <v>Not Exists</v>
      </c>
      <c r="P155" t="str">
        <f t="shared" si="8"/>
        <v>Not Exists</v>
      </c>
    </row>
    <row r="156" spans="1:16">
      <c r="A156" s="50" t="s">
        <v>379</v>
      </c>
      <c r="B156" s="50" t="s">
        <v>355</v>
      </c>
      <c r="C156" s="50" t="s">
        <v>256</v>
      </c>
      <c r="D156" s="50">
        <v>50</v>
      </c>
      <c r="E156" s="50" t="s">
        <v>307</v>
      </c>
      <c r="F156" s="50" t="s">
        <v>268</v>
      </c>
      <c r="G156" s="50" t="s">
        <v>256</v>
      </c>
      <c r="H156" s="50">
        <v>17</v>
      </c>
      <c r="M156" t="str">
        <f>IF(COUNTIF($A:$A,E156)=0,"Not Exists","Exists")</f>
        <v>Exists</v>
      </c>
      <c r="N156" t="str">
        <f t="shared" si="6"/>
        <v>Exists</v>
      </c>
      <c r="O156" t="str">
        <f t="shared" si="7"/>
        <v>Not Exists</v>
      </c>
      <c r="P156" t="str">
        <f t="shared" si="8"/>
        <v>Exists</v>
      </c>
    </row>
    <row r="157" spans="1:16">
      <c r="A157" s="50" t="s">
        <v>379</v>
      </c>
      <c r="B157" s="50" t="s">
        <v>380</v>
      </c>
      <c r="C157" s="50" t="s">
        <v>256</v>
      </c>
      <c r="D157" s="50">
        <v>450</v>
      </c>
      <c r="E157" s="50" t="s">
        <v>307</v>
      </c>
      <c r="F157" s="50" t="s">
        <v>269</v>
      </c>
      <c r="G157" s="50" t="s">
        <v>256</v>
      </c>
      <c r="H157" s="50">
        <v>50</v>
      </c>
      <c r="M157" t="str">
        <f>IF(COUNTIF($A:$A,E157)=0,"Not Exists","Exists")</f>
        <v>Exists</v>
      </c>
      <c r="N157" t="str">
        <f t="shared" si="6"/>
        <v>Exists</v>
      </c>
      <c r="O157" t="str">
        <f t="shared" si="7"/>
        <v>Not Exists</v>
      </c>
      <c r="P157" t="str">
        <f t="shared" si="8"/>
        <v>Not Exists</v>
      </c>
    </row>
    <row r="158" spans="1:16">
      <c r="A158" s="50" t="s">
        <v>379</v>
      </c>
      <c r="B158" s="50" t="s">
        <v>378</v>
      </c>
      <c r="C158" s="50" t="s">
        <v>256</v>
      </c>
      <c r="D158" s="50">
        <v>50</v>
      </c>
      <c r="E158" s="50" t="s">
        <v>307</v>
      </c>
      <c r="F158" s="50" t="s">
        <v>270</v>
      </c>
      <c r="G158" s="50" t="s">
        <v>256</v>
      </c>
      <c r="H158" s="50">
        <v>50</v>
      </c>
      <c r="M158" t="str">
        <f>IF(COUNTIF($A:$A,E158)=0,"Not Exists","Exists")</f>
        <v>Exists</v>
      </c>
      <c r="N158" t="str">
        <f t="shared" si="6"/>
        <v>Exists</v>
      </c>
      <c r="O158" t="str">
        <f t="shared" si="7"/>
        <v>Not Exists</v>
      </c>
      <c r="P158" t="str">
        <f t="shared" si="8"/>
        <v>Not Exists</v>
      </c>
    </row>
    <row r="159" spans="1:16">
      <c r="A159" s="50" t="s">
        <v>379</v>
      </c>
      <c r="B159" s="50" t="s">
        <v>272</v>
      </c>
      <c r="C159" s="50" t="s">
        <v>256</v>
      </c>
      <c r="D159" s="50">
        <v>50</v>
      </c>
      <c r="E159" s="50" t="s">
        <v>307</v>
      </c>
      <c r="F159" s="50" t="s">
        <v>271</v>
      </c>
      <c r="G159" s="50" t="s">
        <v>256</v>
      </c>
      <c r="H159" s="50">
        <v>50</v>
      </c>
      <c r="M159" t="str">
        <f>IF(COUNTIF($A:$A,E159)=0,"Not Exists","Exists")</f>
        <v>Exists</v>
      </c>
      <c r="N159" t="str">
        <f t="shared" si="6"/>
        <v>Exists</v>
      </c>
      <c r="O159" t="str">
        <f t="shared" si="7"/>
        <v>Not Exists</v>
      </c>
      <c r="P159" t="str">
        <f t="shared" si="8"/>
        <v>Exists</v>
      </c>
    </row>
    <row r="160" spans="1:16">
      <c r="A160" s="50" t="s">
        <v>379</v>
      </c>
      <c r="B160" s="50" t="s">
        <v>364</v>
      </c>
      <c r="C160" s="50" t="s">
        <v>256</v>
      </c>
      <c r="D160" s="50">
        <v>50</v>
      </c>
      <c r="E160" s="50" t="s">
        <v>307</v>
      </c>
      <c r="F160" s="50" t="s">
        <v>258</v>
      </c>
      <c r="G160" s="50" t="s">
        <v>251</v>
      </c>
      <c r="H160" s="50">
        <v>17</v>
      </c>
      <c r="M160" t="str">
        <f>IF(COUNTIF($A:$A,E160)=0,"Not Exists","Exists")</f>
        <v>Exists</v>
      </c>
      <c r="N160" t="str">
        <f t="shared" si="6"/>
        <v>Exists</v>
      </c>
      <c r="O160" t="str">
        <f t="shared" si="7"/>
        <v>Not Exists</v>
      </c>
      <c r="P160" t="str">
        <f t="shared" si="8"/>
        <v>Not Exists</v>
      </c>
    </row>
    <row r="161" spans="1:16">
      <c r="A161" s="50" t="s">
        <v>379</v>
      </c>
      <c r="B161" s="50" t="s">
        <v>365</v>
      </c>
      <c r="C161" s="50" t="s">
        <v>251</v>
      </c>
      <c r="D161" s="50">
        <v>17</v>
      </c>
      <c r="E161" s="50" t="s">
        <v>307</v>
      </c>
      <c r="F161" s="50" t="s">
        <v>260</v>
      </c>
      <c r="G161" s="50" t="s">
        <v>256</v>
      </c>
      <c r="H161" s="50">
        <v>50</v>
      </c>
      <c r="M161" t="str">
        <f>IF(COUNTIF($A:$A,E161)=0,"Not Exists","Exists")</f>
        <v>Exists</v>
      </c>
      <c r="N161" t="str">
        <f t="shared" si="6"/>
        <v>Exists</v>
      </c>
      <c r="O161" t="str">
        <f t="shared" si="7"/>
        <v>Not Exists</v>
      </c>
      <c r="P161" t="str">
        <f t="shared" si="8"/>
        <v>Not Exists</v>
      </c>
    </row>
    <row r="162" spans="1:16">
      <c r="A162" s="50" t="s">
        <v>381</v>
      </c>
      <c r="B162" s="50" t="s">
        <v>250</v>
      </c>
      <c r="C162" s="50" t="s">
        <v>251</v>
      </c>
      <c r="D162" s="50">
        <v>41</v>
      </c>
      <c r="E162" s="50" t="s">
        <v>307</v>
      </c>
      <c r="F162" s="50" t="s">
        <v>262</v>
      </c>
      <c r="G162" s="50" t="s">
        <v>251</v>
      </c>
      <c r="H162" s="50">
        <v>17</v>
      </c>
      <c r="M162" t="str">
        <f>IF(COUNTIF($A:$A,E162)=0,"Not Exists","Exists")</f>
        <v>Exists</v>
      </c>
      <c r="N162" t="str">
        <f t="shared" si="6"/>
        <v>Exists</v>
      </c>
      <c r="O162" t="str">
        <f t="shared" si="7"/>
        <v>Exists</v>
      </c>
      <c r="P162" t="str">
        <f t="shared" si="8"/>
        <v>Exists</v>
      </c>
    </row>
    <row r="163" spans="1:16">
      <c r="A163" s="50" t="s">
        <v>381</v>
      </c>
      <c r="B163" s="50" t="s">
        <v>255</v>
      </c>
      <c r="C163" s="50" t="s">
        <v>256</v>
      </c>
      <c r="D163" s="50">
        <v>50</v>
      </c>
      <c r="E163" s="50" t="s">
        <v>307</v>
      </c>
      <c r="F163" s="50" t="s">
        <v>264</v>
      </c>
      <c r="G163" s="50" t="s">
        <v>256</v>
      </c>
      <c r="H163" s="50">
        <v>50</v>
      </c>
      <c r="M163" t="str">
        <f>IF(COUNTIF($A:$A,E163)=0,"Not Exists","Exists")</f>
        <v>Exists</v>
      </c>
      <c r="N163" t="str">
        <f t="shared" si="6"/>
        <v>Exists</v>
      </c>
      <c r="O163" t="str">
        <f t="shared" si="7"/>
        <v>Exists</v>
      </c>
      <c r="P163" t="str">
        <f t="shared" si="8"/>
        <v>Exists</v>
      </c>
    </row>
    <row r="164" spans="1:16">
      <c r="A164" s="50" t="s">
        <v>381</v>
      </c>
      <c r="B164" s="50" t="s">
        <v>258</v>
      </c>
      <c r="C164" s="50" t="s">
        <v>251</v>
      </c>
      <c r="D164" s="50">
        <v>17</v>
      </c>
      <c r="E164" s="50" t="s">
        <v>307</v>
      </c>
      <c r="F164" s="50" t="s">
        <v>336</v>
      </c>
      <c r="G164" s="50" t="s">
        <v>256</v>
      </c>
      <c r="H164" s="50">
        <v>64</v>
      </c>
      <c r="M164" t="str">
        <f>IF(COUNTIF($A:$A,E164)=0,"Not Exists","Exists")</f>
        <v>Exists</v>
      </c>
      <c r="N164" t="str">
        <f t="shared" si="6"/>
        <v>Exists</v>
      </c>
      <c r="O164" t="str">
        <f t="shared" si="7"/>
        <v>Exists</v>
      </c>
      <c r="P164" t="str">
        <f t="shared" si="8"/>
        <v>Exists</v>
      </c>
    </row>
    <row r="165" spans="1:16">
      <c r="A165" s="50" t="s">
        <v>381</v>
      </c>
      <c r="B165" s="50" t="s">
        <v>260</v>
      </c>
      <c r="C165" s="50" t="s">
        <v>256</v>
      </c>
      <c r="D165" s="50">
        <v>50</v>
      </c>
      <c r="E165" s="50" t="s">
        <v>307</v>
      </c>
      <c r="F165" s="50" t="s">
        <v>337</v>
      </c>
      <c r="G165" s="50" t="s">
        <v>256</v>
      </c>
      <c r="H165" s="50">
        <v>64</v>
      </c>
      <c r="M165" t="str">
        <f>IF(COUNTIF($A:$A,E165)=0,"Not Exists","Exists")</f>
        <v>Exists</v>
      </c>
      <c r="N165" t="str">
        <f t="shared" si="6"/>
        <v>Exists</v>
      </c>
      <c r="O165" t="str">
        <f t="shared" si="7"/>
        <v>Exists</v>
      </c>
      <c r="P165" t="str">
        <f t="shared" si="8"/>
        <v>Exists</v>
      </c>
    </row>
    <row r="166" spans="1:16">
      <c r="A166" s="50" t="s">
        <v>381</v>
      </c>
      <c r="B166" s="50" t="s">
        <v>262</v>
      </c>
      <c r="C166" s="50" t="s">
        <v>251</v>
      </c>
      <c r="D166" s="50">
        <v>17</v>
      </c>
      <c r="E166" s="50" t="s">
        <v>381</v>
      </c>
      <c r="F166" s="50" t="s">
        <v>250</v>
      </c>
      <c r="G166" s="50" t="s">
        <v>251</v>
      </c>
      <c r="H166" s="50">
        <v>41</v>
      </c>
      <c r="M166" t="str">
        <f>IF(COUNTIF($A:$A,E166)=0,"Not Exists","Exists")</f>
        <v>Exists</v>
      </c>
      <c r="N166" t="str">
        <f t="shared" si="6"/>
        <v>Exists</v>
      </c>
      <c r="O166" t="str">
        <f t="shared" si="7"/>
        <v>Exists</v>
      </c>
      <c r="P166" t="str">
        <f t="shared" si="8"/>
        <v>Exists</v>
      </c>
    </row>
    <row r="167" spans="1:16">
      <c r="A167" s="50" t="s">
        <v>381</v>
      </c>
      <c r="B167" s="50" t="s">
        <v>264</v>
      </c>
      <c r="C167" s="50" t="s">
        <v>256</v>
      </c>
      <c r="D167" s="50">
        <v>50</v>
      </c>
      <c r="E167" s="50" t="s">
        <v>381</v>
      </c>
      <c r="F167" s="50" t="s">
        <v>255</v>
      </c>
      <c r="G167" s="50" t="s">
        <v>256</v>
      </c>
      <c r="H167" s="50">
        <v>50</v>
      </c>
      <c r="M167" t="str">
        <f>IF(COUNTIF($A:$A,E167)=0,"Not Exists","Exists")</f>
        <v>Exists</v>
      </c>
      <c r="N167" t="str">
        <f t="shared" si="6"/>
        <v>Exists</v>
      </c>
      <c r="O167" t="str">
        <f t="shared" si="7"/>
        <v>Exists</v>
      </c>
      <c r="P167" t="str">
        <f t="shared" si="8"/>
        <v>Exists</v>
      </c>
    </row>
    <row r="168" spans="1:16">
      <c r="A168" s="50" t="s">
        <v>381</v>
      </c>
      <c r="B168" s="50" t="s">
        <v>266</v>
      </c>
      <c r="C168" s="50" t="s">
        <v>256</v>
      </c>
      <c r="D168" s="50">
        <v>50</v>
      </c>
      <c r="E168" s="50" t="s">
        <v>381</v>
      </c>
      <c r="F168" s="50" t="s">
        <v>266</v>
      </c>
      <c r="G168" s="50" t="s">
        <v>256</v>
      </c>
      <c r="H168" s="50">
        <v>50</v>
      </c>
      <c r="M168" t="str">
        <f>IF(COUNTIF($A:$A,E168)=0,"Not Exists","Exists")</f>
        <v>Exists</v>
      </c>
      <c r="N168" t="str">
        <f t="shared" si="6"/>
        <v>Exists</v>
      </c>
      <c r="O168" t="str">
        <f t="shared" si="7"/>
        <v>Exists</v>
      </c>
      <c r="P168" t="str">
        <f t="shared" si="8"/>
        <v>Exists</v>
      </c>
    </row>
    <row r="169" spans="1:16">
      <c r="A169" s="50" t="s">
        <v>381</v>
      </c>
      <c r="B169" s="50" t="s">
        <v>267</v>
      </c>
      <c r="C169" s="50" t="s">
        <v>256</v>
      </c>
      <c r="D169" s="50">
        <v>50</v>
      </c>
      <c r="E169" s="50" t="s">
        <v>381</v>
      </c>
      <c r="F169" s="50" t="s">
        <v>267</v>
      </c>
      <c r="G169" s="50" t="s">
        <v>256</v>
      </c>
      <c r="H169" s="50">
        <v>50</v>
      </c>
      <c r="M169" t="str">
        <f>IF(COUNTIF($A:$A,E169)=0,"Not Exists","Exists")</f>
        <v>Exists</v>
      </c>
      <c r="N169" t="str">
        <f t="shared" si="6"/>
        <v>Exists</v>
      </c>
      <c r="O169" t="str">
        <f t="shared" si="7"/>
        <v>Exists</v>
      </c>
      <c r="P169" t="str">
        <f t="shared" si="8"/>
        <v>Exists</v>
      </c>
    </row>
    <row r="170" spans="1:16">
      <c r="A170" s="50" t="s">
        <v>381</v>
      </c>
      <c r="B170" s="50" t="s">
        <v>268</v>
      </c>
      <c r="C170" s="50" t="s">
        <v>256</v>
      </c>
      <c r="D170" s="50">
        <v>17</v>
      </c>
      <c r="E170" s="50" t="s">
        <v>381</v>
      </c>
      <c r="F170" s="50" t="s">
        <v>268</v>
      </c>
      <c r="G170" s="50" t="s">
        <v>256</v>
      </c>
      <c r="H170" s="50">
        <v>17</v>
      </c>
      <c r="M170" t="str">
        <f>IF(COUNTIF($A:$A,E170)=0,"Not Exists","Exists")</f>
        <v>Exists</v>
      </c>
      <c r="N170" t="str">
        <f t="shared" si="6"/>
        <v>Exists</v>
      </c>
      <c r="O170" t="str">
        <f t="shared" si="7"/>
        <v>Exists</v>
      </c>
      <c r="P170" t="str">
        <f t="shared" si="8"/>
        <v>Exists</v>
      </c>
    </row>
    <row r="171" spans="1:16">
      <c r="A171" s="50" t="s">
        <v>381</v>
      </c>
      <c r="B171" s="50" t="s">
        <v>269</v>
      </c>
      <c r="C171" s="50" t="s">
        <v>256</v>
      </c>
      <c r="D171" s="50">
        <v>50</v>
      </c>
      <c r="E171" s="50" t="s">
        <v>381</v>
      </c>
      <c r="F171" s="50" t="s">
        <v>269</v>
      </c>
      <c r="G171" s="50" t="s">
        <v>256</v>
      </c>
      <c r="H171" s="50">
        <v>50</v>
      </c>
      <c r="M171" t="str">
        <f>IF(COUNTIF($A:$A,E171)=0,"Not Exists","Exists")</f>
        <v>Exists</v>
      </c>
      <c r="N171" t="str">
        <f t="shared" si="6"/>
        <v>Exists</v>
      </c>
      <c r="O171" t="str">
        <f t="shared" si="7"/>
        <v>Exists</v>
      </c>
      <c r="P171" t="str">
        <f t="shared" si="8"/>
        <v>Exists</v>
      </c>
    </row>
    <row r="172" spans="1:16">
      <c r="A172" s="50" t="s">
        <v>381</v>
      </c>
      <c r="B172" s="50" t="s">
        <v>270</v>
      </c>
      <c r="C172" s="50" t="s">
        <v>256</v>
      </c>
      <c r="D172" s="50">
        <v>50</v>
      </c>
      <c r="E172" s="50" t="s">
        <v>381</v>
      </c>
      <c r="F172" s="50" t="s">
        <v>270</v>
      </c>
      <c r="G172" s="50" t="s">
        <v>256</v>
      </c>
      <c r="H172" s="50">
        <v>50</v>
      </c>
      <c r="M172" t="str">
        <f>IF(COUNTIF($A:$A,E172)=0,"Not Exists","Exists")</f>
        <v>Exists</v>
      </c>
      <c r="N172" t="str">
        <f t="shared" si="6"/>
        <v>Exists</v>
      </c>
      <c r="O172" t="str">
        <f t="shared" si="7"/>
        <v>Exists</v>
      </c>
      <c r="P172" t="str">
        <f t="shared" si="8"/>
        <v>Exists</v>
      </c>
    </row>
    <row r="173" spans="1:16">
      <c r="A173" s="50" t="s">
        <v>381</v>
      </c>
      <c r="B173" s="50" t="s">
        <v>271</v>
      </c>
      <c r="C173" s="50" t="s">
        <v>256</v>
      </c>
      <c r="D173" s="50">
        <v>50</v>
      </c>
      <c r="E173" s="50" t="s">
        <v>381</v>
      </c>
      <c r="F173" s="50" t="s">
        <v>271</v>
      </c>
      <c r="G173" s="50" t="s">
        <v>256</v>
      </c>
      <c r="H173" s="50">
        <v>50</v>
      </c>
      <c r="M173" t="str">
        <f>IF(COUNTIF($A:$A,E173)=0,"Not Exists","Exists")</f>
        <v>Exists</v>
      </c>
      <c r="N173" t="str">
        <f t="shared" si="6"/>
        <v>Exists</v>
      </c>
      <c r="O173" t="str">
        <f t="shared" si="7"/>
        <v>Exists</v>
      </c>
      <c r="P173" t="str">
        <f t="shared" si="8"/>
        <v>Exists</v>
      </c>
    </row>
    <row r="174" spans="1:16">
      <c r="A174" s="50" t="s">
        <v>381</v>
      </c>
      <c r="B174" s="50" t="s">
        <v>272</v>
      </c>
      <c r="C174" s="50" t="s">
        <v>256</v>
      </c>
      <c r="D174" s="50">
        <v>50</v>
      </c>
      <c r="E174" s="50" t="s">
        <v>381</v>
      </c>
      <c r="F174" s="50" t="s">
        <v>382</v>
      </c>
      <c r="G174" s="50" t="s">
        <v>256</v>
      </c>
      <c r="H174" s="50">
        <v>450</v>
      </c>
      <c r="M174" t="str">
        <f>IF(COUNTIF($A:$A,E174)=0,"Not Exists","Exists")</f>
        <v>Exists</v>
      </c>
      <c r="N174" t="str">
        <f t="shared" si="6"/>
        <v>Exists</v>
      </c>
      <c r="O174" t="str">
        <f t="shared" si="7"/>
        <v>Exists</v>
      </c>
      <c r="P174" t="str">
        <f t="shared" si="8"/>
        <v>Exists</v>
      </c>
    </row>
    <row r="175" spans="1:16">
      <c r="A175" s="50" t="s">
        <v>381</v>
      </c>
      <c r="B175" s="50" t="s">
        <v>382</v>
      </c>
      <c r="C175" s="50" t="s">
        <v>256</v>
      </c>
      <c r="D175" s="50">
        <v>450</v>
      </c>
      <c r="E175" s="50" t="s">
        <v>381</v>
      </c>
      <c r="F175" s="50" t="s">
        <v>383</v>
      </c>
      <c r="G175" s="50" t="s">
        <v>254</v>
      </c>
      <c r="H175" s="50">
        <v>22</v>
      </c>
      <c r="M175" t="str">
        <f>IF(COUNTIF($A:$A,E175)=0,"Not Exists","Exists")</f>
        <v>Exists</v>
      </c>
      <c r="N175" t="str">
        <f t="shared" si="6"/>
        <v>Exists</v>
      </c>
      <c r="O175" t="str">
        <f t="shared" si="7"/>
        <v>Exists</v>
      </c>
      <c r="P175" t="str">
        <f t="shared" si="8"/>
        <v>Exists</v>
      </c>
    </row>
    <row r="176" spans="1:16">
      <c r="A176" s="50" t="s">
        <v>381</v>
      </c>
      <c r="B176" s="50" t="s">
        <v>383</v>
      </c>
      <c r="C176" s="50" t="s">
        <v>254</v>
      </c>
      <c r="D176" s="50">
        <v>22</v>
      </c>
      <c r="E176" s="50" t="s">
        <v>381</v>
      </c>
      <c r="F176" s="50" t="s">
        <v>384</v>
      </c>
      <c r="G176" s="50" t="s">
        <v>256</v>
      </c>
      <c r="H176" s="50">
        <v>450</v>
      </c>
      <c r="M176" t="str">
        <f>IF(COUNTIF($A:$A,E176)=0,"Not Exists","Exists")</f>
        <v>Exists</v>
      </c>
      <c r="N176" t="str">
        <f t="shared" si="6"/>
        <v>Exists</v>
      </c>
      <c r="O176" t="str">
        <f t="shared" si="7"/>
        <v>Exists</v>
      </c>
      <c r="P176" t="str">
        <f t="shared" si="8"/>
        <v>Exists</v>
      </c>
    </row>
    <row r="177" spans="1:16">
      <c r="A177" s="50" t="s">
        <v>381</v>
      </c>
      <c r="B177" s="50" t="s">
        <v>384</v>
      </c>
      <c r="C177" s="50" t="s">
        <v>256</v>
      </c>
      <c r="D177" s="50">
        <v>450</v>
      </c>
      <c r="E177" s="50" t="s">
        <v>381</v>
      </c>
      <c r="F177" s="50" t="s">
        <v>385</v>
      </c>
      <c r="G177" s="50" t="s">
        <v>256</v>
      </c>
      <c r="H177" s="50">
        <v>3000</v>
      </c>
      <c r="M177" t="str">
        <f>IF(COUNTIF($A:$A,E177)=0,"Not Exists","Exists")</f>
        <v>Exists</v>
      </c>
      <c r="N177" t="str">
        <f t="shared" si="6"/>
        <v>Exists</v>
      </c>
      <c r="O177" t="str">
        <f t="shared" si="7"/>
        <v>Exists</v>
      </c>
      <c r="P177" t="str">
        <f t="shared" si="8"/>
        <v>Exists</v>
      </c>
    </row>
    <row r="178" spans="1:16">
      <c r="A178" s="50" t="s">
        <v>381</v>
      </c>
      <c r="B178" s="50" t="s">
        <v>385</v>
      </c>
      <c r="C178" s="50" t="s">
        <v>256</v>
      </c>
      <c r="D178" s="50">
        <v>3000</v>
      </c>
      <c r="E178" s="50" t="s">
        <v>381</v>
      </c>
      <c r="F178" s="50" t="s">
        <v>386</v>
      </c>
      <c r="G178" s="50" t="s">
        <v>256</v>
      </c>
      <c r="H178" s="50">
        <v>450</v>
      </c>
      <c r="M178" t="str">
        <f>IF(COUNTIF($A:$A,E178)=0,"Not Exists","Exists")</f>
        <v>Exists</v>
      </c>
      <c r="N178" t="str">
        <f t="shared" si="6"/>
        <v>Exists</v>
      </c>
      <c r="O178" t="str">
        <f t="shared" si="7"/>
        <v>Exists</v>
      </c>
      <c r="P178" t="str">
        <f t="shared" si="8"/>
        <v>Exists</v>
      </c>
    </row>
    <row r="179" spans="1:16">
      <c r="A179" s="50" t="s">
        <v>381</v>
      </c>
      <c r="B179" s="50" t="s">
        <v>386</v>
      </c>
      <c r="C179" s="50" t="s">
        <v>256</v>
      </c>
      <c r="D179" s="50">
        <v>450</v>
      </c>
      <c r="E179" s="50" t="s">
        <v>381</v>
      </c>
      <c r="F179" s="50" t="s">
        <v>258</v>
      </c>
      <c r="G179" s="50" t="s">
        <v>251</v>
      </c>
      <c r="H179" s="50">
        <v>17</v>
      </c>
      <c r="M179" t="str">
        <f>IF(COUNTIF($A:$A,E179)=0,"Not Exists","Exists")</f>
        <v>Exists</v>
      </c>
      <c r="N179" t="str">
        <f t="shared" si="6"/>
        <v>Exists</v>
      </c>
      <c r="O179" t="str">
        <f t="shared" si="7"/>
        <v>Exists</v>
      </c>
      <c r="P179" t="str">
        <f t="shared" si="8"/>
        <v>Exists</v>
      </c>
    </row>
    <row r="180" spans="1:16">
      <c r="A180" s="50" t="s">
        <v>387</v>
      </c>
      <c r="B180" s="50" t="s">
        <v>262</v>
      </c>
      <c r="C180" s="50" t="s">
        <v>256</v>
      </c>
      <c r="D180" s="50">
        <v>17</v>
      </c>
      <c r="E180" s="50" t="s">
        <v>381</v>
      </c>
      <c r="F180" s="50" t="s">
        <v>260</v>
      </c>
      <c r="G180" s="50" t="s">
        <v>256</v>
      </c>
      <c r="H180" s="50">
        <v>50</v>
      </c>
      <c r="M180" t="str">
        <f>IF(COUNTIF($A:$A,E180)=0,"Not Exists","Exists")</f>
        <v>Exists</v>
      </c>
      <c r="N180" t="str">
        <f t="shared" si="6"/>
        <v>Exists</v>
      </c>
      <c r="O180" t="str">
        <f t="shared" si="7"/>
        <v>Exists</v>
      </c>
      <c r="P180" t="str">
        <f t="shared" si="8"/>
        <v>Exists</v>
      </c>
    </row>
    <row r="181" spans="1:16">
      <c r="A181" s="50" t="s">
        <v>387</v>
      </c>
      <c r="B181" s="50" t="s">
        <v>264</v>
      </c>
      <c r="C181" s="50" t="s">
        <v>256</v>
      </c>
      <c r="D181" s="50">
        <v>50</v>
      </c>
      <c r="E181" s="50" t="s">
        <v>381</v>
      </c>
      <c r="F181" s="50" t="s">
        <v>262</v>
      </c>
      <c r="G181" s="50" t="s">
        <v>251</v>
      </c>
      <c r="H181" s="50">
        <v>17</v>
      </c>
      <c r="M181" t="str">
        <f>IF(COUNTIF($A:$A,E181)=0,"Not Exists","Exists")</f>
        <v>Exists</v>
      </c>
      <c r="N181" t="str">
        <f t="shared" ref="N181:N187" si="9">IF(COUNTIF($A:$B,F181)=0,"Not Exists","Exists")</f>
        <v>Exists</v>
      </c>
      <c r="O181" t="str">
        <f t="shared" si="7"/>
        <v>Exists</v>
      </c>
      <c r="P181" t="str">
        <f t="shared" si="8"/>
        <v>Exists</v>
      </c>
    </row>
    <row r="182" spans="1:16">
      <c r="A182" s="50" t="s">
        <v>387</v>
      </c>
      <c r="B182" s="50" t="s">
        <v>388</v>
      </c>
      <c r="C182" s="50" t="s">
        <v>256</v>
      </c>
      <c r="D182" s="50">
        <v>50</v>
      </c>
      <c r="E182" s="50" t="s">
        <v>381</v>
      </c>
      <c r="F182" s="50" t="s">
        <v>264</v>
      </c>
      <c r="G182" s="50" t="s">
        <v>256</v>
      </c>
      <c r="H182" s="50">
        <v>50</v>
      </c>
      <c r="M182" t="str">
        <f>IF(COUNTIF($A:$A,E182)=0,"Not Exists","Exists")</f>
        <v>Exists</v>
      </c>
      <c r="N182" t="str">
        <f t="shared" si="9"/>
        <v>Exists</v>
      </c>
      <c r="O182" t="str">
        <f t="shared" si="7"/>
        <v>Exists</v>
      </c>
      <c r="P182" t="str">
        <f t="shared" si="8"/>
        <v>Exists</v>
      </c>
    </row>
    <row r="183" spans="1:16">
      <c r="A183" s="50" t="s">
        <v>387</v>
      </c>
      <c r="B183" s="50" t="s">
        <v>389</v>
      </c>
      <c r="C183" s="50" t="s">
        <v>256</v>
      </c>
      <c r="D183" s="50">
        <v>50</v>
      </c>
      <c r="E183" s="50" t="s">
        <v>387</v>
      </c>
      <c r="F183" s="50" t="s">
        <v>262</v>
      </c>
      <c r="G183" s="50" t="s">
        <v>256</v>
      </c>
      <c r="H183" s="50">
        <v>17</v>
      </c>
      <c r="M183" t="str">
        <f>IF(COUNTIF($A:$A,E183)=0,"Not Exists","Exists")</f>
        <v>Exists</v>
      </c>
      <c r="N183" t="str">
        <f t="shared" si="9"/>
        <v>Exists</v>
      </c>
      <c r="O183" t="str">
        <f t="shared" si="7"/>
        <v>Exists</v>
      </c>
      <c r="P183" t="str">
        <f t="shared" si="8"/>
        <v>Exists</v>
      </c>
    </row>
    <row r="184" spans="1:16">
      <c r="A184" s="50" t="s">
        <v>387</v>
      </c>
      <c r="B184" s="50" t="s">
        <v>390</v>
      </c>
      <c r="C184" s="50" t="s">
        <v>256</v>
      </c>
      <c r="D184" s="50">
        <v>300</v>
      </c>
      <c r="E184" s="50" t="s">
        <v>387</v>
      </c>
      <c r="F184" s="50" t="s">
        <v>264</v>
      </c>
      <c r="G184" s="50" t="s">
        <v>256</v>
      </c>
      <c r="H184" s="50">
        <v>50</v>
      </c>
      <c r="M184" t="str">
        <f>IF(COUNTIF($A:$A,E184)=0,"Not Exists","Exists")</f>
        <v>Exists</v>
      </c>
      <c r="N184" t="str">
        <f t="shared" si="9"/>
        <v>Exists</v>
      </c>
      <c r="O184" t="str">
        <f t="shared" si="7"/>
        <v>Exists</v>
      </c>
      <c r="P184" t="str">
        <f t="shared" si="8"/>
        <v>Exists</v>
      </c>
    </row>
    <row r="185" spans="1:16">
      <c r="A185" s="50" t="s">
        <v>391</v>
      </c>
      <c r="B185" s="50" t="s">
        <v>262</v>
      </c>
      <c r="C185" s="50" t="s">
        <v>256</v>
      </c>
      <c r="D185" s="50">
        <v>17</v>
      </c>
      <c r="E185" s="50" t="s">
        <v>387</v>
      </c>
      <c r="F185" s="50" t="s">
        <v>388</v>
      </c>
      <c r="G185" s="50" t="s">
        <v>256</v>
      </c>
      <c r="H185" s="50">
        <v>50</v>
      </c>
      <c r="M185" t="str">
        <f>IF(COUNTIF($A:$A,E185)=0,"Not Exists","Exists")</f>
        <v>Exists</v>
      </c>
      <c r="N185" t="str">
        <f t="shared" si="9"/>
        <v>Exists</v>
      </c>
      <c r="O185" t="str">
        <f t="shared" si="7"/>
        <v>Exists</v>
      </c>
      <c r="P185" t="str">
        <f t="shared" si="8"/>
        <v>Exists</v>
      </c>
    </row>
    <row r="186" spans="1:16">
      <c r="A186" s="50" t="s">
        <v>391</v>
      </c>
      <c r="B186" s="50" t="s">
        <v>264</v>
      </c>
      <c r="C186" s="50" t="s">
        <v>256</v>
      </c>
      <c r="D186" s="50">
        <v>50</v>
      </c>
      <c r="E186" s="50" t="s">
        <v>387</v>
      </c>
      <c r="F186" s="50" t="s">
        <v>389</v>
      </c>
      <c r="G186" s="50" t="s">
        <v>256</v>
      </c>
      <c r="H186" s="50">
        <v>50</v>
      </c>
      <c r="M186" t="str">
        <f>IF(COUNTIF($A:$A,E186)=0,"Not Exists","Exists")</f>
        <v>Exists</v>
      </c>
      <c r="N186" t="str">
        <f t="shared" si="9"/>
        <v>Exists</v>
      </c>
      <c r="O186" t="str">
        <f t="shared" si="7"/>
        <v>Exists</v>
      </c>
      <c r="P186" t="str">
        <f t="shared" si="8"/>
        <v>Exists</v>
      </c>
    </row>
    <row r="187" spans="1:16">
      <c r="A187" s="50" t="s">
        <v>391</v>
      </c>
      <c r="B187" s="50" t="s">
        <v>388</v>
      </c>
      <c r="C187" s="50" t="s">
        <v>256</v>
      </c>
      <c r="D187" s="50">
        <v>50</v>
      </c>
      <c r="E187" s="50" t="s">
        <v>387</v>
      </c>
      <c r="F187" s="50" t="s">
        <v>390</v>
      </c>
      <c r="G187" s="50" t="s">
        <v>256</v>
      </c>
      <c r="H187" s="50">
        <v>300</v>
      </c>
      <c r="M187" t="str">
        <f>IF(COUNTIF($A:$A,E187)=0,"Not Exists","Exists")</f>
        <v>Exists</v>
      </c>
      <c r="N187" t="str">
        <f t="shared" si="9"/>
        <v>Exists</v>
      </c>
      <c r="O187" t="str">
        <f t="shared" si="7"/>
        <v>Exists</v>
      </c>
      <c r="P187" t="str">
        <f t="shared" si="8"/>
        <v>Exists</v>
      </c>
    </row>
    <row r="188" spans="1:16">
      <c r="A188" s="50" t="s">
        <v>391</v>
      </c>
      <c r="B188" s="50" t="s">
        <v>392</v>
      </c>
      <c r="C188" s="50" t="s">
        <v>256</v>
      </c>
      <c r="D188" s="50">
        <v>50</v>
      </c>
      <c r="E188" s="50" t="s">
        <v>393</v>
      </c>
      <c r="F188" s="50" t="s">
        <v>262</v>
      </c>
      <c r="G188" s="50" t="s">
        <v>256</v>
      </c>
      <c r="H188" s="50">
        <v>17</v>
      </c>
      <c r="M188" t="str">
        <f>IF(COUNTIF($A:$A,E188)=0,"Not Exists","Exists")</f>
        <v>Not Exists</v>
      </c>
      <c r="N188" t="str">
        <f t="shared" ref="N188:N216" si="10">IF(COUNTIF($A:$B,F188)=0,"Not Exists","Exists")</f>
        <v>Exists</v>
      </c>
      <c r="O188" t="str">
        <f t="shared" si="7"/>
        <v>Exists</v>
      </c>
      <c r="P188" t="str">
        <f t="shared" si="8"/>
        <v>Exists</v>
      </c>
    </row>
    <row r="189" spans="1:16">
      <c r="A189" s="50" t="s">
        <v>394</v>
      </c>
      <c r="B189" s="50" t="s">
        <v>250</v>
      </c>
      <c r="C189" s="50" t="s">
        <v>256</v>
      </c>
      <c r="D189" s="50">
        <v>41</v>
      </c>
      <c r="E189" s="50" t="s">
        <v>393</v>
      </c>
      <c r="F189" s="50" t="s">
        <v>264</v>
      </c>
      <c r="G189" s="50" t="s">
        <v>256</v>
      </c>
      <c r="H189" s="50">
        <v>50</v>
      </c>
      <c r="M189" t="str">
        <f>IF(COUNTIF($A:$A,E189)=0,"Not Exists","Exists")</f>
        <v>Not Exists</v>
      </c>
      <c r="N189" t="str">
        <f t="shared" si="10"/>
        <v>Exists</v>
      </c>
      <c r="O189" t="str">
        <f t="shared" si="7"/>
        <v>Exists</v>
      </c>
      <c r="P189" t="str">
        <f t="shared" si="8"/>
        <v>Exists</v>
      </c>
    </row>
    <row r="190" spans="1:16">
      <c r="A190" s="50" t="s">
        <v>394</v>
      </c>
      <c r="B190" s="50" t="s">
        <v>255</v>
      </c>
      <c r="C190" s="50" t="s">
        <v>256</v>
      </c>
      <c r="D190" s="50">
        <v>50</v>
      </c>
      <c r="E190" s="50" t="s">
        <v>393</v>
      </c>
      <c r="F190" s="50" t="s">
        <v>388</v>
      </c>
      <c r="G190" s="50" t="s">
        <v>256</v>
      </c>
      <c r="H190" s="50">
        <v>50</v>
      </c>
      <c r="M190" t="str">
        <f>IF(COUNTIF($A:$A,E190)=0,"Not Exists","Exists")</f>
        <v>Not Exists</v>
      </c>
      <c r="N190" t="str">
        <f t="shared" si="10"/>
        <v>Exists</v>
      </c>
      <c r="O190" t="str">
        <f t="shared" si="7"/>
        <v>Exists</v>
      </c>
      <c r="P190" t="str">
        <f t="shared" si="8"/>
        <v>Exists</v>
      </c>
    </row>
    <row r="191" spans="1:16">
      <c r="A191" s="50" t="s">
        <v>394</v>
      </c>
      <c r="B191" s="50" t="s">
        <v>258</v>
      </c>
      <c r="C191" s="50" t="s">
        <v>256</v>
      </c>
      <c r="D191" s="50">
        <v>17</v>
      </c>
      <c r="E191" s="50" t="s">
        <v>393</v>
      </c>
      <c r="F191" s="50" t="s">
        <v>389</v>
      </c>
      <c r="G191" s="50" t="s">
        <v>256</v>
      </c>
      <c r="H191" s="50">
        <v>50</v>
      </c>
      <c r="M191" t="str">
        <f>IF(COUNTIF($A:$A,E191)=0,"Not Exists","Exists")</f>
        <v>Not Exists</v>
      </c>
      <c r="N191" t="str">
        <f t="shared" si="10"/>
        <v>Exists</v>
      </c>
      <c r="O191" t="str">
        <f t="shared" si="7"/>
        <v>Exists</v>
      </c>
      <c r="P191" t="str">
        <f t="shared" si="8"/>
        <v>Exists</v>
      </c>
    </row>
    <row r="192" spans="1:16">
      <c r="A192" s="50" t="s">
        <v>394</v>
      </c>
      <c r="B192" s="50" t="s">
        <v>260</v>
      </c>
      <c r="C192" s="50" t="s">
        <v>256</v>
      </c>
      <c r="D192" s="50">
        <v>50</v>
      </c>
      <c r="E192" s="50" t="s">
        <v>393</v>
      </c>
      <c r="F192" s="50" t="s">
        <v>390</v>
      </c>
      <c r="G192" s="50" t="s">
        <v>256</v>
      </c>
      <c r="H192" s="50">
        <v>450</v>
      </c>
      <c r="M192" t="str">
        <f>IF(COUNTIF($A:$A,E192)=0,"Not Exists","Exists")</f>
        <v>Not Exists</v>
      </c>
      <c r="N192" t="str">
        <f t="shared" si="10"/>
        <v>Exists</v>
      </c>
      <c r="O192" t="str">
        <f t="shared" si="7"/>
        <v>Exists</v>
      </c>
      <c r="P192" t="str">
        <f t="shared" si="8"/>
        <v>Exists</v>
      </c>
    </row>
    <row r="193" spans="1:16">
      <c r="A193" s="50" t="s">
        <v>394</v>
      </c>
      <c r="B193" s="50" t="s">
        <v>262</v>
      </c>
      <c r="C193" s="50" t="s">
        <v>256</v>
      </c>
      <c r="D193" s="50">
        <v>17</v>
      </c>
      <c r="E193" s="50" t="s">
        <v>391</v>
      </c>
      <c r="F193" s="50" t="s">
        <v>262</v>
      </c>
      <c r="G193" s="50" t="s">
        <v>256</v>
      </c>
      <c r="H193" s="50">
        <v>17</v>
      </c>
      <c r="M193" t="str">
        <f>IF(COUNTIF($A:$A,E193)=0,"Not Exists","Exists")</f>
        <v>Exists</v>
      </c>
      <c r="N193" t="str">
        <f t="shared" si="10"/>
        <v>Exists</v>
      </c>
      <c r="O193" t="str">
        <f t="shared" si="7"/>
        <v>Exists</v>
      </c>
      <c r="P193" t="str">
        <f t="shared" si="8"/>
        <v>Exists</v>
      </c>
    </row>
    <row r="194" spans="1:16">
      <c r="A194" s="50" t="s">
        <v>394</v>
      </c>
      <c r="B194" s="50" t="s">
        <v>264</v>
      </c>
      <c r="C194" s="50" t="s">
        <v>256</v>
      </c>
      <c r="D194" s="50">
        <v>50</v>
      </c>
      <c r="E194" s="50" t="s">
        <v>391</v>
      </c>
      <c r="F194" s="50" t="s">
        <v>264</v>
      </c>
      <c r="G194" s="50" t="s">
        <v>256</v>
      </c>
      <c r="H194" s="50">
        <v>50</v>
      </c>
      <c r="M194" t="str">
        <f>IF(COUNTIF($A:$A,E194)=0,"Not Exists","Exists")</f>
        <v>Exists</v>
      </c>
      <c r="N194" t="str">
        <f t="shared" si="10"/>
        <v>Exists</v>
      </c>
      <c r="O194" t="str">
        <f t="shared" si="7"/>
        <v>Exists</v>
      </c>
      <c r="P194" t="str">
        <f t="shared" si="8"/>
        <v>Exists</v>
      </c>
    </row>
    <row r="195" spans="1:16">
      <c r="A195" s="50" t="s">
        <v>394</v>
      </c>
      <c r="B195" s="50" t="s">
        <v>266</v>
      </c>
      <c r="C195" s="50" t="s">
        <v>256</v>
      </c>
      <c r="D195" s="50">
        <v>50</v>
      </c>
      <c r="E195" s="50" t="s">
        <v>391</v>
      </c>
      <c r="F195" s="50" t="s">
        <v>388</v>
      </c>
      <c r="G195" s="50" t="s">
        <v>256</v>
      </c>
      <c r="H195" s="50">
        <v>50</v>
      </c>
      <c r="M195" t="str">
        <f>IF(COUNTIF($A:$A,E195)=0,"Not Exists","Exists")</f>
        <v>Exists</v>
      </c>
      <c r="N195" t="str">
        <f t="shared" si="10"/>
        <v>Exists</v>
      </c>
      <c r="O195" t="str">
        <f t="shared" si="7"/>
        <v>Exists</v>
      </c>
      <c r="P195" t="str">
        <f t="shared" si="8"/>
        <v>Exists</v>
      </c>
    </row>
    <row r="196" spans="1:16">
      <c r="A196" s="50" t="s">
        <v>394</v>
      </c>
      <c r="B196" s="50" t="s">
        <v>267</v>
      </c>
      <c r="C196" s="50" t="s">
        <v>256</v>
      </c>
      <c r="D196" s="50">
        <v>50</v>
      </c>
      <c r="E196" s="50" t="s">
        <v>391</v>
      </c>
      <c r="F196" s="50" t="s">
        <v>392</v>
      </c>
      <c r="G196" s="50" t="s">
        <v>256</v>
      </c>
      <c r="H196" s="50">
        <v>50</v>
      </c>
      <c r="M196" t="str">
        <f>IF(COUNTIF($A:$A,E196)=0,"Not Exists","Exists")</f>
        <v>Exists</v>
      </c>
      <c r="N196" t="str">
        <f t="shared" si="10"/>
        <v>Exists</v>
      </c>
      <c r="O196" t="str">
        <f t="shared" ref="O196:O259" si="11">IF(COUNTIF($E:$E,A196)=0,"Not Exists","Exists")</f>
        <v>Exists</v>
      </c>
      <c r="P196" t="str">
        <f t="shared" ref="P196:P259" si="12">IF(COUNTIF($F:$F,B196)=0,"Not Exists","Exists")</f>
        <v>Exists</v>
      </c>
    </row>
    <row r="197" spans="1:16">
      <c r="A197" s="50" t="s">
        <v>394</v>
      </c>
      <c r="B197" s="50" t="s">
        <v>268</v>
      </c>
      <c r="C197" s="50" t="s">
        <v>256</v>
      </c>
      <c r="D197" s="50">
        <v>17</v>
      </c>
      <c r="E197" s="50" t="s">
        <v>394</v>
      </c>
      <c r="F197" s="50" t="s">
        <v>250</v>
      </c>
      <c r="G197" s="50" t="s">
        <v>256</v>
      </c>
      <c r="H197" s="50">
        <v>41</v>
      </c>
      <c r="M197" t="str">
        <f>IF(COUNTIF($A:$A,E197)=0,"Not Exists","Exists")</f>
        <v>Exists</v>
      </c>
      <c r="N197" t="str">
        <f t="shared" si="10"/>
        <v>Exists</v>
      </c>
      <c r="O197" t="str">
        <f t="shared" si="11"/>
        <v>Exists</v>
      </c>
      <c r="P197" t="str">
        <f t="shared" si="12"/>
        <v>Exists</v>
      </c>
    </row>
    <row r="198" spans="1:16">
      <c r="A198" s="50" t="s">
        <v>394</v>
      </c>
      <c r="B198" s="50" t="s">
        <v>269</v>
      </c>
      <c r="C198" s="50" t="s">
        <v>256</v>
      </c>
      <c r="D198" s="50">
        <v>50</v>
      </c>
      <c r="E198" s="50" t="s">
        <v>394</v>
      </c>
      <c r="F198" s="50" t="s">
        <v>255</v>
      </c>
      <c r="G198" s="50" t="s">
        <v>256</v>
      </c>
      <c r="H198" s="50">
        <v>50</v>
      </c>
      <c r="M198" t="str">
        <f>IF(COUNTIF($A:$A,E198)=0,"Not Exists","Exists")</f>
        <v>Exists</v>
      </c>
      <c r="N198" t="str">
        <f t="shared" si="10"/>
        <v>Exists</v>
      </c>
      <c r="O198" t="str">
        <f t="shared" si="11"/>
        <v>Exists</v>
      </c>
      <c r="P198" t="str">
        <f t="shared" si="12"/>
        <v>Exists</v>
      </c>
    </row>
    <row r="199" spans="1:16">
      <c r="A199" s="50" t="s">
        <v>394</v>
      </c>
      <c r="B199" s="50" t="s">
        <v>270</v>
      </c>
      <c r="C199" s="50" t="s">
        <v>256</v>
      </c>
      <c r="D199" s="50">
        <v>50</v>
      </c>
      <c r="E199" s="50" t="s">
        <v>394</v>
      </c>
      <c r="F199" s="50" t="s">
        <v>258</v>
      </c>
      <c r="G199" s="50" t="s">
        <v>256</v>
      </c>
      <c r="H199" s="50">
        <v>17</v>
      </c>
      <c r="M199" t="str">
        <f>IF(COUNTIF($A:$A,E199)=0,"Not Exists","Exists")</f>
        <v>Exists</v>
      </c>
      <c r="N199" t="str">
        <f t="shared" si="10"/>
        <v>Exists</v>
      </c>
      <c r="O199" t="str">
        <f t="shared" si="11"/>
        <v>Exists</v>
      </c>
      <c r="P199" t="str">
        <f t="shared" si="12"/>
        <v>Exists</v>
      </c>
    </row>
    <row r="200" spans="1:16">
      <c r="A200" s="50" t="s">
        <v>394</v>
      </c>
      <c r="B200" s="50" t="s">
        <v>271</v>
      </c>
      <c r="C200" s="50" t="s">
        <v>256</v>
      </c>
      <c r="D200" s="50">
        <v>50</v>
      </c>
      <c r="E200" s="50" t="s">
        <v>394</v>
      </c>
      <c r="F200" s="50" t="s">
        <v>260</v>
      </c>
      <c r="G200" s="50" t="s">
        <v>256</v>
      </c>
      <c r="H200" s="50">
        <v>50</v>
      </c>
      <c r="M200" t="str">
        <f>IF(COUNTIF($A:$A,E200)=0,"Not Exists","Exists")</f>
        <v>Exists</v>
      </c>
      <c r="N200" t="str">
        <f t="shared" si="10"/>
        <v>Exists</v>
      </c>
      <c r="O200" t="str">
        <f t="shared" si="11"/>
        <v>Exists</v>
      </c>
      <c r="P200" t="str">
        <f t="shared" si="12"/>
        <v>Exists</v>
      </c>
    </row>
    <row r="201" spans="1:16">
      <c r="A201" s="50" t="s">
        <v>394</v>
      </c>
      <c r="B201" s="50" t="s">
        <v>388</v>
      </c>
      <c r="C201" s="50" t="s">
        <v>256</v>
      </c>
      <c r="D201" s="50">
        <v>50</v>
      </c>
      <c r="E201" s="50" t="s">
        <v>394</v>
      </c>
      <c r="F201" s="50" t="s">
        <v>262</v>
      </c>
      <c r="G201" s="50" t="s">
        <v>256</v>
      </c>
      <c r="H201" s="50">
        <v>17</v>
      </c>
      <c r="M201" t="str">
        <f>IF(COUNTIF($A:$A,E201)=0,"Not Exists","Exists")</f>
        <v>Exists</v>
      </c>
      <c r="N201" t="str">
        <f t="shared" si="10"/>
        <v>Exists</v>
      </c>
      <c r="O201" t="str">
        <f t="shared" si="11"/>
        <v>Exists</v>
      </c>
      <c r="P201" t="str">
        <f t="shared" si="12"/>
        <v>Exists</v>
      </c>
    </row>
    <row r="202" spans="1:16">
      <c r="A202" s="50" t="s">
        <v>394</v>
      </c>
      <c r="B202" s="50" t="s">
        <v>395</v>
      </c>
      <c r="C202" s="50" t="s">
        <v>256</v>
      </c>
      <c r="D202" s="50">
        <v>100</v>
      </c>
      <c r="E202" s="50" t="s">
        <v>394</v>
      </c>
      <c r="F202" s="50" t="s">
        <v>264</v>
      </c>
      <c r="G202" s="50" t="s">
        <v>256</v>
      </c>
      <c r="H202" s="50">
        <v>50</v>
      </c>
      <c r="M202" t="str">
        <f>IF(COUNTIF($A:$A,E202)=0,"Not Exists","Exists")</f>
        <v>Exists</v>
      </c>
      <c r="N202" t="str">
        <f t="shared" si="10"/>
        <v>Exists</v>
      </c>
      <c r="O202" t="str">
        <f t="shared" si="11"/>
        <v>Exists</v>
      </c>
      <c r="P202" t="str">
        <f t="shared" si="12"/>
        <v>Exists</v>
      </c>
    </row>
    <row r="203" spans="1:16">
      <c r="A203" s="50" t="s">
        <v>394</v>
      </c>
      <c r="B203" s="50" t="s">
        <v>396</v>
      </c>
      <c r="C203" s="50" t="s">
        <v>256</v>
      </c>
      <c r="D203" s="50">
        <v>255</v>
      </c>
      <c r="E203" s="50" t="s">
        <v>394</v>
      </c>
      <c r="F203" s="50" t="s">
        <v>266</v>
      </c>
      <c r="G203" s="50" t="s">
        <v>256</v>
      </c>
      <c r="H203" s="50">
        <v>50</v>
      </c>
      <c r="M203" t="str">
        <f>IF(COUNTIF($A:$A,E203)=0,"Not Exists","Exists")</f>
        <v>Exists</v>
      </c>
      <c r="N203" t="str">
        <f t="shared" si="10"/>
        <v>Exists</v>
      </c>
      <c r="O203" t="str">
        <f t="shared" si="11"/>
        <v>Exists</v>
      </c>
      <c r="P203" t="str">
        <f t="shared" si="12"/>
        <v>Exists</v>
      </c>
    </row>
    <row r="204" spans="1:16">
      <c r="A204" s="50" t="s">
        <v>394</v>
      </c>
      <c r="B204" s="50" t="s">
        <v>397</v>
      </c>
      <c r="C204" s="50" t="s">
        <v>256</v>
      </c>
      <c r="D204" s="50">
        <v>50</v>
      </c>
      <c r="E204" s="50" t="s">
        <v>394</v>
      </c>
      <c r="F204" s="50" t="s">
        <v>267</v>
      </c>
      <c r="G204" s="50" t="s">
        <v>256</v>
      </c>
      <c r="H204" s="50">
        <v>50</v>
      </c>
      <c r="M204" t="str">
        <f>IF(COUNTIF($A:$A,E204)=0,"Not Exists","Exists")</f>
        <v>Exists</v>
      </c>
      <c r="N204" t="str">
        <f t="shared" si="10"/>
        <v>Exists</v>
      </c>
      <c r="O204" t="str">
        <f t="shared" si="11"/>
        <v>Exists</v>
      </c>
      <c r="P204" t="str">
        <f t="shared" si="12"/>
        <v>Exists</v>
      </c>
    </row>
    <row r="205" spans="1:16">
      <c r="A205" s="50" t="s">
        <v>394</v>
      </c>
      <c r="B205" s="50" t="s">
        <v>398</v>
      </c>
      <c r="C205" s="50" t="s">
        <v>254</v>
      </c>
      <c r="D205" s="50">
        <v>22</v>
      </c>
      <c r="E205" s="50" t="s">
        <v>394</v>
      </c>
      <c r="F205" s="50" t="s">
        <v>268</v>
      </c>
      <c r="G205" s="50" t="s">
        <v>256</v>
      </c>
      <c r="H205" s="50">
        <v>17</v>
      </c>
      <c r="M205" t="str">
        <f>IF(COUNTIF($A:$A,E205)=0,"Not Exists","Exists")</f>
        <v>Exists</v>
      </c>
      <c r="N205" t="str">
        <f t="shared" si="10"/>
        <v>Exists</v>
      </c>
      <c r="O205" t="str">
        <f t="shared" si="11"/>
        <v>Exists</v>
      </c>
      <c r="P205" t="str">
        <f t="shared" si="12"/>
        <v>Exists</v>
      </c>
    </row>
    <row r="206" spans="1:16">
      <c r="A206" s="50" t="s">
        <v>394</v>
      </c>
      <c r="B206" s="50" t="s">
        <v>399</v>
      </c>
      <c r="C206" s="50" t="s">
        <v>256</v>
      </c>
      <c r="D206" s="50">
        <v>50</v>
      </c>
      <c r="E206" s="50" t="s">
        <v>394</v>
      </c>
      <c r="F206" s="50" t="s">
        <v>269</v>
      </c>
      <c r="G206" s="50" t="s">
        <v>256</v>
      </c>
      <c r="H206" s="50">
        <v>50</v>
      </c>
      <c r="M206" t="str">
        <f>IF(COUNTIF($A:$A,E206)=0,"Not Exists","Exists")</f>
        <v>Exists</v>
      </c>
      <c r="N206" t="str">
        <f t="shared" si="10"/>
        <v>Exists</v>
      </c>
      <c r="O206" t="str">
        <f t="shared" si="11"/>
        <v>Exists</v>
      </c>
      <c r="P206" t="str">
        <f t="shared" si="12"/>
        <v>Exists</v>
      </c>
    </row>
    <row r="207" spans="1:16">
      <c r="A207" s="50" t="s">
        <v>394</v>
      </c>
      <c r="B207" s="50" t="s">
        <v>400</v>
      </c>
      <c r="C207" s="50" t="s">
        <v>256</v>
      </c>
      <c r="D207" s="50">
        <v>1</v>
      </c>
      <c r="E207" s="50" t="s">
        <v>394</v>
      </c>
      <c r="F207" s="50" t="s">
        <v>270</v>
      </c>
      <c r="G207" s="50" t="s">
        <v>256</v>
      </c>
      <c r="H207" s="50">
        <v>50</v>
      </c>
      <c r="M207" t="str">
        <f>IF(COUNTIF($A:$A,E207)=0,"Not Exists","Exists")</f>
        <v>Exists</v>
      </c>
      <c r="N207" t="str">
        <f t="shared" si="10"/>
        <v>Exists</v>
      </c>
      <c r="O207" t="str">
        <f t="shared" si="11"/>
        <v>Exists</v>
      </c>
      <c r="P207" t="str">
        <f t="shared" si="12"/>
        <v>Exists</v>
      </c>
    </row>
    <row r="208" spans="1:16">
      <c r="A208" s="50" t="s">
        <v>394</v>
      </c>
      <c r="B208" s="50" t="s">
        <v>401</v>
      </c>
      <c r="C208" s="50" t="s">
        <v>256</v>
      </c>
      <c r="D208" s="50">
        <v>50</v>
      </c>
      <c r="E208" s="50" t="s">
        <v>394</v>
      </c>
      <c r="F208" s="50" t="s">
        <v>271</v>
      </c>
      <c r="G208" s="50" t="s">
        <v>256</v>
      </c>
      <c r="H208" s="50">
        <v>50</v>
      </c>
      <c r="M208" t="str">
        <f>IF(COUNTIF($A:$A,E208)=0,"Not Exists","Exists")</f>
        <v>Exists</v>
      </c>
      <c r="N208" t="str">
        <f t="shared" si="10"/>
        <v>Exists</v>
      </c>
      <c r="O208" t="str">
        <f t="shared" si="11"/>
        <v>Exists</v>
      </c>
      <c r="P208" t="str">
        <f t="shared" si="12"/>
        <v>Exists</v>
      </c>
    </row>
    <row r="209" spans="1:16">
      <c r="A209" s="50" t="s">
        <v>402</v>
      </c>
      <c r="B209" s="50" t="s">
        <v>250</v>
      </c>
      <c r="C209" s="50" t="s">
        <v>256</v>
      </c>
      <c r="D209" s="50">
        <v>41</v>
      </c>
      <c r="E209" s="50" t="s">
        <v>394</v>
      </c>
      <c r="F209" s="50" t="s">
        <v>388</v>
      </c>
      <c r="G209" s="50" t="s">
        <v>256</v>
      </c>
      <c r="H209" s="50">
        <v>50</v>
      </c>
      <c r="M209" t="str">
        <f>IF(COUNTIF($A:$A,E209)=0,"Not Exists","Exists")</f>
        <v>Exists</v>
      </c>
      <c r="N209" t="str">
        <f t="shared" si="10"/>
        <v>Exists</v>
      </c>
      <c r="O209" t="str">
        <f t="shared" si="11"/>
        <v>Exists</v>
      </c>
      <c r="P209" t="str">
        <f t="shared" si="12"/>
        <v>Exists</v>
      </c>
    </row>
    <row r="210" spans="1:16">
      <c r="A210" s="50" t="s">
        <v>402</v>
      </c>
      <c r="B210" s="50" t="s">
        <v>255</v>
      </c>
      <c r="C210" s="50" t="s">
        <v>256</v>
      </c>
      <c r="D210" s="50">
        <v>50</v>
      </c>
      <c r="E210" s="50" t="s">
        <v>394</v>
      </c>
      <c r="F210" s="50" t="s">
        <v>395</v>
      </c>
      <c r="G210" s="50" t="s">
        <v>256</v>
      </c>
      <c r="H210" s="50">
        <v>100</v>
      </c>
      <c r="M210" t="str">
        <f>IF(COUNTIF($A:$A,E210)=0,"Not Exists","Exists")</f>
        <v>Exists</v>
      </c>
      <c r="N210" t="str">
        <f t="shared" si="10"/>
        <v>Exists</v>
      </c>
      <c r="O210" t="str">
        <f t="shared" si="11"/>
        <v>Exists</v>
      </c>
      <c r="P210" t="str">
        <f t="shared" si="12"/>
        <v>Exists</v>
      </c>
    </row>
    <row r="211" spans="1:16">
      <c r="A211" s="50" t="s">
        <v>402</v>
      </c>
      <c r="B211" s="50" t="s">
        <v>258</v>
      </c>
      <c r="C211" s="50" t="s">
        <v>256</v>
      </c>
      <c r="D211" s="50">
        <v>17</v>
      </c>
      <c r="E211" s="50" t="s">
        <v>394</v>
      </c>
      <c r="F211" s="50" t="s">
        <v>396</v>
      </c>
      <c r="G211" s="50" t="s">
        <v>256</v>
      </c>
      <c r="H211" s="50">
        <v>255</v>
      </c>
      <c r="M211" t="str">
        <f>IF(COUNTIF($A:$A,E211)=0,"Not Exists","Exists")</f>
        <v>Exists</v>
      </c>
      <c r="N211" t="str">
        <f t="shared" si="10"/>
        <v>Exists</v>
      </c>
      <c r="O211" t="str">
        <f t="shared" si="11"/>
        <v>Exists</v>
      </c>
      <c r="P211" t="str">
        <f t="shared" si="12"/>
        <v>Exists</v>
      </c>
    </row>
    <row r="212" spans="1:16">
      <c r="A212" s="50" t="s">
        <v>402</v>
      </c>
      <c r="B212" s="50" t="s">
        <v>260</v>
      </c>
      <c r="C212" s="50" t="s">
        <v>256</v>
      </c>
      <c r="D212" s="50">
        <v>50</v>
      </c>
      <c r="E212" s="50" t="s">
        <v>394</v>
      </c>
      <c r="F212" s="50" t="s">
        <v>397</v>
      </c>
      <c r="G212" s="50" t="s">
        <v>256</v>
      </c>
      <c r="H212" s="50">
        <v>50</v>
      </c>
      <c r="M212" t="str">
        <f>IF(COUNTIF($A:$A,E212)=0,"Not Exists","Exists")</f>
        <v>Exists</v>
      </c>
      <c r="N212" t="str">
        <f t="shared" si="10"/>
        <v>Exists</v>
      </c>
      <c r="O212" t="str">
        <f t="shared" si="11"/>
        <v>Exists</v>
      </c>
      <c r="P212" t="str">
        <f t="shared" si="12"/>
        <v>Exists</v>
      </c>
    </row>
    <row r="213" spans="1:16">
      <c r="A213" s="50" t="s">
        <v>402</v>
      </c>
      <c r="B213" s="50" t="s">
        <v>262</v>
      </c>
      <c r="C213" s="50" t="s">
        <v>256</v>
      </c>
      <c r="D213" s="50">
        <v>17</v>
      </c>
      <c r="E213" s="50" t="s">
        <v>394</v>
      </c>
      <c r="F213" s="50" t="s">
        <v>398</v>
      </c>
      <c r="G213" s="50" t="s">
        <v>254</v>
      </c>
      <c r="H213" s="50">
        <v>22</v>
      </c>
      <c r="M213" t="str">
        <f>IF(COUNTIF($A:$A,E213)=0,"Not Exists","Exists")</f>
        <v>Exists</v>
      </c>
      <c r="N213" t="str">
        <f t="shared" si="10"/>
        <v>Exists</v>
      </c>
      <c r="O213" t="str">
        <f t="shared" si="11"/>
        <v>Exists</v>
      </c>
      <c r="P213" t="str">
        <f t="shared" si="12"/>
        <v>Exists</v>
      </c>
    </row>
    <row r="214" spans="1:16">
      <c r="A214" s="50" t="s">
        <v>402</v>
      </c>
      <c r="B214" s="50" t="s">
        <v>264</v>
      </c>
      <c r="C214" s="50" t="s">
        <v>256</v>
      </c>
      <c r="D214" s="50">
        <v>50</v>
      </c>
      <c r="E214" s="50" t="s">
        <v>394</v>
      </c>
      <c r="F214" s="50" t="s">
        <v>399</v>
      </c>
      <c r="G214" s="50" t="s">
        <v>256</v>
      </c>
      <c r="H214" s="50">
        <v>50</v>
      </c>
      <c r="M214" t="str">
        <f>IF(COUNTIF($A:$A,E214)=0,"Not Exists","Exists")</f>
        <v>Exists</v>
      </c>
      <c r="N214" t="str">
        <f t="shared" si="10"/>
        <v>Exists</v>
      </c>
      <c r="O214" t="str">
        <f t="shared" si="11"/>
        <v>Exists</v>
      </c>
      <c r="P214" t="str">
        <f t="shared" si="12"/>
        <v>Exists</v>
      </c>
    </row>
    <row r="215" spans="1:16">
      <c r="A215" s="50" t="s">
        <v>402</v>
      </c>
      <c r="B215" s="50" t="s">
        <v>266</v>
      </c>
      <c r="C215" s="50" t="s">
        <v>256</v>
      </c>
      <c r="D215" s="50">
        <v>50</v>
      </c>
      <c r="E215" s="50" t="s">
        <v>394</v>
      </c>
      <c r="F215" s="50" t="s">
        <v>400</v>
      </c>
      <c r="G215" s="50" t="s">
        <v>256</v>
      </c>
      <c r="H215" s="50">
        <v>1</v>
      </c>
      <c r="M215" t="str">
        <f>IF(COUNTIF($A:$A,E215)=0,"Not Exists","Exists")</f>
        <v>Exists</v>
      </c>
      <c r="N215" t="str">
        <f t="shared" si="10"/>
        <v>Exists</v>
      </c>
      <c r="O215" t="str">
        <f t="shared" si="11"/>
        <v>Exists</v>
      </c>
      <c r="P215" t="str">
        <f t="shared" si="12"/>
        <v>Exists</v>
      </c>
    </row>
    <row r="216" spans="1:16">
      <c r="A216" s="50" t="s">
        <v>402</v>
      </c>
      <c r="B216" s="50" t="s">
        <v>267</v>
      </c>
      <c r="C216" s="50" t="s">
        <v>256</v>
      </c>
      <c r="D216" s="50">
        <v>50</v>
      </c>
      <c r="E216" s="50" t="s">
        <v>394</v>
      </c>
      <c r="F216" s="50" t="s">
        <v>401</v>
      </c>
      <c r="G216" s="50" t="s">
        <v>256</v>
      </c>
      <c r="H216" s="50">
        <v>50</v>
      </c>
      <c r="M216" t="str">
        <f>IF(COUNTIF($A:$A,E216)=0,"Not Exists","Exists")</f>
        <v>Exists</v>
      </c>
      <c r="N216" t="str">
        <f t="shared" si="10"/>
        <v>Exists</v>
      </c>
      <c r="O216" t="str">
        <f t="shared" si="11"/>
        <v>Exists</v>
      </c>
      <c r="P216" t="str">
        <f t="shared" si="12"/>
        <v>Exists</v>
      </c>
    </row>
    <row r="217" spans="1:16">
      <c r="A217" s="50" t="s">
        <v>402</v>
      </c>
      <c r="B217" s="50" t="s">
        <v>268</v>
      </c>
      <c r="C217" s="50" t="s">
        <v>256</v>
      </c>
      <c r="D217" s="50">
        <v>17</v>
      </c>
      <c r="E217" s="50" t="s">
        <v>403</v>
      </c>
      <c r="F217" s="50" t="s">
        <v>250</v>
      </c>
      <c r="G217" s="50" t="s">
        <v>256</v>
      </c>
      <c r="H217" s="50">
        <v>41</v>
      </c>
      <c r="M217" t="str">
        <f>IF(COUNTIF($A:$A,E217)=0,"Not Exists","Exists")</f>
        <v>Not Exists</v>
      </c>
      <c r="N217" t="str">
        <f t="shared" ref="N217:N280" si="13">IF(COUNTIF($A:$B,F217)=0,"Not Exists","Exists")</f>
        <v>Exists</v>
      </c>
      <c r="O217" t="str">
        <f t="shared" si="11"/>
        <v>Exists</v>
      </c>
      <c r="P217" t="str">
        <f t="shared" si="12"/>
        <v>Exists</v>
      </c>
    </row>
    <row r="218" spans="1:16">
      <c r="A218" s="50" t="s">
        <v>402</v>
      </c>
      <c r="B218" s="50" t="s">
        <v>269</v>
      </c>
      <c r="C218" s="50" t="s">
        <v>256</v>
      </c>
      <c r="D218" s="50">
        <v>50</v>
      </c>
      <c r="E218" s="50" t="s">
        <v>403</v>
      </c>
      <c r="F218" s="50" t="s">
        <v>255</v>
      </c>
      <c r="G218" s="50" t="s">
        <v>256</v>
      </c>
      <c r="H218" s="50">
        <v>50</v>
      </c>
      <c r="M218" t="str">
        <f>IF(COUNTIF($A:$A,E218)=0,"Not Exists","Exists")</f>
        <v>Not Exists</v>
      </c>
      <c r="N218" t="str">
        <f t="shared" si="13"/>
        <v>Exists</v>
      </c>
      <c r="O218" t="str">
        <f t="shared" si="11"/>
        <v>Exists</v>
      </c>
      <c r="P218" t="str">
        <f t="shared" si="12"/>
        <v>Exists</v>
      </c>
    </row>
    <row r="219" spans="1:16">
      <c r="A219" s="50" t="s">
        <v>402</v>
      </c>
      <c r="B219" s="50" t="s">
        <v>270</v>
      </c>
      <c r="C219" s="50" t="s">
        <v>256</v>
      </c>
      <c r="D219" s="50">
        <v>50</v>
      </c>
      <c r="E219" s="50" t="s">
        <v>403</v>
      </c>
      <c r="F219" s="50" t="s">
        <v>258</v>
      </c>
      <c r="G219" s="50" t="s">
        <v>256</v>
      </c>
      <c r="H219" s="50">
        <v>17</v>
      </c>
      <c r="M219" t="str">
        <f>IF(COUNTIF($A:$A,E219)=0,"Not Exists","Exists")</f>
        <v>Not Exists</v>
      </c>
      <c r="N219" t="str">
        <f t="shared" si="13"/>
        <v>Exists</v>
      </c>
      <c r="O219" t="str">
        <f t="shared" si="11"/>
        <v>Exists</v>
      </c>
      <c r="P219" t="str">
        <f t="shared" si="12"/>
        <v>Exists</v>
      </c>
    </row>
    <row r="220" spans="1:16">
      <c r="A220" s="50" t="s">
        <v>402</v>
      </c>
      <c r="B220" s="50" t="s">
        <v>271</v>
      </c>
      <c r="C220" s="50" t="s">
        <v>256</v>
      </c>
      <c r="D220" s="50">
        <v>50</v>
      </c>
      <c r="E220" s="50" t="s">
        <v>403</v>
      </c>
      <c r="F220" s="50" t="s">
        <v>260</v>
      </c>
      <c r="G220" s="50" t="s">
        <v>256</v>
      </c>
      <c r="H220" s="50">
        <v>50</v>
      </c>
      <c r="M220" t="str">
        <f>IF(COUNTIF($A:$A,E220)=0,"Not Exists","Exists")</f>
        <v>Not Exists</v>
      </c>
      <c r="N220" t="str">
        <f t="shared" si="13"/>
        <v>Exists</v>
      </c>
      <c r="O220" t="str">
        <f t="shared" si="11"/>
        <v>Exists</v>
      </c>
      <c r="P220" t="str">
        <f t="shared" si="12"/>
        <v>Exists</v>
      </c>
    </row>
    <row r="221" spans="1:16">
      <c r="A221" s="50" t="s">
        <v>402</v>
      </c>
      <c r="B221" s="50" t="s">
        <v>392</v>
      </c>
      <c r="C221" s="50" t="s">
        <v>256</v>
      </c>
      <c r="D221" s="50">
        <v>50</v>
      </c>
      <c r="E221" s="50" t="s">
        <v>403</v>
      </c>
      <c r="F221" s="50" t="s">
        <v>262</v>
      </c>
      <c r="G221" s="50" t="s">
        <v>256</v>
      </c>
      <c r="H221" s="50">
        <v>17</v>
      </c>
      <c r="M221" t="str">
        <f>IF(COUNTIF($A:$A,E221)=0,"Not Exists","Exists")</f>
        <v>Not Exists</v>
      </c>
      <c r="N221" t="str">
        <f t="shared" si="13"/>
        <v>Exists</v>
      </c>
      <c r="O221" t="str">
        <f t="shared" si="11"/>
        <v>Exists</v>
      </c>
      <c r="P221" t="str">
        <f t="shared" si="12"/>
        <v>Exists</v>
      </c>
    </row>
    <row r="222" spans="1:16">
      <c r="A222" s="50" t="s">
        <v>402</v>
      </c>
      <c r="B222" s="50" t="s">
        <v>404</v>
      </c>
      <c r="C222" s="50" t="s">
        <v>256</v>
      </c>
      <c r="D222" s="50">
        <v>450</v>
      </c>
      <c r="E222" s="50" t="s">
        <v>403</v>
      </c>
      <c r="F222" s="50" t="s">
        <v>264</v>
      </c>
      <c r="G222" s="50" t="s">
        <v>256</v>
      </c>
      <c r="H222" s="50">
        <v>50</v>
      </c>
      <c r="M222" t="str">
        <f>IF(COUNTIF($A:$A,E222)=0,"Not Exists","Exists")</f>
        <v>Not Exists</v>
      </c>
      <c r="N222" t="str">
        <f t="shared" si="13"/>
        <v>Exists</v>
      </c>
      <c r="O222" t="str">
        <f t="shared" si="11"/>
        <v>Exists</v>
      </c>
      <c r="P222" t="str">
        <f t="shared" si="12"/>
        <v>Exists</v>
      </c>
    </row>
    <row r="223" spans="1:16">
      <c r="A223" s="50" t="s">
        <v>402</v>
      </c>
      <c r="B223" s="50" t="s">
        <v>405</v>
      </c>
      <c r="C223" s="50" t="s">
        <v>256</v>
      </c>
      <c r="D223" s="50">
        <v>3000</v>
      </c>
      <c r="E223" s="50" t="s">
        <v>403</v>
      </c>
      <c r="F223" s="50" t="s">
        <v>266</v>
      </c>
      <c r="G223" s="50" t="s">
        <v>256</v>
      </c>
      <c r="H223" s="50">
        <v>50</v>
      </c>
      <c r="M223" t="str">
        <f>IF(COUNTIF($A:$A,E223)=0,"Not Exists","Exists")</f>
        <v>Not Exists</v>
      </c>
      <c r="N223" t="str">
        <f t="shared" si="13"/>
        <v>Exists</v>
      </c>
      <c r="O223" t="str">
        <f t="shared" si="11"/>
        <v>Exists</v>
      </c>
      <c r="P223" t="str">
        <f t="shared" si="12"/>
        <v>Exists</v>
      </c>
    </row>
    <row r="224" spans="1:16">
      <c r="A224" s="50" t="s">
        <v>402</v>
      </c>
      <c r="B224" s="50" t="s">
        <v>406</v>
      </c>
      <c r="C224" s="50" t="s">
        <v>256</v>
      </c>
      <c r="D224" s="50">
        <v>50</v>
      </c>
      <c r="E224" s="50" t="s">
        <v>403</v>
      </c>
      <c r="F224" s="50" t="s">
        <v>267</v>
      </c>
      <c r="G224" s="50" t="s">
        <v>256</v>
      </c>
      <c r="H224" s="50">
        <v>50</v>
      </c>
      <c r="M224" t="str">
        <f>IF(COUNTIF($A:$A,E224)=0,"Not Exists","Exists")</f>
        <v>Not Exists</v>
      </c>
      <c r="N224" t="str">
        <f t="shared" si="13"/>
        <v>Exists</v>
      </c>
      <c r="O224" t="str">
        <f t="shared" si="11"/>
        <v>Exists</v>
      </c>
      <c r="P224" t="str">
        <f t="shared" si="12"/>
        <v>Exists</v>
      </c>
    </row>
    <row r="225" spans="1:16">
      <c r="A225" s="50" t="s">
        <v>402</v>
      </c>
      <c r="B225" s="50" t="s">
        <v>400</v>
      </c>
      <c r="C225" s="50" t="s">
        <v>256</v>
      </c>
      <c r="D225" s="50">
        <v>1</v>
      </c>
      <c r="E225" s="50" t="s">
        <v>403</v>
      </c>
      <c r="F225" s="50" t="s">
        <v>268</v>
      </c>
      <c r="G225" s="50" t="s">
        <v>256</v>
      </c>
      <c r="H225" s="50">
        <v>17</v>
      </c>
      <c r="M225" t="str">
        <f>IF(COUNTIF($A:$A,E225)=0,"Not Exists","Exists")</f>
        <v>Not Exists</v>
      </c>
      <c r="N225" t="str">
        <f t="shared" si="13"/>
        <v>Exists</v>
      </c>
      <c r="O225" t="str">
        <f t="shared" si="11"/>
        <v>Exists</v>
      </c>
      <c r="P225" t="str">
        <f t="shared" si="12"/>
        <v>Exists</v>
      </c>
    </row>
    <row r="226" spans="1:16">
      <c r="A226" s="50" t="s">
        <v>407</v>
      </c>
      <c r="B226" s="50" t="s">
        <v>262</v>
      </c>
      <c r="C226" s="50" t="s">
        <v>256</v>
      </c>
      <c r="D226" s="50">
        <v>17</v>
      </c>
      <c r="E226" s="50" t="s">
        <v>403</v>
      </c>
      <c r="F226" s="50" t="s">
        <v>269</v>
      </c>
      <c r="G226" s="50" t="s">
        <v>256</v>
      </c>
      <c r="H226" s="50">
        <v>50</v>
      </c>
      <c r="M226" t="str">
        <f>IF(COUNTIF($A:$A,E226)=0,"Not Exists","Exists")</f>
        <v>Not Exists</v>
      </c>
      <c r="N226" t="str">
        <f t="shared" si="13"/>
        <v>Exists</v>
      </c>
      <c r="O226" t="str">
        <f t="shared" si="11"/>
        <v>Exists</v>
      </c>
      <c r="P226" t="str">
        <f t="shared" si="12"/>
        <v>Exists</v>
      </c>
    </row>
    <row r="227" spans="1:16">
      <c r="A227" s="50" t="s">
        <v>407</v>
      </c>
      <c r="B227" s="50" t="s">
        <v>264</v>
      </c>
      <c r="C227" s="50" t="s">
        <v>256</v>
      </c>
      <c r="D227" s="50">
        <v>50</v>
      </c>
      <c r="E227" s="50" t="s">
        <v>403</v>
      </c>
      <c r="F227" s="50" t="s">
        <v>270</v>
      </c>
      <c r="G227" s="50" t="s">
        <v>256</v>
      </c>
      <c r="H227" s="50">
        <v>50</v>
      </c>
      <c r="M227" t="str">
        <f>IF(COUNTIF($A:$A,E227)=0,"Not Exists","Exists")</f>
        <v>Not Exists</v>
      </c>
      <c r="N227" t="str">
        <f t="shared" si="13"/>
        <v>Exists</v>
      </c>
      <c r="O227" t="str">
        <f t="shared" si="11"/>
        <v>Exists</v>
      </c>
      <c r="P227" t="str">
        <f t="shared" si="12"/>
        <v>Exists</v>
      </c>
    </row>
    <row r="228" spans="1:16">
      <c r="A228" s="50" t="s">
        <v>407</v>
      </c>
      <c r="B228" s="50" t="s">
        <v>392</v>
      </c>
      <c r="C228" s="50" t="s">
        <v>256</v>
      </c>
      <c r="D228" s="50">
        <v>50</v>
      </c>
      <c r="E228" s="50" t="s">
        <v>403</v>
      </c>
      <c r="F228" s="50" t="s">
        <v>271</v>
      </c>
      <c r="G228" s="50" t="s">
        <v>256</v>
      </c>
      <c r="H228" s="50">
        <v>50</v>
      </c>
      <c r="M228" t="str">
        <f>IF(COUNTIF($A:$A,E228)=0,"Not Exists","Exists")</f>
        <v>Not Exists</v>
      </c>
      <c r="N228" t="str">
        <f t="shared" si="13"/>
        <v>Exists</v>
      </c>
      <c r="O228" t="str">
        <f t="shared" si="11"/>
        <v>Exists</v>
      </c>
      <c r="P228" t="str">
        <f t="shared" si="12"/>
        <v>Exists</v>
      </c>
    </row>
    <row r="229" spans="1:16">
      <c r="A229" s="50" t="s">
        <v>407</v>
      </c>
      <c r="B229" s="50" t="s">
        <v>357</v>
      </c>
      <c r="C229" s="50" t="s">
        <v>256</v>
      </c>
      <c r="D229" s="50">
        <v>50</v>
      </c>
      <c r="E229" s="50" t="s">
        <v>403</v>
      </c>
      <c r="F229" s="50" t="s">
        <v>388</v>
      </c>
      <c r="G229" s="50" t="s">
        <v>256</v>
      </c>
      <c r="H229" s="50">
        <v>50</v>
      </c>
      <c r="M229" t="str">
        <f>IF(COUNTIF($A:$A,E229)=0,"Not Exists","Exists")</f>
        <v>Not Exists</v>
      </c>
      <c r="N229" t="str">
        <f t="shared" si="13"/>
        <v>Exists</v>
      </c>
      <c r="O229" t="str">
        <f t="shared" si="11"/>
        <v>Exists</v>
      </c>
      <c r="P229" t="str">
        <f t="shared" si="12"/>
        <v>Exists</v>
      </c>
    </row>
    <row r="230" spans="1:16">
      <c r="A230" s="50" t="s">
        <v>408</v>
      </c>
      <c r="B230" s="50" t="s">
        <v>250</v>
      </c>
      <c r="C230" s="50" t="s">
        <v>256</v>
      </c>
      <c r="D230" s="50">
        <v>41</v>
      </c>
      <c r="E230" s="50" t="s">
        <v>403</v>
      </c>
      <c r="F230" s="50" t="s">
        <v>395</v>
      </c>
      <c r="G230" s="50" t="s">
        <v>256</v>
      </c>
      <c r="H230" s="50">
        <v>50</v>
      </c>
      <c r="M230" t="str">
        <f>IF(COUNTIF($A:$A,E230)=0,"Not Exists","Exists")</f>
        <v>Not Exists</v>
      </c>
      <c r="N230" t="str">
        <f t="shared" si="13"/>
        <v>Exists</v>
      </c>
      <c r="O230" t="str">
        <f t="shared" si="11"/>
        <v>Exists</v>
      </c>
      <c r="P230" t="str">
        <f t="shared" si="12"/>
        <v>Exists</v>
      </c>
    </row>
    <row r="231" spans="1:16">
      <c r="A231" s="50" t="s">
        <v>408</v>
      </c>
      <c r="B231" s="50" t="s">
        <v>255</v>
      </c>
      <c r="C231" s="50" t="s">
        <v>256</v>
      </c>
      <c r="D231" s="50">
        <v>50</v>
      </c>
      <c r="E231" s="50" t="s">
        <v>403</v>
      </c>
      <c r="F231" s="50" t="s">
        <v>396</v>
      </c>
      <c r="G231" s="50" t="s">
        <v>256</v>
      </c>
      <c r="H231" s="50">
        <v>255</v>
      </c>
      <c r="M231" t="str">
        <f>IF(COUNTIF($A:$A,E231)=0,"Not Exists","Exists")</f>
        <v>Not Exists</v>
      </c>
      <c r="N231" t="str">
        <f t="shared" si="13"/>
        <v>Exists</v>
      </c>
      <c r="O231" t="str">
        <f t="shared" si="11"/>
        <v>Exists</v>
      </c>
      <c r="P231" t="str">
        <f t="shared" si="12"/>
        <v>Exists</v>
      </c>
    </row>
    <row r="232" spans="1:16">
      <c r="A232" s="50" t="s">
        <v>408</v>
      </c>
      <c r="B232" s="50" t="s">
        <v>258</v>
      </c>
      <c r="C232" s="50" t="s">
        <v>256</v>
      </c>
      <c r="D232" s="50">
        <v>17</v>
      </c>
      <c r="E232" s="50" t="s">
        <v>403</v>
      </c>
      <c r="F232" s="50" t="s">
        <v>397</v>
      </c>
      <c r="G232" s="50" t="s">
        <v>256</v>
      </c>
      <c r="H232" s="50">
        <v>50</v>
      </c>
      <c r="M232" t="str">
        <f>IF(COUNTIF($A:$A,E232)=0,"Not Exists","Exists")</f>
        <v>Not Exists</v>
      </c>
      <c r="N232" t="str">
        <f t="shared" si="13"/>
        <v>Exists</v>
      </c>
      <c r="O232" t="str">
        <f t="shared" si="11"/>
        <v>Exists</v>
      </c>
      <c r="P232" t="str">
        <f t="shared" si="12"/>
        <v>Exists</v>
      </c>
    </row>
    <row r="233" spans="1:16">
      <c r="A233" s="50" t="s">
        <v>408</v>
      </c>
      <c r="B233" s="50" t="s">
        <v>260</v>
      </c>
      <c r="C233" s="50" t="s">
        <v>256</v>
      </c>
      <c r="D233" s="50">
        <v>50</v>
      </c>
      <c r="E233" s="50" t="s">
        <v>403</v>
      </c>
      <c r="F233" s="50" t="s">
        <v>398</v>
      </c>
      <c r="G233" s="50" t="s">
        <v>254</v>
      </c>
      <c r="H233" s="50">
        <v>22</v>
      </c>
      <c r="M233" t="str">
        <f>IF(COUNTIF($A:$A,E233)=0,"Not Exists","Exists")</f>
        <v>Not Exists</v>
      </c>
      <c r="N233" t="str">
        <f t="shared" si="13"/>
        <v>Exists</v>
      </c>
      <c r="O233" t="str">
        <f t="shared" si="11"/>
        <v>Exists</v>
      </c>
      <c r="P233" t="str">
        <f t="shared" si="12"/>
        <v>Exists</v>
      </c>
    </row>
    <row r="234" spans="1:16">
      <c r="A234" s="50" t="s">
        <v>408</v>
      </c>
      <c r="B234" s="50" t="s">
        <v>262</v>
      </c>
      <c r="C234" s="50" t="s">
        <v>256</v>
      </c>
      <c r="D234" s="50">
        <v>17</v>
      </c>
      <c r="E234" s="50" t="s">
        <v>403</v>
      </c>
      <c r="F234" s="50" t="s">
        <v>399</v>
      </c>
      <c r="G234" s="50" t="s">
        <v>256</v>
      </c>
      <c r="H234" s="50">
        <v>50</v>
      </c>
      <c r="M234" t="str">
        <f>IF(COUNTIF($A:$A,E234)=0,"Not Exists","Exists")</f>
        <v>Not Exists</v>
      </c>
      <c r="N234" t="str">
        <f t="shared" si="13"/>
        <v>Exists</v>
      </c>
      <c r="O234" t="str">
        <f t="shared" si="11"/>
        <v>Exists</v>
      </c>
      <c r="P234" t="str">
        <f t="shared" si="12"/>
        <v>Exists</v>
      </c>
    </row>
    <row r="235" spans="1:16">
      <c r="A235" s="50" t="s">
        <v>408</v>
      </c>
      <c r="B235" s="50" t="s">
        <v>264</v>
      </c>
      <c r="C235" s="50" t="s">
        <v>256</v>
      </c>
      <c r="D235" s="50">
        <v>50</v>
      </c>
      <c r="E235" s="50" t="s">
        <v>403</v>
      </c>
      <c r="F235" s="50" t="s">
        <v>401</v>
      </c>
      <c r="G235" s="50" t="s">
        <v>256</v>
      </c>
      <c r="H235" s="50">
        <v>50</v>
      </c>
      <c r="M235" t="str">
        <f>IF(COUNTIF($A:$A,E235)=0,"Not Exists","Exists")</f>
        <v>Not Exists</v>
      </c>
      <c r="N235" t="str">
        <f t="shared" si="13"/>
        <v>Exists</v>
      </c>
      <c r="O235" t="str">
        <f t="shared" si="11"/>
        <v>Exists</v>
      </c>
      <c r="P235" t="str">
        <f t="shared" si="12"/>
        <v>Exists</v>
      </c>
    </row>
    <row r="236" spans="1:16">
      <c r="A236" s="50" t="s">
        <v>408</v>
      </c>
      <c r="B236" s="50" t="s">
        <v>266</v>
      </c>
      <c r="C236" s="50" t="s">
        <v>256</v>
      </c>
      <c r="D236" s="50">
        <v>50</v>
      </c>
      <c r="E236" s="50" t="s">
        <v>403</v>
      </c>
      <c r="F236" s="50" t="s">
        <v>400</v>
      </c>
      <c r="G236" s="50" t="s">
        <v>256</v>
      </c>
      <c r="H236" s="50">
        <v>1</v>
      </c>
      <c r="M236" t="str">
        <f>IF(COUNTIF($A:$A,E236)=0,"Not Exists","Exists")</f>
        <v>Not Exists</v>
      </c>
      <c r="N236" t="str">
        <f t="shared" si="13"/>
        <v>Exists</v>
      </c>
      <c r="O236" t="str">
        <f t="shared" si="11"/>
        <v>Exists</v>
      </c>
      <c r="P236" t="str">
        <f t="shared" si="12"/>
        <v>Exists</v>
      </c>
    </row>
    <row r="237" spans="1:16">
      <c r="A237" s="50" t="s">
        <v>408</v>
      </c>
      <c r="B237" s="50" t="s">
        <v>267</v>
      </c>
      <c r="C237" s="50" t="s">
        <v>256</v>
      </c>
      <c r="D237" s="50">
        <v>50</v>
      </c>
      <c r="E237" s="50" t="s">
        <v>402</v>
      </c>
      <c r="F237" s="50" t="s">
        <v>250</v>
      </c>
      <c r="G237" s="50" t="s">
        <v>256</v>
      </c>
      <c r="H237" s="50">
        <v>41</v>
      </c>
      <c r="M237" t="str">
        <f>IF(COUNTIF($A:$A,E237)=0,"Not Exists","Exists")</f>
        <v>Exists</v>
      </c>
      <c r="N237" t="str">
        <f t="shared" si="13"/>
        <v>Exists</v>
      </c>
      <c r="O237" t="str">
        <f t="shared" si="11"/>
        <v>Exists</v>
      </c>
      <c r="P237" t="str">
        <f t="shared" si="12"/>
        <v>Exists</v>
      </c>
    </row>
    <row r="238" spans="1:16">
      <c r="A238" s="50" t="s">
        <v>408</v>
      </c>
      <c r="B238" s="50" t="s">
        <v>268</v>
      </c>
      <c r="C238" s="50" t="s">
        <v>256</v>
      </c>
      <c r="D238" s="50">
        <v>17</v>
      </c>
      <c r="E238" s="50" t="s">
        <v>402</v>
      </c>
      <c r="F238" s="50" t="s">
        <v>255</v>
      </c>
      <c r="G238" s="50" t="s">
        <v>256</v>
      </c>
      <c r="H238" s="50">
        <v>50</v>
      </c>
      <c r="M238" t="str">
        <f>IF(COUNTIF($A:$A,E238)=0,"Not Exists","Exists")</f>
        <v>Exists</v>
      </c>
      <c r="N238" t="str">
        <f t="shared" si="13"/>
        <v>Exists</v>
      </c>
      <c r="O238" t="str">
        <f t="shared" si="11"/>
        <v>Exists</v>
      </c>
      <c r="P238" t="str">
        <f t="shared" si="12"/>
        <v>Exists</v>
      </c>
    </row>
    <row r="239" spans="1:16">
      <c r="A239" s="50" t="s">
        <v>408</v>
      </c>
      <c r="B239" s="50" t="s">
        <v>269</v>
      </c>
      <c r="C239" s="50" t="s">
        <v>256</v>
      </c>
      <c r="D239" s="50">
        <v>50</v>
      </c>
      <c r="E239" s="50" t="s">
        <v>402</v>
      </c>
      <c r="F239" s="50" t="s">
        <v>258</v>
      </c>
      <c r="G239" s="50" t="s">
        <v>256</v>
      </c>
      <c r="H239" s="50">
        <v>17</v>
      </c>
      <c r="M239" t="str">
        <f>IF(COUNTIF($A:$A,E239)=0,"Not Exists","Exists")</f>
        <v>Exists</v>
      </c>
      <c r="N239" t="str">
        <f t="shared" si="13"/>
        <v>Exists</v>
      </c>
      <c r="O239" t="str">
        <f t="shared" si="11"/>
        <v>Exists</v>
      </c>
      <c r="P239" t="str">
        <f t="shared" si="12"/>
        <v>Exists</v>
      </c>
    </row>
    <row r="240" spans="1:16">
      <c r="A240" s="50" t="s">
        <v>408</v>
      </c>
      <c r="B240" s="50" t="s">
        <v>270</v>
      </c>
      <c r="C240" s="50" t="s">
        <v>256</v>
      </c>
      <c r="D240" s="50">
        <v>50</v>
      </c>
      <c r="E240" s="50" t="s">
        <v>402</v>
      </c>
      <c r="F240" s="50" t="s">
        <v>260</v>
      </c>
      <c r="G240" s="50" t="s">
        <v>256</v>
      </c>
      <c r="H240" s="50">
        <v>50</v>
      </c>
      <c r="M240" t="str">
        <f>IF(COUNTIF($A:$A,E240)=0,"Not Exists","Exists")</f>
        <v>Exists</v>
      </c>
      <c r="N240" t="str">
        <f t="shared" si="13"/>
        <v>Exists</v>
      </c>
      <c r="O240" t="str">
        <f t="shared" si="11"/>
        <v>Exists</v>
      </c>
      <c r="P240" t="str">
        <f t="shared" si="12"/>
        <v>Exists</v>
      </c>
    </row>
    <row r="241" spans="1:16">
      <c r="A241" s="50" t="s">
        <v>408</v>
      </c>
      <c r="B241" s="50" t="s">
        <v>271</v>
      </c>
      <c r="C241" s="50" t="s">
        <v>256</v>
      </c>
      <c r="D241" s="50">
        <v>50</v>
      </c>
      <c r="E241" s="50" t="s">
        <v>402</v>
      </c>
      <c r="F241" s="50" t="s">
        <v>262</v>
      </c>
      <c r="G241" s="50" t="s">
        <v>256</v>
      </c>
      <c r="H241" s="50">
        <v>17</v>
      </c>
      <c r="M241" t="str">
        <f>IF(COUNTIF($A:$A,E241)=0,"Not Exists","Exists")</f>
        <v>Exists</v>
      </c>
      <c r="N241" t="str">
        <f t="shared" si="13"/>
        <v>Exists</v>
      </c>
      <c r="O241" t="str">
        <f t="shared" si="11"/>
        <v>Exists</v>
      </c>
      <c r="P241" t="str">
        <f t="shared" si="12"/>
        <v>Exists</v>
      </c>
    </row>
    <row r="242" spans="1:16">
      <c r="A242" s="50" t="s">
        <v>408</v>
      </c>
      <c r="B242" s="50" t="s">
        <v>357</v>
      </c>
      <c r="C242" s="50" t="s">
        <v>256</v>
      </c>
      <c r="D242" s="50">
        <v>50</v>
      </c>
      <c r="E242" s="50" t="s">
        <v>402</v>
      </c>
      <c r="F242" s="50" t="s">
        <v>264</v>
      </c>
      <c r="G242" s="50" t="s">
        <v>256</v>
      </c>
      <c r="H242" s="50">
        <v>50</v>
      </c>
      <c r="M242" t="str">
        <f>IF(COUNTIF($A:$A,E242)=0,"Not Exists","Exists")</f>
        <v>Exists</v>
      </c>
      <c r="N242" t="str">
        <f t="shared" si="13"/>
        <v>Exists</v>
      </c>
      <c r="O242" t="str">
        <f t="shared" si="11"/>
        <v>Exists</v>
      </c>
      <c r="P242" t="str">
        <f t="shared" si="12"/>
        <v>Exists</v>
      </c>
    </row>
    <row r="243" spans="1:16">
      <c r="A243" s="50" t="s">
        <v>408</v>
      </c>
      <c r="B243" s="50" t="s">
        <v>409</v>
      </c>
      <c r="C243" s="50" t="s">
        <v>256</v>
      </c>
      <c r="D243" s="50">
        <v>64</v>
      </c>
      <c r="E243" s="50" t="s">
        <v>402</v>
      </c>
      <c r="F243" s="50" t="s">
        <v>266</v>
      </c>
      <c r="G243" s="50" t="s">
        <v>256</v>
      </c>
      <c r="H243" s="50">
        <v>50</v>
      </c>
      <c r="M243" t="str">
        <f>IF(COUNTIF($A:$A,E243)=0,"Not Exists","Exists")</f>
        <v>Exists</v>
      </c>
      <c r="N243" t="str">
        <f t="shared" si="13"/>
        <v>Exists</v>
      </c>
      <c r="O243" t="str">
        <f t="shared" si="11"/>
        <v>Exists</v>
      </c>
      <c r="P243" t="str">
        <f t="shared" si="12"/>
        <v>Exists</v>
      </c>
    </row>
    <row r="244" spans="1:16">
      <c r="A244" s="50" t="s">
        <v>408</v>
      </c>
      <c r="B244" s="50" t="s">
        <v>181</v>
      </c>
      <c r="C244" s="50" t="s">
        <v>256</v>
      </c>
      <c r="D244" s="50">
        <v>450</v>
      </c>
      <c r="E244" s="50" t="s">
        <v>402</v>
      </c>
      <c r="F244" s="50" t="s">
        <v>267</v>
      </c>
      <c r="G244" s="50" t="s">
        <v>256</v>
      </c>
      <c r="H244" s="50">
        <v>50</v>
      </c>
      <c r="M244" t="str">
        <f>IF(COUNTIF($A:$A,E244)=0,"Not Exists","Exists")</f>
        <v>Exists</v>
      </c>
      <c r="N244" t="str">
        <f t="shared" si="13"/>
        <v>Exists</v>
      </c>
      <c r="O244" t="str">
        <f t="shared" si="11"/>
        <v>Exists</v>
      </c>
      <c r="P244" t="str">
        <f t="shared" si="12"/>
        <v>Exists</v>
      </c>
    </row>
    <row r="245" spans="1:16">
      <c r="A245" s="50" t="s">
        <v>408</v>
      </c>
      <c r="B245" s="50" t="s">
        <v>410</v>
      </c>
      <c r="C245" s="50" t="s">
        <v>256</v>
      </c>
      <c r="D245" s="50">
        <v>450</v>
      </c>
      <c r="E245" s="50" t="s">
        <v>402</v>
      </c>
      <c r="F245" s="50" t="s">
        <v>268</v>
      </c>
      <c r="G245" s="50" t="s">
        <v>256</v>
      </c>
      <c r="H245" s="50">
        <v>17</v>
      </c>
      <c r="M245" t="str">
        <f>IF(COUNTIF($A:$A,E245)=0,"Not Exists","Exists")</f>
        <v>Exists</v>
      </c>
      <c r="N245" t="str">
        <f t="shared" si="13"/>
        <v>Exists</v>
      </c>
      <c r="O245" t="str">
        <f t="shared" si="11"/>
        <v>Exists</v>
      </c>
      <c r="P245" t="str">
        <f t="shared" si="12"/>
        <v>Exists</v>
      </c>
    </row>
    <row r="246" spans="1:16">
      <c r="A246" s="50" t="s">
        <v>408</v>
      </c>
      <c r="B246" s="50" t="s">
        <v>400</v>
      </c>
      <c r="C246" s="50" t="s">
        <v>256</v>
      </c>
      <c r="D246" s="50">
        <v>1</v>
      </c>
      <c r="E246" s="50" t="s">
        <v>402</v>
      </c>
      <c r="F246" s="50" t="s">
        <v>269</v>
      </c>
      <c r="G246" s="50" t="s">
        <v>256</v>
      </c>
      <c r="H246" s="50">
        <v>50</v>
      </c>
      <c r="M246" t="str">
        <f>IF(COUNTIF($A:$A,E246)=0,"Not Exists","Exists")</f>
        <v>Exists</v>
      </c>
      <c r="N246" t="str">
        <f t="shared" si="13"/>
        <v>Exists</v>
      </c>
      <c r="O246" t="str">
        <f t="shared" si="11"/>
        <v>Exists</v>
      </c>
      <c r="P246" t="str">
        <f t="shared" si="12"/>
        <v>Exists</v>
      </c>
    </row>
    <row r="247" spans="1:16">
      <c r="A247" s="50" t="s">
        <v>408</v>
      </c>
      <c r="B247" s="50" t="s">
        <v>411</v>
      </c>
      <c r="C247" s="50" t="s">
        <v>254</v>
      </c>
      <c r="D247" s="50">
        <v>22</v>
      </c>
      <c r="E247" s="50" t="s">
        <v>402</v>
      </c>
      <c r="F247" s="50" t="s">
        <v>270</v>
      </c>
      <c r="G247" s="50" t="s">
        <v>256</v>
      </c>
      <c r="H247" s="50">
        <v>50</v>
      </c>
      <c r="M247" t="str">
        <f>IF(COUNTIF($A:$A,E247)=0,"Not Exists","Exists")</f>
        <v>Exists</v>
      </c>
      <c r="N247" t="str">
        <f t="shared" si="13"/>
        <v>Exists</v>
      </c>
      <c r="O247" t="str">
        <f t="shared" si="11"/>
        <v>Exists</v>
      </c>
      <c r="P247" t="str">
        <f t="shared" si="12"/>
        <v>Exists</v>
      </c>
    </row>
    <row r="248" spans="1:16">
      <c r="A248" s="50" t="s">
        <v>408</v>
      </c>
      <c r="B248" s="50" t="s">
        <v>412</v>
      </c>
      <c r="C248" s="50" t="s">
        <v>256</v>
      </c>
      <c r="D248" s="50">
        <v>64</v>
      </c>
      <c r="E248" s="50" t="s">
        <v>402</v>
      </c>
      <c r="F248" s="50" t="s">
        <v>271</v>
      </c>
      <c r="G248" s="50" t="s">
        <v>256</v>
      </c>
      <c r="H248" s="50">
        <v>50</v>
      </c>
      <c r="M248" t="str">
        <f>IF(COUNTIF($A:$A,E248)=0,"Not Exists","Exists")</f>
        <v>Exists</v>
      </c>
      <c r="N248" t="str">
        <f t="shared" si="13"/>
        <v>Exists</v>
      </c>
      <c r="O248" t="str">
        <f t="shared" si="11"/>
        <v>Exists</v>
      </c>
      <c r="P248" t="str">
        <f t="shared" si="12"/>
        <v>Exists</v>
      </c>
    </row>
    <row r="249" spans="1:16">
      <c r="A249" s="50" t="s">
        <v>408</v>
      </c>
      <c r="B249" s="50" t="s">
        <v>413</v>
      </c>
      <c r="C249" s="50" t="s">
        <v>256</v>
      </c>
      <c r="D249" s="50">
        <v>64</v>
      </c>
      <c r="E249" s="50" t="s">
        <v>402</v>
      </c>
      <c r="F249" s="50" t="s">
        <v>392</v>
      </c>
      <c r="G249" s="50" t="s">
        <v>256</v>
      </c>
      <c r="H249" s="50">
        <v>50</v>
      </c>
      <c r="M249" t="str">
        <f>IF(COUNTIF($A:$A,E249)=0,"Not Exists","Exists")</f>
        <v>Exists</v>
      </c>
      <c r="N249" t="str">
        <f t="shared" si="13"/>
        <v>Exists</v>
      </c>
      <c r="O249" t="str">
        <f t="shared" si="11"/>
        <v>Exists</v>
      </c>
      <c r="P249" t="str">
        <f t="shared" si="12"/>
        <v>Exists</v>
      </c>
    </row>
    <row r="250" spans="1:16">
      <c r="A250" s="50" t="s">
        <v>408</v>
      </c>
      <c r="B250" s="50" t="s">
        <v>414</v>
      </c>
      <c r="C250" s="50" t="s">
        <v>256</v>
      </c>
      <c r="D250" s="50">
        <v>17</v>
      </c>
      <c r="E250" s="50" t="s">
        <v>402</v>
      </c>
      <c r="F250" s="50" t="s">
        <v>404</v>
      </c>
      <c r="G250" s="50" t="s">
        <v>256</v>
      </c>
      <c r="H250" s="50">
        <v>450</v>
      </c>
      <c r="M250" t="str">
        <f>IF(COUNTIF($A:$A,E250)=0,"Not Exists","Exists")</f>
        <v>Exists</v>
      </c>
      <c r="N250" t="str">
        <f t="shared" si="13"/>
        <v>Exists</v>
      </c>
      <c r="O250" t="str">
        <f t="shared" si="11"/>
        <v>Exists</v>
      </c>
      <c r="P250" t="str">
        <f t="shared" si="12"/>
        <v>Exists</v>
      </c>
    </row>
    <row r="251" spans="1:16">
      <c r="A251" s="50" t="s">
        <v>408</v>
      </c>
      <c r="B251" s="50" t="s">
        <v>415</v>
      </c>
      <c r="C251" s="50" t="s">
        <v>256</v>
      </c>
      <c r="D251" s="50">
        <v>1</v>
      </c>
      <c r="E251" s="50" t="s">
        <v>402</v>
      </c>
      <c r="F251" s="50" t="s">
        <v>405</v>
      </c>
      <c r="G251" s="50" t="s">
        <v>256</v>
      </c>
      <c r="H251" s="50">
        <v>3000</v>
      </c>
      <c r="M251" t="str">
        <f>IF(COUNTIF($A:$A,E251)=0,"Not Exists","Exists")</f>
        <v>Exists</v>
      </c>
      <c r="N251" t="str">
        <f t="shared" si="13"/>
        <v>Exists</v>
      </c>
      <c r="O251" t="str">
        <f t="shared" si="11"/>
        <v>Exists</v>
      </c>
      <c r="P251" t="str">
        <f t="shared" si="12"/>
        <v>Exists</v>
      </c>
    </row>
    <row r="252" spans="1:16">
      <c r="A252" s="50" t="s">
        <v>408</v>
      </c>
      <c r="B252" s="50" t="s">
        <v>416</v>
      </c>
      <c r="C252" s="50" t="s">
        <v>256</v>
      </c>
      <c r="D252" s="50">
        <v>2</v>
      </c>
      <c r="E252" s="50" t="s">
        <v>402</v>
      </c>
      <c r="F252" s="50" t="s">
        <v>406</v>
      </c>
      <c r="G252" s="50" t="s">
        <v>256</v>
      </c>
      <c r="H252" s="50">
        <v>50</v>
      </c>
      <c r="M252" t="str">
        <f>IF(COUNTIF($A:$A,E252)=0,"Not Exists","Exists")</f>
        <v>Exists</v>
      </c>
      <c r="N252" t="str">
        <f t="shared" si="13"/>
        <v>Exists</v>
      </c>
      <c r="O252" t="str">
        <f t="shared" si="11"/>
        <v>Exists</v>
      </c>
      <c r="P252" t="str">
        <f t="shared" si="12"/>
        <v>Exists</v>
      </c>
    </row>
    <row r="253" spans="1:16">
      <c r="A253" s="50" t="s">
        <v>417</v>
      </c>
      <c r="B253" s="50" t="s">
        <v>250</v>
      </c>
      <c r="C253" s="50" t="s">
        <v>256</v>
      </c>
      <c r="D253" s="50">
        <v>41</v>
      </c>
      <c r="E253" s="50" t="s">
        <v>402</v>
      </c>
      <c r="F253" s="50" t="s">
        <v>400</v>
      </c>
      <c r="G253" s="50" t="s">
        <v>256</v>
      </c>
      <c r="H253" s="50">
        <v>1</v>
      </c>
      <c r="M253" t="str">
        <f>IF(COUNTIF($A:$A,E253)=0,"Not Exists","Exists")</f>
        <v>Exists</v>
      </c>
      <c r="N253" t="str">
        <f t="shared" si="13"/>
        <v>Exists</v>
      </c>
      <c r="O253" t="str">
        <f t="shared" si="11"/>
        <v>Exists</v>
      </c>
      <c r="P253" t="str">
        <f t="shared" si="12"/>
        <v>Exists</v>
      </c>
    </row>
    <row r="254" spans="1:16">
      <c r="A254" s="50" t="s">
        <v>417</v>
      </c>
      <c r="B254" s="50" t="s">
        <v>418</v>
      </c>
      <c r="C254" s="50" t="s">
        <v>256</v>
      </c>
      <c r="D254" s="50">
        <v>41</v>
      </c>
      <c r="E254" s="50" t="s">
        <v>407</v>
      </c>
      <c r="F254" s="50" t="s">
        <v>262</v>
      </c>
      <c r="G254" s="50" t="s">
        <v>256</v>
      </c>
      <c r="H254" s="50">
        <v>17</v>
      </c>
      <c r="M254" t="str">
        <f>IF(COUNTIF($A:$A,E254)=0,"Not Exists","Exists")</f>
        <v>Exists</v>
      </c>
      <c r="N254" t="str">
        <f t="shared" si="13"/>
        <v>Exists</v>
      </c>
      <c r="O254" t="str">
        <f t="shared" si="11"/>
        <v>Exists</v>
      </c>
      <c r="P254" t="str">
        <f t="shared" si="12"/>
        <v>Exists</v>
      </c>
    </row>
    <row r="255" spans="1:16">
      <c r="A255" s="50" t="s">
        <v>417</v>
      </c>
      <c r="B255" s="50" t="s">
        <v>419</v>
      </c>
      <c r="C255" s="50" t="s">
        <v>256</v>
      </c>
      <c r="D255" s="50">
        <v>300</v>
      </c>
      <c r="E255" s="50" t="s">
        <v>407</v>
      </c>
      <c r="F255" s="50" t="s">
        <v>264</v>
      </c>
      <c r="G255" s="50" t="s">
        <v>256</v>
      </c>
      <c r="H255" s="50">
        <v>50</v>
      </c>
      <c r="M255" t="str">
        <f>IF(COUNTIF($A:$A,E255)=0,"Not Exists","Exists")</f>
        <v>Exists</v>
      </c>
      <c r="N255" t="str">
        <f t="shared" si="13"/>
        <v>Exists</v>
      </c>
      <c r="O255" t="str">
        <f t="shared" si="11"/>
        <v>Exists</v>
      </c>
      <c r="P255" t="str">
        <f t="shared" si="12"/>
        <v>Exists</v>
      </c>
    </row>
    <row r="256" spans="1:16">
      <c r="A256" s="50" t="s">
        <v>417</v>
      </c>
      <c r="B256" s="50" t="s">
        <v>420</v>
      </c>
      <c r="C256" s="50" t="s">
        <v>256</v>
      </c>
      <c r="D256" s="50">
        <v>1000</v>
      </c>
      <c r="E256" s="50" t="s">
        <v>407</v>
      </c>
      <c r="F256" s="50" t="s">
        <v>392</v>
      </c>
      <c r="G256" s="50" t="s">
        <v>256</v>
      </c>
      <c r="H256" s="50">
        <v>50</v>
      </c>
      <c r="M256" t="str">
        <f>IF(COUNTIF($A:$A,E256)=0,"Not Exists","Exists")</f>
        <v>Exists</v>
      </c>
      <c r="N256" t="str">
        <f t="shared" si="13"/>
        <v>Exists</v>
      </c>
      <c r="O256" t="str">
        <f t="shared" si="11"/>
        <v>Exists</v>
      </c>
      <c r="P256" t="str">
        <f t="shared" si="12"/>
        <v>Exists</v>
      </c>
    </row>
    <row r="257" spans="1:16">
      <c r="A257" s="50" t="s">
        <v>417</v>
      </c>
      <c r="B257" s="50" t="s">
        <v>421</v>
      </c>
      <c r="C257" s="50" t="s">
        <v>256</v>
      </c>
      <c r="D257" s="50">
        <v>1000</v>
      </c>
      <c r="E257" s="50" t="s">
        <v>407</v>
      </c>
      <c r="F257" s="50" t="s">
        <v>357</v>
      </c>
      <c r="G257" s="50" t="s">
        <v>256</v>
      </c>
      <c r="H257" s="50">
        <v>50</v>
      </c>
      <c r="M257" t="str">
        <f>IF(COUNTIF($A:$A,E257)=0,"Not Exists","Exists")</f>
        <v>Exists</v>
      </c>
      <c r="N257" t="str">
        <f t="shared" si="13"/>
        <v>Exists</v>
      </c>
      <c r="O257" t="str">
        <f t="shared" si="11"/>
        <v>Exists</v>
      </c>
      <c r="P257" t="str">
        <f t="shared" si="12"/>
        <v>Exists</v>
      </c>
    </row>
    <row r="258" spans="1:16">
      <c r="A258" s="50" t="s">
        <v>417</v>
      </c>
      <c r="B258" s="50" t="s">
        <v>422</v>
      </c>
      <c r="C258" s="50" t="s">
        <v>254</v>
      </c>
      <c r="D258" s="50">
        <v>22</v>
      </c>
      <c r="E258" s="50" t="s">
        <v>408</v>
      </c>
      <c r="F258" s="50" t="s">
        <v>250</v>
      </c>
      <c r="G258" s="50" t="s">
        <v>256</v>
      </c>
      <c r="H258" s="50">
        <v>41</v>
      </c>
      <c r="M258" t="str">
        <f>IF(COUNTIF($A:$A,E258)=0,"Not Exists","Exists")</f>
        <v>Exists</v>
      </c>
      <c r="N258" t="str">
        <f t="shared" si="13"/>
        <v>Exists</v>
      </c>
      <c r="O258" t="str">
        <f t="shared" si="11"/>
        <v>Exists</v>
      </c>
      <c r="P258" t="str">
        <f t="shared" si="12"/>
        <v>Exists</v>
      </c>
    </row>
    <row r="259" spans="1:16">
      <c r="A259" s="50" t="s">
        <v>417</v>
      </c>
      <c r="B259" s="50" t="s">
        <v>318</v>
      </c>
      <c r="C259" s="50" t="s">
        <v>256</v>
      </c>
      <c r="D259" s="50">
        <v>50</v>
      </c>
      <c r="E259" s="50" t="s">
        <v>408</v>
      </c>
      <c r="F259" s="50" t="s">
        <v>255</v>
      </c>
      <c r="G259" s="50" t="s">
        <v>256</v>
      </c>
      <c r="H259" s="50">
        <v>50</v>
      </c>
      <c r="M259" t="str">
        <f>IF(COUNTIF($A:$A,E259)=0,"Not Exists","Exists")</f>
        <v>Exists</v>
      </c>
      <c r="N259" t="str">
        <f t="shared" si="13"/>
        <v>Exists</v>
      </c>
      <c r="O259" t="str">
        <f t="shared" si="11"/>
        <v>Exists</v>
      </c>
      <c r="P259" t="str">
        <f t="shared" si="12"/>
        <v>Exists</v>
      </c>
    </row>
    <row r="260" spans="1:16">
      <c r="A260" s="50" t="s">
        <v>417</v>
      </c>
      <c r="B260" s="50" t="s">
        <v>316</v>
      </c>
      <c r="C260" s="50" t="s">
        <v>256</v>
      </c>
      <c r="D260" s="50">
        <v>50</v>
      </c>
      <c r="E260" s="50" t="s">
        <v>408</v>
      </c>
      <c r="F260" s="50" t="s">
        <v>258</v>
      </c>
      <c r="G260" s="50" t="s">
        <v>256</v>
      </c>
      <c r="H260" s="50">
        <v>17</v>
      </c>
      <c r="M260" t="str">
        <f>IF(COUNTIF($A:$A,E260)=0,"Not Exists","Exists")</f>
        <v>Exists</v>
      </c>
      <c r="N260" t="str">
        <f t="shared" si="13"/>
        <v>Exists</v>
      </c>
      <c r="O260" t="str">
        <f t="shared" ref="O260:O323" si="14">IF(COUNTIF($E:$E,A260)=0,"Not Exists","Exists")</f>
        <v>Exists</v>
      </c>
      <c r="P260" t="str">
        <f t="shared" ref="P260:P323" si="15">IF(COUNTIF($F:$F,B260)=0,"Not Exists","Exists")</f>
        <v>Exists</v>
      </c>
    </row>
    <row r="261" spans="1:16">
      <c r="A261" s="50" t="s">
        <v>417</v>
      </c>
      <c r="B261" s="50" t="s">
        <v>317</v>
      </c>
      <c r="C261" s="50" t="s">
        <v>256</v>
      </c>
      <c r="D261" s="50">
        <v>17</v>
      </c>
      <c r="E261" s="50" t="s">
        <v>408</v>
      </c>
      <c r="F261" s="50" t="s">
        <v>260</v>
      </c>
      <c r="G261" s="50" t="s">
        <v>256</v>
      </c>
      <c r="H261" s="50">
        <v>50</v>
      </c>
      <c r="M261" t="str">
        <f>IF(COUNTIF($A:$A,E261)=0,"Not Exists","Exists")</f>
        <v>Exists</v>
      </c>
      <c r="N261" t="str">
        <f t="shared" si="13"/>
        <v>Exists</v>
      </c>
      <c r="O261" t="str">
        <f t="shared" si="14"/>
        <v>Exists</v>
      </c>
      <c r="P261" t="str">
        <f t="shared" si="15"/>
        <v>Exists</v>
      </c>
    </row>
    <row r="262" spans="1:16">
      <c r="A262" s="50" t="s">
        <v>417</v>
      </c>
      <c r="B262" s="50" t="s">
        <v>315</v>
      </c>
      <c r="C262" s="50" t="s">
        <v>256</v>
      </c>
      <c r="D262" s="50">
        <v>17</v>
      </c>
      <c r="E262" s="50" t="s">
        <v>408</v>
      </c>
      <c r="F262" s="50" t="s">
        <v>262</v>
      </c>
      <c r="G262" s="50" t="s">
        <v>256</v>
      </c>
      <c r="H262" s="50">
        <v>17</v>
      </c>
      <c r="M262" t="str">
        <f>IF(COUNTIF($A:$A,E262)=0,"Not Exists","Exists")</f>
        <v>Exists</v>
      </c>
      <c r="N262" t="str">
        <f t="shared" si="13"/>
        <v>Exists</v>
      </c>
      <c r="O262" t="str">
        <f t="shared" si="14"/>
        <v>Exists</v>
      </c>
      <c r="P262" t="str">
        <f t="shared" si="15"/>
        <v>Exists</v>
      </c>
    </row>
    <row r="263" spans="1:16">
      <c r="A263" s="50" t="s">
        <v>423</v>
      </c>
      <c r="B263" s="50" t="s">
        <v>250</v>
      </c>
      <c r="C263" s="50" t="s">
        <v>256</v>
      </c>
      <c r="D263" s="50">
        <v>41</v>
      </c>
      <c r="E263" s="50" t="s">
        <v>408</v>
      </c>
      <c r="F263" s="50" t="s">
        <v>264</v>
      </c>
      <c r="G263" s="50" t="s">
        <v>256</v>
      </c>
      <c r="H263" s="50">
        <v>50</v>
      </c>
      <c r="M263" t="str">
        <f>IF(COUNTIF($A:$A,E263)=0,"Not Exists","Exists")</f>
        <v>Exists</v>
      </c>
      <c r="N263" t="str">
        <f t="shared" si="13"/>
        <v>Exists</v>
      </c>
      <c r="O263" t="str">
        <f t="shared" si="14"/>
        <v>Exists</v>
      </c>
      <c r="P263" t="str">
        <f t="shared" si="15"/>
        <v>Exists</v>
      </c>
    </row>
    <row r="264" spans="1:16">
      <c r="A264" s="50" t="s">
        <v>423</v>
      </c>
      <c r="B264" s="50" t="s">
        <v>424</v>
      </c>
      <c r="C264" s="50" t="s">
        <v>256</v>
      </c>
      <c r="D264" s="50">
        <v>41</v>
      </c>
      <c r="E264" s="50" t="s">
        <v>408</v>
      </c>
      <c r="F264" s="50" t="s">
        <v>266</v>
      </c>
      <c r="G264" s="50" t="s">
        <v>256</v>
      </c>
      <c r="H264" s="50">
        <v>50</v>
      </c>
      <c r="M264" t="str">
        <f>IF(COUNTIF($A:$A,E264)=0,"Not Exists","Exists")</f>
        <v>Exists</v>
      </c>
      <c r="N264" t="str">
        <f t="shared" si="13"/>
        <v>Exists</v>
      </c>
      <c r="O264" t="str">
        <f t="shared" si="14"/>
        <v>Exists</v>
      </c>
      <c r="P264" t="str">
        <f t="shared" si="15"/>
        <v>Exists</v>
      </c>
    </row>
    <row r="265" spans="1:16">
      <c r="A265" s="50" t="s">
        <v>423</v>
      </c>
      <c r="B265" s="50" t="s">
        <v>425</v>
      </c>
      <c r="C265" s="50" t="s">
        <v>256</v>
      </c>
      <c r="D265" s="50">
        <v>200</v>
      </c>
      <c r="E265" s="50" t="s">
        <v>408</v>
      </c>
      <c r="F265" s="50" t="s">
        <v>267</v>
      </c>
      <c r="G265" s="50" t="s">
        <v>256</v>
      </c>
      <c r="H265" s="50">
        <v>50</v>
      </c>
      <c r="M265" t="str">
        <f>IF(COUNTIF($A:$A,E265)=0,"Not Exists","Exists")</f>
        <v>Exists</v>
      </c>
      <c r="N265" t="str">
        <f t="shared" si="13"/>
        <v>Exists</v>
      </c>
      <c r="O265" t="str">
        <f t="shared" si="14"/>
        <v>Exists</v>
      </c>
      <c r="P265" t="str">
        <f t="shared" si="15"/>
        <v>Exists</v>
      </c>
    </row>
    <row r="266" spans="1:16">
      <c r="A266" s="50" t="s">
        <v>423</v>
      </c>
      <c r="B266" s="50" t="s">
        <v>426</v>
      </c>
      <c r="C266" s="50" t="s">
        <v>427</v>
      </c>
      <c r="D266" s="50">
        <v>4000</v>
      </c>
      <c r="E266" s="50" t="s">
        <v>408</v>
      </c>
      <c r="F266" s="50" t="s">
        <v>268</v>
      </c>
      <c r="G266" s="50" t="s">
        <v>256</v>
      </c>
      <c r="H266" s="50">
        <v>17</v>
      </c>
      <c r="M266" t="str">
        <f>IF(COUNTIF($A:$A,E266)=0,"Not Exists","Exists")</f>
        <v>Exists</v>
      </c>
      <c r="N266" t="str">
        <f t="shared" si="13"/>
        <v>Exists</v>
      </c>
      <c r="O266" t="str">
        <f t="shared" si="14"/>
        <v>Exists</v>
      </c>
      <c r="P266" t="str">
        <f t="shared" si="15"/>
        <v>Exists</v>
      </c>
    </row>
    <row r="267" spans="1:16">
      <c r="A267" s="50" t="s">
        <v>423</v>
      </c>
      <c r="B267" s="50" t="s">
        <v>428</v>
      </c>
      <c r="C267" s="50" t="s">
        <v>256</v>
      </c>
      <c r="D267" s="50">
        <v>1</v>
      </c>
      <c r="E267" s="50" t="s">
        <v>408</v>
      </c>
      <c r="F267" s="50" t="s">
        <v>269</v>
      </c>
      <c r="G267" s="50" t="s">
        <v>256</v>
      </c>
      <c r="H267" s="50">
        <v>50</v>
      </c>
      <c r="M267" t="str">
        <f>IF(COUNTIF($A:$A,E267)=0,"Not Exists","Exists")</f>
        <v>Exists</v>
      </c>
      <c r="N267" t="str">
        <f t="shared" si="13"/>
        <v>Exists</v>
      </c>
      <c r="O267" t="str">
        <f t="shared" si="14"/>
        <v>Exists</v>
      </c>
      <c r="P267" t="str">
        <f t="shared" si="15"/>
        <v>Exists</v>
      </c>
    </row>
    <row r="268" spans="1:16">
      <c r="A268" s="50" t="s">
        <v>423</v>
      </c>
      <c r="B268" s="50" t="s">
        <v>318</v>
      </c>
      <c r="C268" s="50" t="s">
        <v>256</v>
      </c>
      <c r="D268" s="50">
        <v>50</v>
      </c>
      <c r="E268" s="50" t="s">
        <v>408</v>
      </c>
      <c r="F268" s="50" t="s">
        <v>270</v>
      </c>
      <c r="G268" s="50" t="s">
        <v>256</v>
      </c>
      <c r="H268" s="50">
        <v>50</v>
      </c>
      <c r="M268" t="str">
        <f>IF(COUNTIF($A:$A,E268)=0,"Not Exists","Exists")</f>
        <v>Exists</v>
      </c>
      <c r="N268" t="str">
        <f t="shared" si="13"/>
        <v>Exists</v>
      </c>
      <c r="O268" t="str">
        <f t="shared" si="14"/>
        <v>Exists</v>
      </c>
      <c r="P268" t="str">
        <f t="shared" si="15"/>
        <v>Exists</v>
      </c>
    </row>
    <row r="269" spans="1:16">
      <c r="A269" s="50" t="s">
        <v>423</v>
      </c>
      <c r="B269" s="50" t="s">
        <v>316</v>
      </c>
      <c r="C269" s="50" t="s">
        <v>256</v>
      </c>
      <c r="D269" s="50">
        <v>50</v>
      </c>
      <c r="E269" s="50" t="s">
        <v>408</v>
      </c>
      <c r="F269" s="50" t="s">
        <v>271</v>
      </c>
      <c r="G269" s="50" t="s">
        <v>256</v>
      </c>
      <c r="H269" s="50">
        <v>50</v>
      </c>
      <c r="M269" t="str">
        <f>IF(COUNTIF($A:$A,E269)=0,"Not Exists","Exists")</f>
        <v>Exists</v>
      </c>
      <c r="N269" t="str">
        <f t="shared" si="13"/>
        <v>Exists</v>
      </c>
      <c r="O269" t="str">
        <f t="shared" si="14"/>
        <v>Exists</v>
      </c>
      <c r="P269" t="str">
        <f t="shared" si="15"/>
        <v>Exists</v>
      </c>
    </row>
    <row r="270" spans="1:16">
      <c r="A270" s="50" t="s">
        <v>423</v>
      </c>
      <c r="B270" s="50" t="s">
        <v>317</v>
      </c>
      <c r="C270" s="50" t="s">
        <v>256</v>
      </c>
      <c r="D270" s="50">
        <v>17</v>
      </c>
      <c r="E270" s="50" t="s">
        <v>408</v>
      </c>
      <c r="F270" s="50" t="s">
        <v>357</v>
      </c>
      <c r="G270" s="50" t="s">
        <v>256</v>
      </c>
      <c r="H270" s="50">
        <v>50</v>
      </c>
      <c r="M270" t="str">
        <f>IF(COUNTIF($A:$A,E270)=0,"Not Exists","Exists")</f>
        <v>Exists</v>
      </c>
      <c r="N270" t="str">
        <f t="shared" si="13"/>
        <v>Exists</v>
      </c>
      <c r="O270" t="str">
        <f t="shared" si="14"/>
        <v>Exists</v>
      </c>
      <c r="P270" t="str">
        <f t="shared" si="15"/>
        <v>Exists</v>
      </c>
    </row>
    <row r="271" spans="1:16">
      <c r="A271" s="50" t="s">
        <v>423</v>
      </c>
      <c r="B271" s="50" t="s">
        <v>315</v>
      </c>
      <c r="C271" s="50" t="s">
        <v>256</v>
      </c>
      <c r="D271" s="50">
        <v>17</v>
      </c>
      <c r="E271" s="50" t="s">
        <v>408</v>
      </c>
      <c r="F271" s="50" t="s">
        <v>409</v>
      </c>
      <c r="G271" s="50" t="s">
        <v>256</v>
      </c>
      <c r="H271" s="50">
        <v>64</v>
      </c>
      <c r="M271" t="str">
        <f>IF(COUNTIF($A:$A,E271)=0,"Not Exists","Exists")</f>
        <v>Exists</v>
      </c>
      <c r="N271" t="str">
        <f t="shared" si="13"/>
        <v>Exists</v>
      </c>
      <c r="O271" t="str">
        <f t="shared" si="14"/>
        <v>Exists</v>
      </c>
      <c r="P271" t="str">
        <f t="shared" si="15"/>
        <v>Exists</v>
      </c>
    </row>
    <row r="272" spans="1:16">
      <c r="A272" s="50" t="s">
        <v>429</v>
      </c>
      <c r="B272" s="50" t="s">
        <v>430</v>
      </c>
      <c r="C272" s="50" t="s">
        <v>256</v>
      </c>
      <c r="D272" s="50">
        <v>50</v>
      </c>
      <c r="E272" s="50" t="s">
        <v>408</v>
      </c>
      <c r="F272" s="50" t="s">
        <v>181</v>
      </c>
      <c r="G272" s="50" t="s">
        <v>256</v>
      </c>
      <c r="H272" s="50">
        <v>450</v>
      </c>
      <c r="M272" t="str">
        <f>IF(COUNTIF($A:$A,E272)=0,"Not Exists","Exists")</f>
        <v>Exists</v>
      </c>
      <c r="N272" t="str">
        <f t="shared" si="13"/>
        <v>Exists</v>
      </c>
      <c r="O272" t="str">
        <f t="shared" si="14"/>
        <v>Exists</v>
      </c>
      <c r="P272" t="str">
        <f t="shared" si="15"/>
        <v>Exists</v>
      </c>
    </row>
    <row r="273" spans="1:16">
      <c r="A273" s="50" t="s">
        <v>429</v>
      </c>
      <c r="B273" s="50" t="s">
        <v>431</v>
      </c>
      <c r="C273" s="50" t="s">
        <v>256</v>
      </c>
      <c r="D273" s="50">
        <v>50</v>
      </c>
      <c r="E273" s="50" t="s">
        <v>408</v>
      </c>
      <c r="F273" s="50" t="s">
        <v>410</v>
      </c>
      <c r="G273" s="50" t="s">
        <v>256</v>
      </c>
      <c r="H273" s="50">
        <v>450</v>
      </c>
      <c r="M273" t="str">
        <f>IF(COUNTIF($A:$A,E273)=0,"Not Exists","Exists")</f>
        <v>Exists</v>
      </c>
      <c r="N273" t="str">
        <f t="shared" si="13"/>
        <v>Exists</v>
      </c>
      <c r="O273" t="str">
        <f t="shared" si="14"/>
        <v>Exists</v>
      </c>
      <c r="P273" t="str">
        <f t="shared" si="15"/>
        <v>Exists</v>
      </c>
    </row>
    <row r="274" spans="1:16">
      <c r="A274" s="50" t="s">
        <v>429</v>
      </c>
      <c r="B274" s="50" t="s">
        <v>432</v>
      </c>
      <c r="C274" s="50" t="s">
        <v>256</v>
      </c>
      <c r="D274" s="50">
        <v>50</v>
      </c>
      <c r="E274" s="50" t="s">
        <v>408</v>
      </c>
      <c r="F274" s="50" t="s">
        <v>400</v>
      </c>
      <c r="G274" s="50" t="s">
        <v>256</v>
      </c>
      <c r="H274" s="50">
        <v>1</v>
      </c>
      <c r="M274" t="str">
        <f>IF(COUNTIF($A:$A,E274)=0,"Not Exists","Exists")</f>
        <v>Exists</v>
      </c>
      <c r="N274" t="str">
        <f t="shared" si="13"/>
        <v>Exists</v>
      </c>
      <c r="O274" t="str">
        <f t="shared" si="14"/>
        <v>Exists</v>
      </c>
      <c r="P274" t="str">
        <f t="shared" si="15"/>
        <v>Exists</v>
      </c>
    </row>
    <row r="275" spans="1:16">
      <c r="A275" s="50" t="s">
        <v>429</v>
      </c>
      <c r="B275" s="50" t="s">
        <v>433</v>
      </c>
      <c r="C275" s="50" t="s">
        <v>256</v>
      </c>
      <c r="D275" s="50">
        <v>50</v>
      </c>
      <c r="E275" s="50" t="s">
        <v>408</v>
      </c>
      <c r="F275" s="50" t="s">
        <v>411</v>
      </c>
      <c r="G275" s="50" t="s">
        <v>254</v>
      </c>
      <c r="H275" s="50">
        <v>22</v>
      </c>
      <c r="M275" t="str">
        <f>IF(COUNTIF($A:$A,E275)=0,"Not Exists","Exists")</f>
        <v>Exists</v>
      </c>
      <c r="N275" t="str">
        <f t="shared" si="13"/>
        <v>Exists</v>
      </c>
      <c r="O275" t="str">
        <f t="shared" si="14"/>
        <v>Exists</v>
      </c>
      <c r="P275" t="str">
        <f t="shared" si="15"/>
        <v>Exists</v>
      </c>
    </row>
    <row r="276" spans="1:16">
      <c r="A276" s="50" t="s">
        <v>429</v>
      </c>
      <c r="B276" s="50" t="s">
        <v>434</v>
      </c>
      <c r="C276" s="50" t="s">
        <v>254</v>
      </c>
      <c r="D276" s="50">
        <v>22</v>
      </c>
      <c r="E276" s="50" t="s">
        <v>408</v>
      </c>
      <c r="F276" s="50" t="s">
        <v>412</v>
      </c>
      <c r="G276" s="50" t="s">
        <v>256</v>
      </c>
      <c r="H276" s="50">
        <v>64</v>
      </c>
      <c r="M276" t="str">
        <f>IF(COUNTIF($A:$A,E276)=0,"Not Exists","Exists")</f>
        <v>Exists</v>
      </c>
      <c r="N276" t="str">
        <f t="shared" si="13"/>
        <v>Exists</v>
      </c>
      <c r="O276" t="str">
        <f t="shared" si="14"/>
        <v>Exists</v>
      </c>
      <c r="P276" t="str">
        <f t="shared" si="15"/>
        <v>Exists</v>
      </c>
    </row>
    <row r="277" spans="1:16">
      <c r="A277" s="50" t="s">
        <v>429</v>
      </c>
      <c r="B277" s="50" t="s">
        <v>435</v>
      </c>
      <c r="C277" s="50" t="s">
        <v>254</v>
      </c>
      <c r="D277" s="50">
        <v>22</v>
      </c>
      <c r="E277" s="50" t="s">
        <v>408</v>
      </c>
      <c r="F277" s="50" t="s">
        <v>413</v>
      </c>
      <c r="G277" s="50" t="s">
        <v>256</v>
      </c>
      <c r="H277" s="50">
        <v>64</v>
      </c>
      <c r="M277" t="str">
        <f>IF(COUNTIF($A:$A,E277)=0,"Not Exists","Exists")</f>
        <v>Exists</v>
      </c>
      <c r="N277" t="str">
        <f t="shared" si="13"/>
        <v>Exists</v>
      </c>
      <c r="O277" t="str">
        <f t="shared" si="14"/>
        <v>Exists</v>
      </c>
      <c r="P277" t="str">
        <f t="shared" si="15"/>
        <v>Exists</v>
      </c>
    </row>
    <row r="278" spans="1:16">
      <c r="A278" s="50" t="s">
        <v>429</v>
      </c>
      <c r="B278" s="50" t="s">
        <v>315</v>
      </c>
      <c r="C278" s="50" t="s">
        <v>251</v>
      </c>
      <c r="D278" s="50">
        <v>17</v>
      </c>
      <c r="E278" s="50" t="s">
        <v>408</v>
      </c>
      <c r="F278" s="50" t="s">
        <v>414</v>
      </c>
      <c r="G278" s="50" t="s">
        <v>256</v>
      </c>
      <c r="H278" s="50">
        <v>17</v>
      </c>
      <c r="M278" t="str">
        <f>IF(COUNTIF($A:$A,E278)=0,"Not Exists","Exists")</f>
        <v>Exists</v>
      </c>
      <c r="N278" t="str">
        <f t="shared" si="13"/>
        <v>Exists</v>
      </c>
      <c r="O278" t="str">
        <f t="shared" si="14"/>
        <v>Exists</v>
      </c>
      <c r="P278" t="str">
        <f t="shared" si="15"/>
        <v>Exists</v>
      </c>
    </row>
    <row r="279" spans="1:16">
      <c r="A279" s="50" t="s">
        <v>429</v>
      </c>
      <c r="B279" s="50" t="s">
        <v>317</v>
      </c>
      <c r="C279" s="50" t="s">
        <v>251</v>
      </c>
      <c r="D279" s="50">
        <v>17</v>
      </c>
      <c r="E279" s="50" t="s">
        <v>408</v>
      </c>
      <c r="F279" s="50" t="s">
        <v>415</v>
      </c>
      <c r="G279" s="50" t="s">
        <v>256</v>
      </c>
      <c r="H279" s="50">
        <v>1</v>
      </c>
      <c r="M279" t="str">
        <f>IF(COUNTIF($A:$A,E279)=0,"Not Exists","Exists")</f>
        <v>Exists</v>
      </c>
      <c r="N279" t="str">
        <f t="shared" si="13"/>
        <v>Exists</v>
      </c>
      <c r="O279" t="str">
        <f t="shared" si="14"/>
        <v>Exists</v>
      </c>
      <c r="P279" t="str">
        <f t="shared" si="15"/>
        <v>Exists</v>
      </c>
    </row>
    <row r="280" spans="1:16">
      <c r="A280" s="50" t="s">
        <v>429</v>
      </c>
      <c r="B280" s="50" t="s">
        <v>316</v>
      </c>
      <c r="C280" s="50" t="s">
        <v>256</v>
      </c>
      <c r="D280" s="50">
        <v>50</v>
      </c>
      <c r="E280" s="50" t="s">
        <v>408</v>
      </c>
      <c r="F280" s="50" t="s">
        <v>416</v>
      </c>
      <c r="G280" s="50" t="s">
        <v>256</v>
      </c>
      <c r="H280" s="50">
        <v>2</v>
      </c>
      <c r="M280" t="str">
        <f>IF(COUNTIF($A:$A,E280)=0,"Not Exists","Exists")</f>
        <v>Exists</v>
      </c>
      <c r="N280" t="str">
        <f t="shared" si="13"/>
        <v>Exists</v>
      </c>
      <c r="O280" t="str">
        <f t="shared" si="14"/>
        <v>Exists</v>
      </c>
      <c r="P280" t="str">
        <f t="shared" si="15"/>
        <v>Exists</v>
      </c>
    </row>
    <row r="281" spans="1:16">
      <c r="A281" s="50" t="s">
        <v>429</v>
      </c>
      <c r="B281" s="50" t="s">
        <v>318</v>
      </c>
      <c r="C281" s="50" t="s">
        <v>256</v>
      </c>
      <c r="D281" s="50">
        <v>50</v>
      </c>
      <c r="E281" s="50" t="s">
        <v>417</v>
      </c>
      <c r="F281" s="50" t="s">
        <v>250</v>
      </c>
      <c r="G281" s="50" t="s">
        <v>256</v>
      </c>
      <c r="H281" s="50">
        <v>41</v>
      </c>
      <c r="M281" t="str">
        <f>IF(COUNTIF($A:$A,E281)=0,"Not Exists","Exists")</f>
        <v>Exists</v>
      </c>
      <c r="N281" t="str">
        <f t="shared" ref="N281:N329" si="16">IF(COUNTIF($A:$B,F281)=0,"Not Exists","Exists")</f>
        <v>Exists</v>
      </c>
      <c r="O281" t="str">
        <f t="shared" si="14"/>
        <v>Exists</v>
      </c>
      <c r="P281" t="str">
        <f t="shared" si="15"/>
        <v>Exists</v>
      </c>
    </row>
    <row r="282" spans="1:16">
      <c r="A282" s="50" t="s">
        <v>429</v>
      </c>
      <c r="B282" s="50" t="s">
        <v>436</v>
      </c>
      <c r="C282" s="50" t="s">
        <v>256</v>
      </c>
      <c r="D282" s="50">
        <v>50</v>
      </c>
      <c r="E282" s="50" t="s">
        <v>417</v>
      </c>
      <c r="F282" s="50" t="s">
        <v>418</v>
      </c>
      <c r="G282" s="50" t="s">
        <v>256</v>
      </c>
      <c r="H282" s="50">
        <v>41</v>
      </c>
      <c r="M282" t="str">
        <f>IF(COUNTIF($A:$A,E282)=0,"Not Exists","Exists")</f>
        <v>Exists</v>
      </c>
      <c r="N282" t="str">
        <f t="shared" si="16"/>
        <v>Exists</v>
      </c>
      <c r="O282" t="str">
        <f t="shared" si="14"/>
        <v>Exists</v>
      </c>
      <c r="P282" t="str">
        <f t="shared" si="15"/>
        <v>Not Exists</v>
      </c>
    </row>
    <row r="283" spans="1:16">
      <c r="A283" s="50" t="s">
        <v>437</v>
      </c>
      <c r="B283" s="50" t="s">
        <v>430</v>
      </c>
      <c r="C283" s="50" t="s">
        <v>256</v>
      </c>
      <c r="D283" s="50">
        <v>50</v>
      </c>
      <c r="E283" s="50" t="s">
        <v>417</v>
      </c>
      <c r="F283" s="50" t="s">
        <v>419</v>
      </c>
      <c r="G283" s="50" t="s">
        <v>256</v>
      </c>
      <c r="H283" s="50">
        <v>300</v>
      </c>
      <c r="M283" t="str">
        <f>IF(COUNTIF($A:$A,E283)=0,"Not Exists","Exists")</f>
        <v>Exists</v>
      </c>
      <c r="N283" t="str">
        <f t="shared" si="16"/>
        <v>Exists</v>
      </c>
      <c r="O283" t="str">
        <f t="shared" si="14"/>
        <v>Exists</v>
      </c>
      <c r="P283" t="str">
        <f t="shared" si="15"/>
        <v>Exists</v>
      </c>
    </row>
    <row r="284" spans="1:16">
      <c r="A284" s="50" t="s">
        <v>437</v>
      </c>
      <c r="B284" s="50" t="s">
        <v>431</v>
      </c>
      <c r="C284" s="50" t="s">
        <v>256</v>
      </c>
      <c r="D284" s="50">
        <v>50</v>
      </c>
      <c r="E284" s="50" t="s">
        <v>417</v>
      </c>
      <c r="F284" s="50" t="s">
        <v>420</v>
      </c>
      <c r="G284" s="50" t="s">
        <v>256</v>
      </c>
      <c r="H284" s="50">
        <v>1000</v>
      </c>
      <c r="M284" t="str">
        <f>IF(COUNTIF($A:$A,E284)=0,"Not Exists","Exists")</f>
        <v>Exists</v>
      </c>
      <c r="N284" t="str">
        <f t="shared" si="16"/>
        <v>Exists</v>
      </c>
      <c r="O284" t="str">
        <f t="shared" si="14"/>
        <v>Exists</v>
      </c>
      <c r="P284" t="str">
        <f t="shared" si="15"/>
        <v>Exists</v>
      </c>
    </row>
    <row r="285" spans="1:16">
      <c r="A285" s="50" t="s">
        <v>437</v>
      </c>
      <c r="B285" s="50" t="s">
        <v>432</v>
      </c>
      <c r="C285" s="50" t="s">
        <v>256</v>
      </c>
      <c r="D285" s="50">
        <v>50</v>
      </c>
      <c r="E285" s="50" t="s">
        <v>417</v>
      </c>
      <c r="F285" s="50" t="s">
        <v>421</v>
      </c>
      <c r="G285" s="50" t="s">
        <v>256</v>
      </c>
      <c r="H285" s="50">
        <v>1000</v>
      </c>
      <c r="M285" t="str">
        <f>IF(COUNTIF($A:$A,E285)=0,"Not Exists","Exists")</f>
        <v>Exists</v>
      </c>
      <c r="N285" t="str">
        <f t="shared" si="16"/>
        <v>Exists</v>
      </c>
      <c r="O285" t="str">
        <f t="shared" si="14"/>
        <v>Exists</v>
      </c>
      <c r="P285" t="str">
        <f t="shared" si="15"/>
        <v>Exists</v>
      </c>
    </row>
    <row r="286" spans="1:16">
      <c r="A286" s="50" t="s">
        <v>437</v>
      </c>
      <c r="B286" s="50" t="s">
        <v>433</v>
      </c>
      <c r="C286" s="50" t="s">
        <v>256</v>
      </c>
      <c r="D286" s="50">
        <v>50</v>
      </c>
      <c r="E286" s="50" t="s">
        <v>417</v>
      </c>
      <c r="F286" s="50" t="s">
        <v>422</v>
      </c>
      <c r="G286" s="50" t="s">
        <v>254</v>
      </c>
      <c r="H286" s="50">
        <v>22</v>
      </c>
      <c r="M286" t="str">
        <f>IF(COUNTIF($A:$A,E286)=0,"Not Exists","Exists")</f>
        <v>Exists</v>
      </c>
      <c r="N286" t="str">
        <f t="shared" si="16"/>
        <v>Exists</v>
      </c>
      <c r="O286" t="str">
        <f t="shared" si="14"/>
        <v>Exists</v>
      </c>
      <c r="P286" t="str">
        <f t="shared" si="15"/>
        <v>Exists</v>
      </c>
    </row>
    <row r="287" spans="1:16">
      <c r="A287" s="50" t="s">
        <v>437</v>
      </c>
      <c r="B287" s="50" t="s">
        <v>435</v>
      </c>
      <c r="C287" s="50" t="s">
        <v>254</v>
      </c>
      <c r="D287" s="50">
        <v>22</v>
      </c>
      <c r="E287" s="50" t="s">
        <v>417</v>
      </c>
      <c r="F287" s="50" t="s">
        <v>318</v>
      </c>
      <c r="G287" s="50" t="s">
        <v>256</v>
      </c>
      <c r="H287" s="50">
        <v>50</v>
      </c>
      <c r="M287" t="str">
        <f>IF(COUNTIF($A:$A,E287)=0,"Not Exists","Exists")</f>
        <v>Exists</v>
      </c>
      <c r="N287" t="str">
        <f t="shared" si="16"/>
        <v>Exists</v>
      </c>
      <c r="O287" t="str">
        <f t="shared" si="14"/>
        <v>Exists</v>
      </c>
      <c r="P287" t="str">
        <f t="shared" si="15"/>
        <v>Exists</v>
      </c>
    </row>
    <row r="288" spans="1:16">
      <c r="A288" s="50" t="s">
        <v>437</v>
      </c>
      <c r="B288" s="50" t="s">
        <v>315</v>
      </c>
      <c r="C288" s="50" t="s">
        <v>251</v>
      </c>
      <c r="D288" s="50">
        <v>17</v>
      </c>
      <c r="E288" s="50" t="s">
        <v>417</v>
      </c>
      <c r="F288" s="50" t="s">
        <v>316</v>
      </c>
      <c r="G288" s="50" t="s">
        <v>256</v>
      </c>
      <c r="H288" s="50">
        <v>50</v>
      </c>
      <c r="M288" t="str">
        <f>IF(COUNTIF($A:$A,E288)=0,"Not Exists","Exists")</f>
        <v>Exists</v>
      </c>
      <c r="N288" t="str">
        <f t="shared" si="16"/>
        <v>Exists</v>
      </c>
      <c r="O288" t="str">
        <f t="shared" si="14"/>
        <v>Exists</v>
      </c>
      <c r="P288" t="str">
        <f t="shared" si="15"/>
        <v>Exists</v>
      </c>
    </row>
    <row r="289" spans="1:16">
      <c r="A289" s="50" t="s">
        <v>437</v>
      </c>
      <c r="B289" s="50" t="s">
        <v>317</v>
      </c>
      <c r="C289" s="50" t="s">
        <v>251</v>
      </c>
      <c r="D289" s="50">
        <v>17</v>
      </c>
      <c r="E289" s="50" t="s">
        <v>417</v>
      </c>
      <c r="F289" s="50" t="s">
        <v>317</v>
      </c>
      <c r="G289" s="50" t="s">
        <v>256</v>
      </c>
      <c r="H289" s="50">
        <v>17</v>
      </c>
      <c r="M289" t="str">
        <f>IF(COUNTIF($A:$A,E289)=0,"Not Exists","Exists")</f>
        <v>Exists</v>
      </c>
      <c r="N289" t="str">
        <f t="shared" si="16"/>
        <v>Exists</v>
      </c>
      <c r="O289" t="str">
        <f t="shared" si="14"/>
        <v>Exists</v>
      </c>
      <c r="P289" t="str">
        <f t="shared" si="15"/>
        <v>Exists</v>
      </c>
    </row>
    <row r="290" spans="1:16">
      <c r="A290" s="50" t="s">
        <v>437</v>
      </c>
      <c r="B290" s="50" t="s">
        <v>316</v>
      </c>
      <c r="C290" s="50" t="s">
        <v>256</v>
      </c>
      <c r="D290" s="50">
        <v>50</v>
      </c>
      <c r="E290" s="50" t="s">
        <v>417</v>
      </c>
      <c r="F290" s="50" t="s">
        <v>315</v>
      </c>
      <c r="G290" s="50" t="s">
        <v>256</v>
      </c>
      <c r="H290" s="50">
        <v>17</v>
      </c>
      <c r="M290" t="str">
        <f>IF(COUNTIF($A:$A,E290)=0,"Not Exists","Exists")</f>
        <v>Exists</v>
      </c>
      <c r="N290" t="str">
        <f t="shared" si="16"/>
        <v>Exists</v>
      </c>
      <c r="O290" t="str">
        <f t="shared" si="14"/>
        <v>Exists</v>
      </c>
      <c r="P290" t="str">
        <f t="shared" si="15"/>
        <v>Exists</v>
      </c>
    </row>
    <row r="291" spans="1:16">
      <c r="A291" s="50" t="s">
        <v>437</v>
      </c>
      <c r="B291" s="50" t="s">
        <v>318</v>
      </c>
      <c r="C291" s="50" t="s">
        <v>256</v>
      </c>
      <c r="D291" s="50">
        <v>50</v>
      </c>
      <c r="E291" s="50" t="s">
        <v>423</v>
      </c>
      <c r="F291" s="50" t="s">
        <v>250</v>
      </c>
      <c r="G291" s="50" t="s">
        <v>256</v>
      </c>
      <c r="H291" s="50">
        <v>41</v>
      </c>
      <c r="M291" t="str">
        <f>IF(COUNTIF($A:$A,E291)=0,"Not Exists","Exists")</f>
        <v>Exists</v>
      </c>
      <c r="N291" t="str">
        <f t="shared" si="16"/>
        <v>Exists</v>
      </c>
      <c r="O291" t="str">
        <f t="shared" si="14"/>
        <v>Exists</v>
      </c>
      <c r="P291" t="str">
        <f t="shared" si="15"/>
        <v>Exists</v>
      </c>
    </row>
    <row r="292" spans="1:16">
      <c r="A292" s="50" t="s">
        <v>437</v>
      </c>
      <c r="B292" s="50" t="s">
        <v>436</v>
      </c>
      <c r="C292" s="50" t="s">
        <v>256</v>
      </c>
      <c r="D292" s="50">
        <v>50</v>
      </c>
      <c r="E292" s="50" t="s">
        <v>423</v>
      </c>
      <c r="F292" s="50" t="s">
        <v>424</v>
      </c>
      <c r="G292" s="50" t="s">
        <v>256</v>
      </c>
      <c r="H292" s="50">
        <v>41</v>
      </c>
      <c r="M292" t="str">
        <f>IF(COUNTIF($A:$A,E292)=0,"Not Exists","Exists")</f>
        <v>Exists</v>
      </c>
      <c r="N292" t="str">
        <f t="shared" si="16"/>
        <v>Exists</v>
      </c>
      <c r="O292" t="str">
        <f t="shared" si="14"/>
        <v>Exists</v>
      </c>
      <c r="P292" t="str">
        <f t="shared" si="15"/>
        <v>Not Exists</v>
      </c>
    </row>
    <row r="293" spans="1:16">
      <c r="A293" s="50" t="s">
        <v>438</v>
      </c>
      <c r="B293" s="50" t="s">
        <v>439</v>
      </c>
      <c r="C293" s="50" t="s">
        <v>256</v>
      </c>
      <c r="D293" s="50">
        <v>50</v>
      </c>
      <c r="E293" s="50" t="s">
        <v>423</v>
      </c>
      <c r="F293" s="50" t="s">
        <v>425</v>
      </c>
      <c r="G293" s="50" t="s">
        <v>256</v>
      </c>
      <c r="H293" s="50">
        <v>200</v>
      </c>
      <c r="M293" t="str">
        <f>IF(COUNTIF($A:$A,E293)=0,"Not Exists","Exists")</f>
        <v>Exists</v>
      </c>
      <c r="N293" t="str">
        <f t="shared" si="16"/>
        <v>Exists</v>
      </c>
      <c r="O293" t="str">
        <f t="shared" si="14"/>
        <v>Exists</v>
      </c>
      <c r="P293" t="str">
        <f t="shared" si="15"/>
        <v>Exists</v>
      </c>
    </row>
    <row r="294" spans="1:16">
      <c r="A294" s="50" t="s">
        <v>438</v>
      </c>
      <c r="B294" s="50" t="s">
        <v>440</v>
      </c>
      <c r="C294" s="50" t="s">
        <v>251</v>
      </c>
      <c r="D294" s="50">
        <v>1</v>
      </c>
      <c r="E294" s="50" t="s">
        <v>423</v>
      </c>
      <c r="F294" s="50" t="s">
        <v>426</v>
      </c>
      <c r="G294" s="50" t="s">
        <v>427</v>
      </c>
      <c r="H294" s="50">
        <v>4000</v>
      </c>
      <c r="M294" t="str">
        <f>IF(COUNTIF($A:$A,E294)=0,"Not Exists","Exists")</f>
        <v>Exists</v>
      </c>
      <c r="N294" t="str">
        <f t="shared" si="16"/>
        <v>Exists</v>
      </c>
      <c r="O294" t="str">
        <f t="shared" si="14"/>
        <v>Exists</v>
      </c>
      <c r="P294" t="str">
        <f t="shared" si="15"/>
        <v>Exists</v>
      </c>
    </row>
    <row r="295" spans="1:16">
      <c r="A295" s="50" t="s">
        <v>438</v>
      </c>
      <c r="B295" s="50" t="s">
        <v>441</v>
      </c>
      <c r="C295" s="50" t="s">
        <v>251</v>
      </c>
      <c r="D295" s="50">
        <v>1</v>
      </c>
      <c r="E295" s="50" t="s">
        <v>423</v>
      </c>
      <c r="F295" s="50" t="s">
        <v>428</v>
      </c>
      <c r="G295" s="50" t="s">
        <v>256</v>
      </c>
      <c r="H295" s="50">
        <v>1</v>
      </c>
      <c r="M295" t="str">
        <f>IF(COUNTIF($A:$A,E295)=0,"Not Exists","Exists")</f>
        <v>Exists</v>
      </c>
      <c r="N295" t="str">
        <f t="shared" si="16"/>
        <v>Exists</v>
      </c>
      <c r="O295" t="str">
        <f t="shared" si="14"/>
        <v>Exists</v>
      </c>
      <c r="P295" t="str">
        <f t="shared" si="15"/>
        <v>Exists</v>
      </c>
    </row>
    <row r="296" spans="1:16">
      <c r="A296" s="50" t="s">
        <v>438</v>
      </c>
      <c r="B296" s="50" t="s">
        <v>442</v>
      </c>
      <c r="C296" s="50" t="s">
        <v>254</v>
      </c>
      <c r="D296" s="50">
        <v>22</v>
      </c>
      <c r="E296" s="50" t="s">
        <v>423</v>
      </c>
      <c r="F296" s="50" t="s">
        <v>318</v>
      </c>
      <c r="G296" s="50" t="s">
        <v>256</v>
      </c>
      <c r="H296" s="50">
        <v>50</v>
      </c>
      <c r="M296" t="str">
        <f>IF(COUNTIF($A:$A,E296)=0,"Not Exists","Exists")</f>
        <v>Exists</v>
      </c>
      <c r="N296" t="str">
        <f t="shared" si="16"/>
        <v>Exists</v>
      </c>
      <c r="O296" t="str">
        <f t="shared" si="14"/>
        <v>Exists</v>
      </c>
      <c r="P296" t="str">
        <f t="shared" si="15"/>
        <v>Exists</v>
      </c>
    </row>
    <row r="297" spans="1:16">
      <c r="A297" s="50" t="s">
        <v>438</v>
      </c>
      <c r="B297" s="50" t="s">
        <v>443</v>
      </c>
      <c r="C297" s="50" t="s">
        <v>427</v>
      </c>
      <c r="D297" s="50">
        <v>4000</v>
      </c>
      <c r="E297" s="50" t="s">
        <v>423</v>
      </c>
      <c r="F297" s="50" t="s">
        <v>316</v>
      </c>
      <c r="G297" s="50" t="s">
        <v>256</v>
      </c>
      <c r="H297" s="50">
        <v>50</v>
      </c>
      <c r="M297" t="str">
        <f>IF(COUNTIF($A:$A,E297)=0,"Not Exists","Exists")</f>
        <v>Exists</v>
      </c>
      <c r="N297" t="str">
        <f t="shared" si="16"/>
        <v>Exists</v>
      </c>
      <c r="O297" t="str">
        <f t="shared" si="14"/>
        <v>Exists</v>
      </c>
      <c r="P297" t="str">
        <f t="shared" si="15"/>
        <v>Exists</v>
      </c>
    </row>
    <row r="298" spans="1:16">
      <c r="A298" s="50" t="s">
        <v>438</v>
      </c>
      <c r="B298" s="50" t="s">
        <v>444</v>
      </c>
      <c r="C298" s="50" t="s">
        <v>251</v>
      </c>
      <c r="D298" s="50">
        <v>1</v>
      </c>
      <c r="E298" s="50" t="s">
        <v>423</v>
      </c>
      <c r="F298" s="50" t="s">
        <v>317</v>
      </c>
      <c r="G298" s="50" t="s">
        <v>256</v>
      </c>
      <c r="H298" s="50">
        <v>17</v>
      </c>
      <c r="M298" t="str">
        <f>IF(COUNTIF($A:$A,E298)=0,"Not Exists","Exists")</f>
        <v>Exists</v>
      </c>
      <c r="N298" t="str">
        <f t="shared" si="16"/>
        <v>Exists</v>
      </c>
      <c r="O298" t="str">
        <f t="shared" si="14"/>
        <v>Exists</v>
      </c>
      <c r="P298" t="str">
        <f t="shared" si="15"/>
        <v>Exists</v>
      </c>
    </row>
    <row r="299" spans="1:16">
      <c r="A299" s="50" t="s">
        <v>438</v>
      </c>
      <c r="B299" s="50" t="s">
        <v>445</v>
      </c>
      <c r="C299" s="50" t="s">
        <v>251</v>
      </c>
      <c r="D299" s="50">
        <v>17</v>
      </c>
      <c r="E299" s="50" t="s">
        <v>423</v>
      </c>
      <c r="F299" s="50" t="s">
        <v>315</v>
      </c>
      <c r="G299" s="50" t="s">
        <v>256</v>
      </c>
      <c r="H299" s="50">
        <v>17</v>
      </c>
      <c r="M299" t="str">
        <f>IF(COUNTIF($A:$A,E299)=0,"Not Exists","Exists")</f>
        <v>Exists</v>
      </c>
      <c r="N299" t="str">
        <f t="shared" si="16"/>
        <v>Exists</v>
      </c>
      <c r="O299" t="str">
        <f t="shared" si="14"/>
        <v>Exists</v>
      </c>
      <c r="P299" t="str">
        <f t="shared" si="15"/>
        <v>Exists</v>
      </c>
    </row>
    <row r="300" spans="1:16">
      <c r="A300" s="50" t="s">
        <v>438</v>
      </c>
      <c r="B300" s="50" t="s">
        <v>315</v>
      </c>
      <c r="C300" s="50" t="s">
        <v>251</v>
      </c>
      <c r="D300" s="50">
        <v>17</v>
      </c>
      <c r="E300" s="50" t="s">
        <v>429</v>
      </c>
      <c r="F300" s="50" t="s">
        <v>430</v>
      </c>
      <c r="G300" s="50" t="s">
        <v>256</v>
      </c>
      <c r="H300" s="50">
        <v>50</v>
      </c>
      <c r="M300" t="str">
        <f>IF(COUNTIF($A:$A,E300)=0,"Not Exists","Exists")</f>
        <v>Exists</v>
      </c>
      <c r="N300" t="str">
        <f t="shared" si="16"/>
        <v>Exists</v>
      </c>
      <c r="O300" t="str">
        <f t="shared" si="14"/>
        <v>Exists</v>
      </c>
      <c r="P300" t="str">
        <f t="shared" si="15"/>
        <v>Exists</v>
      </c>
    </row>
    <row r="301" spans="1:16">
      <c r="A301" s="50" t="s">
        <v>438</v>
      </c>
      <c r="B301" s="50" t="s">
        <v>317</v>
      </c>
      <c r="C301" s="50" t="s">
        <v>251</v>
      </c>
      <c r="D301" s="50">
        <v>17</v>
      </c>
      <c r="E301" s="50" t="s">
        <v>429</v>
      </c>
      <c r="F301" s="50" t="s">
        <v>431</v>
      </c>
      <c r="G301" s="50" t="s">
        <v>256</v>
      </c>
      <c r="H301" s="50">
        <v>50</v>
      </c>
      <c r="M301" t="str">
        <f>IF(COUNTIF($A:$A,E301)=0,"Not Exists","Exists")</f>
        <v>Exists</v>
      </c>
      <c r="N301" t="str">
        <f t="shared" si="16"/>
        <v>Exists</v>
      </c>
      <c r="O301" t="str">
        <f t="shared" si="14"/>
        <v>Exists</v>
      </c>
      <c r="P301" t="str">
        <f t="shared" si="15"/>
        <v>Exists</v>
      </c>
    </row>
    <row r="302" spans="1:16">
      <c r="A302" s="50" t="s">
        <v>438</v>
      </c>
      <c r="B302" s="50" t="s">
        <v>316</v>
      </c>
      <c r="C302" s="50" t="s">
        <v>256</v>
      </c>
      <c r="D302" s="50">
        <v>50</v>
      </c>
      <c r="E302" s="50" t="s">
        <v>429</v>
      </c>
      <c r="F302" s="50" t="s">
        <v>432</v>
      </c>
      <c r="G302" s="50" t="s">
        <v>256</v>
      </c>
      <c r="H302" s="50">
        <v>50</v>
      </c>
      <c r="M302" t="str">
        <f>IF(COUNTIF($A:$A,E302)=0,"Not Exists","Exists")</f>
        <v>Exists</v>
      </c>
      <c r="N302" t="str">
        <f t="shared" si="16"/>
        <v>Exists</v>
      </c>
      <c r="O302" t="str">
        <f t="shared" si="14"/>
        <v>Exists</v>
      </c>
      <c r="P302" t="str">
        <f t="shared" si="15"/>
        <v>Exists</v>
      </c>
    </row>
    <row r="303" spans="1:16">
      <c r="A303" s="50" t="s">
        <v>438</v>
      </c>
      <c r="B303" s="50" t="s">
        <v>318</v>
      </c>
      <c r="C303" s="50" t="s">
        <v>256</v>
      </c>
      <c r="D303" s="50">
        <v>50</v>
      </c>
      <c r="E303" s="50" t="s">
        <v>429</v>
      </c>
      <c r="F303" s="50" t="s">
        <v>433</v>
      </c>
      <c r="G303" s="50" t="s">
        <v>256</v>
      </c>
      <c r="H303" s="50">
        <v>50</v>
      </c>
      <c r="M303" t="str">
        <f>IF(COUNTIF($A:$A,E303)=0,"Not Exists","Exists")</f>
        <v>Exists</v>
      </c>
      <c r="N303" t="str">
        <f t="shared" si="16"/>
        <v>Exists</v>
      </c>
      <c r="O303" t="str">
        <f t="shared" si="14"/>
        <v>Exists</v>
      </c>
      <c r="P303" t="str">
        <f t="shared" si="15"/>
        <v>Exists</v>
      </c>
    </row>
    <row r="304" spans="1:16">
      <c r="A304" s="50" t="s">
        <v>438</v>
      </c>
      <c r="B304" s="50" t="s">
        <v>436</v>
      </c>
      <c r="C304" s="50" t="s">
        <v>256</v>
      </c>
      <c r="D304" s="50">
        <v>50</v>
      </c>
      <c r="E304" s="50" t="s">
        <v>429</v>
      </c>
      <c r="F304" s="50" t="s">
        <v>434</v>
      </c>
      <c r="G304" s="50" t="s">
        <v>254</v>
      </c>
      <c r="H304" s="50">
        <v>22</v>
      </c>
      <c r="M304" t="str">
        <f>IF(COUNTIF($A:$A,E304)=0,"Not Exists","Exists")</f>
        <v>Exists</v>
      </c>
      <c r="N304" t="str">
        <f t="shared" si="16"/>
        <v>Exists</v>
      </c>
      <c r="O304" t="str">
        <f t="shared" si="14"/>
        <v>Exists</v>
      </c>
      <c r="P304" t="str">
        <f t="shared" si="15"/>
        <v>Not Exists</v>
      </c>
    </row>
    <row r="305" spans="1:16">
      <c r="A305" s="50" t="s">
        <v>446</v>
      </c>
      <c r="B305" s="50" t="s">
        <v>447</v>
      </c>
      <c r="C305" s="50" t="s">
        <v>256</v>
      </c>
      <c r="D305" s="50">
        <v>50</v>
      </c>
      <c r="E305" s="50" t="s">
        <v>429</v>
      </c>
      <c r="F305" s="50" t="s">
        <v>435</v>
      </c>
      <c r="G305" s="50" t="s">
        <v>254</v>
      </c>
      <c r="H305" s="50">
        <v>22</v>
      </c>
      <c r="M305" t="str">
        <f>IF(COUNTIF($A:$A,E305)=0,"Not Exists","Exists")</f>
        <v>Exists</v>
      </c>
      <c r="N305" t="str">
        <f t="shared" si="16"/>
        <v>Exists</v>
      </c>
      <c r="O305" t="str">
        <f t="shared" si="14"/>
        <v>Exists</v>
      </c>
      <c r="P305" t="str">
        <f t="shared" si="15"/>
        <v>Exists</v>
      </c>
    </row>
    <row r="306" spans="1:16">
      <c r="A306" s="50" t="s">
        <v>446</v>
      </c>
      <c r="B306" s="50" t="s">
        <v>448</v>
      </c>
      <c r="C306" s="50" t="s">
        <v>256</v>
      </c>
      <c r="D306" s="50">
        <v>50</v>
      </c>
      <c r="E306" s="50" t="s">
        <v>429</v>
      </c>
      <c r="F306" s="50" t="s">
        <v>315</v>
      </c>
      <c r="G306" s="50" t="s">
        <v>251</v>
      </c>
      <c r="H306" s="50">
        <v>17</v>
      </c>
      <c r="M306" t="str">
        <f>IF(COUNTIF($A:$A,E306)=0,"Not Exists","Exists")</f>
        <v>Exists</v>
      </c>
      <c r="N306" t="str">
        <f t="shared" si="16"/>
        <v>Exists</v>
      </c>
      <c r="O306" t="str">
        <f t="shared" si="14"/>
        <v>Exists</v>
      </c>
      <c r="P306" t="str">
        <f t="shared" si="15"/>
        <v>Exists</v>
      </c>
    </row>
    <row r="307" spans="1:16">
      <c r="A307" s="50" t="s">
        <v>446</v>
      </c>
      <c r="B307" s="50" t="s">
        <v>449</v>
      </c>
      <c r="C307" s="50" t="s">
        <v>256</v>
      </c>
      <c r="D307" s="50">
        <v>100</v>
      </c>
      <c r="E307" s="50" t="s">
        <v>429</v>
      </c>
      <c r="F307" s="50" t="s">
        <v>317</v>
      </c>
      <c r="G307" s="50" t="s">
        <v>251</v>
      </c>
      <c r="H307" s="50">
        <v>17</v>
      </c>
      <c r="M307" t="str">
        <f>IF(COUNTIF($A:$A,E307)=0,"Not Exists","Exists")</f>
        <v>Exists</v>
      </c>
      <c r="N307" t="str">
        <f t="shared" si="16"/>
        <v>Exists</v>
      </c>
      <c r="O307" t="str">
        <f t="shared" si="14"/>
        <v>Exists</v>
      </c>
      <c r="P307" t="str">
        <f t="shared" si="15"/>
        <v>Exists</v>
      </c>
    </row>
    <row r="308" spans="1:16">
      <c r="A308" s="50" t="s">
        <v>446</v>
      </c>
      <c r="B308" s="50" t="s">
        <v>450</v>
      </c>
      <c r="C308" s="50" t="s">
        <v>256</v>
      </c>
      <c r="D308" s="50">
        <v>2000</v>
      </c>
      <c r="E308" s="50" t="s">
        <v>429</v>
      </c>
      <c r="F308" s="50" t="s">
        <v>316</v>
      </c>
      <c r="G308" s="50" t="s">
        <v>256</v>
      </c>
      <c r="H308" s="50">
        <v>50</v>
      </c>
      <c r="M308" t="str">
        <f>IF(COUNTIF($A:$A,E308)=0,"Not Exists","Exists")</f>
        <v>Exists</v>
      </c>
      <c r="N308" t="str">
        <f t="shared" si="16"/>
        <v>Exists</v>
      </c>
      <c r="O308" t="str">
        <f t="shared" si="14"/>
        <v>Exists</v>
      </c>
      <c r="P308" t="str">
        <f t="shared" si="15"/>
        <v>Exists</v>
      </c>
    </row>
    <row r="309" spans="1:16">
      <c r="A309" s="50" t="s">
        <v>446</v>
      </c>
      <c r="B309" s="50" t="s">
        <v>451</v>
      </c>
      <c r="C309" s="50" t="s">
        <v>256</v>
      </c>
      <c r="D309" s="50">
        <v>1000</v>
      </c>
      <c r="E309" s="50" t="s">
        <v>429</v>
      </c>
      <c r="F309" s="50" t="s">
        <v>318</v>
      </c>
      <c r="G309" s="50" t="s">
        <v>256</v>
      </c>
      <c r="H309" s="50">
        <v>50</v>
      </c>
      <c r="M309" t="str">
        <f>IF(COUNTIF($A:$A,E309)=0,"Not Exists","Exists")</f>
        <v>Exists</v>
      </c>
      <c r="N309" t="str">
        <f t="shared" si="16"/>
        <v>Exists</v>
      </c>
      <c r="O309" t="str">
        <f t="shared" si="14"/>
        <v>Exists</v>
      </c>
      <c r="P309" t="str">
        <f t="shared" si="15"/>
        <v>Exists</v>
      </c>
    </row>
    <row r="310" spans="1:16">
      <c r="A310" s="50" t="s">
        <v>446</v>
      </c>
      <c r="B310" s="50" t="s">
        <v>452</v>
      </c>
      <c r="C310" s="50" t="s">
        <v>256</v>
      </c>
      <c r="D310" s="50">
        <v>1</v>
      </c>
      <c r="E310" s="50" t="s">
        <v>437</v>
      </c>
      <c r="F310" s="50" t="s">
        <v>430</v>
      </c>
      <c r="G310" s="50" t="s">
        <v>256</v>
      </c>
      <c r="H310" s="50">
        <v>50</v>
      </c>
      <c r="M310" t="str">
        <f>IF(COUNTIF($A:$A,E310)=0,"Not Exists","Exists")</f>
        <v>Exists</v>
      </c>
      <c r="N310" t="str">
        <f t="shared" si="16"/>
        <v>Exists</v>
      </c>
      <c r="O310" t="str">
        <f t="shared" si="14"/>
        <v>Exists</v>
      </c>
      <c r="P310" t="str">
        <f t="shared" si="15"/>
        <v>Exists</v>
      </c>
    </row>
    <row r="311" spans="1:16">
      <c r="A311" s="50" t="s">
        <v>446</v>
      </c>
      <c r="B311" s="50" t="s">
        <v>315</v>
      </c>
      <c r="C311" s="50" t="s">
        <v>251</v>
      </c>
      <c r="D311" s="50">
        <v>17</v>
      </c>
      <c r="E311" s="50" t="s">
        <v>437</v>
      </c>
      <c r="F311" s="50" t="s">
        <v>431</v>
      </c>
      <c r="G311" s="50" t="s">
        <v>256</v>
      </c>
      <c r="H311" s="50">
        <v>50</v>
      </c>
      <c r="M311" t="str">
        <f>IF(COUNTIF($A:$A,E311)=0,"Not Exists","Exists")</f>
        <v>Exists</v>
      </c>
      <c r="N311" t="str">
        <f t="shared" si="16"/>
        <v>Exists</v>
      </c>
      <c r="O311" t="str">
        <f t="shared" si="14"/>
        <v>Exists</v>
      </c>
      <c r="P311" t="str">
        <f t="shared" si="15"/>
        <v>Exists</v>
      </c>
    </row>
    <row r="312" spans="1:16">
      <c r="A312" s="50" t="s">
        <v>446</v>
      </c>
      <c r="B312" s="50" t="s">
        <v>316</v>
      </c>
      <c r="C312" s="50" t="s">
        <v>256</v>
      </c>
      <c r="D312" s="50">
        <v>50</v>
      </c>
      <c r="E312" s="50" t="s">
        <v>437</v>
      </c>
      <c r="F312" s="50" t="s">
        <v>432</v>
      </c>
      <c r="G312" s="50" t="s">
        <v>256</v>
      </c>
      <c r="H312" s="50">
        <v>50</v>
      </c>
      <c r="M312" t="str">
        <f>IF(COUNTIF($A:$A,E312)=0,"Not Exists","Exists")</f>
        <v>Exists</v>
      </c>
      <c r="N312" t="str">
        <f t="shared" si="16"/>
        <v>Exists</v>
      </c>
      <c r="O312" t="str">
        <f t="shared" si="14"/>
        <v>Exists</v>
      </c>
      <c r="P312" t="str">
        <f t="shared" si="15"/>
        <v>Exists</v>
      </c>
    </row>
    <row r="313" spans="1:16">
      <c r="A313" s="50" t="s">
        <v>446</v>
      </c>
      <c r="B313" s="50" t="s">
        <v>317</v>
      </c>
      <c r="C313" s="50" t="s">
        <v>251</v>
      </c>
      <c r="D313" s="50">
        <v>17</v>
      </c>
      <c r="E313" s="50" t="s">
        <v>437</v>
      </c>
      <c r="F313" s="50" t="s">
        <v>433</v>
      </c>
      <c r="G313" s="50" t="s">
        <v>256</v>
      </c>
      <c r="H313" s="50">
        <v>50</v>
      </c>
      <c r="M313" t="str">
        <f>IF(COUNTIF($A:$A,E313)=0,"Not Exists","Exists")</f>
        <v>Exists</v>
      </c>
      <c r="N313" t="str">
        <f t="shared" si="16"/>
        <v>Exists</v>
      </c>
      <c r="O313" t="str">
        <f t="shared" si="14"/>
        <v>Exists</v>
      </c>
      <c r="P313" t="str">
        <f t="shared" si="15"/>
        <v>Exists</v>
      </c>
    </row>
    <row r="314" spans="1:16">
      <c r="A314" s="50" t="s">
        <v>446</v>
      </c>
      <c r="B314" s="50" t="s">
        <v>318</v>
      </c>
      <c r="C314" s="50" t="s">
        <v>256</v>
      </c>
      <c r="D314" s="50">
        <v>50</v>
      </c>
      <c r="E314" s="50" t="s">
        <v>437</v>
      </c>
      <c r="F314" s="50" t="s">
        <v>435</v>
      </c>
      <c r="G314" s="50" t="s">
        <v>254</v>
      </c>
      <c r="H314" s="50">
        <v>22</v>
      </c>
      <c r="M314" t="str">
        <f>IF(COUNTIF($A:$A,E314)=0,"Not Exists","Exists")</f>
        <v>Exists</v>
      </c>
      <c r="N314" t="str">
        <f t="shared" si="16"/>
        <v>Exists</v>
      </c>
      <c r="O314" t="str">
        <f t="shared" si="14"/>
        <v>Exists</v>
      </c>
      <c r="P314" t="str">
        <f t="shared" si="15"/>
        <v>Exists</v>
      </c>
    </row>
    <row r="315" spans="1:16">
      <c r="A315" s="50" t="s">
        <v>446</v>
      </c>
      <c r="B315" s="50" t="s">
        <v>453</v>
      </c>
      <c r="C315" s="50" t="s">
        <v>256</v>
      </c>
      <c r="D315" s="50">
        <v>200</v>
      </c>
      <c r="E315" s="50" t="s">
        <v>437</v>
      </c>
      <c r="F315" s="50" t="s">
        <v>315</v>
      </c>
      <c r="G315" s="50" t="s">
        <v>251</v>
      </c>
      <c r="H315" s="50">
        <v>17</v>
      </c>
      <c r="M315" t="str">
        <f>IF(COUNTIF($A:$A,E315)=0,"Not Exists","Exists")</f>
        <v>Exists</v>
      </c>
      <c r="N315" t="str">
        <f t="shared" si="16"/>
        <v>Exists</v>
      </c>
      <c r="O315" t="str">
        <f t="shared" si="14"/>
        <v>Exists</v>
      </c>
      <c r="P315" t="str">
        <f t="shared" si="15"/>
        <v>Exists</v>
      </c>
    </row>
    <row r="316" spans="1:16">
      <c r="A316" s="50" t="s">
        <v>446</v>
      </c>
      <c r="B316" s="50" t="s">
        <v>434</v>
      </c>
      <c r="C316" s="50" t="s">
        <v>254</v>
      </c>
      <c r="D316" s="50">
        <v>22</v>
      </c>
      <c r="E316" s="50" t="s">
        <v>437</v>
      </c>
      <c r="F316" s="50" t="s">
        <v>317</v>
      </c>
      <c r="G316" s="50" t="s">
        <v>251</v>
      </c>
      <c r="H316" s="50">
        <v>17</v>
      </c>
      <c r="M316" t="str">
        <f>IF(COUNTIF($A:$A,E316)=0,"Not Exists","Exists")</f>
        <v>Exists</v>
      </c>
      <c r="N316" t="str">
        <f t="shared" si="16"/>
        <v>Exists</v>
      </c>
      <c r="O316" t="str">
        <f t="shared" si="14"/>
        <v>Exists</v>
      </c>
      <c r="P316" t="str">
        <f t="shared" si="15"/>
        <v>Exists</v>
      </c>
    </row>
    <row r="317" spans="1:16">
      <c r="A317" s="50" t="s">
        <v>446</v>
      </c>
      <c r="B317" s="50" t="s">
        <v>436</v>
      </c>
      <c r="C317" s="50" t="s">
        <v>256</v>
      </c>
      <c r="D317" s="50">
        <v>50</v>
      </c>
      <c r="E317" s="50" t="s">
        <v>437</v>
      </c>
      <c r="F317" s="50" t="s">
        <v>316</v>
      </c>
      <c r="G317" s="50" t="s">
        <v>256</v>
      </c>
      <c r="H317" s="50">
        <v>50</v>
      </c>
      <c r="M317" t="str">
        <f>IF(COUNTIF($A:$A,E317)=0,"Not Exists","Exists")</f>
        <v>Exists</v>
      </c>
      <c r="N317" t="str">
        <f t="shared" si="16"/>
        <v>Exists</v>
      </c>
      <c r="O317" t="str">
        <f t="shared" si="14"/>
        <v>Exists</v>
      </c>
      <c r="P317" t="str">
        <f t="shared" si="15"/>
        <v>Not Exists</v>
      </c>
    </row>
    <row r="318" spans="1:16">
      <c r="A318" s="50" t="s">
        <v>446</v>
      </c>
      <c r="B318" s="50" t="s">
        <v>454</v>
      </c>
      <c r="C318" s="50" t="s">
        <v>256</v>
      </c>
      <c r="D318" s="50">
        <v>10</v>
      </c>
      <c r="E318" s="50" t="s">
        <v>437</v>
      </c>
      <c r="F318" s="50" t="s">
        <v>318</v>
      </c>
      <c r="G318" s="50" t="s">
        <v>256</v>
      </c>
      <c r="H318" s="50">
        <v>50</v>
      </c>
      <c r="M318" t="str">
        <f>IF(COUNTIF($A:$A,E318)=0,"Not Exists","Exists")</f>
        <v>Exists</v>
      </c>
      <c r="N318" t="str">
        <f t="shared" si="16"/>
        <v>Exists</v>
      </c>
      <c r="O318" t="str">
        <f t="shared" si="14"/>
        <v>Exists</v>
      </c>
      <c r="P318" t="str">
        <f t="shared" si="15"/>
        <v>Exists</v>
      </c>
    </row>
    <row r="319" spans="1:16">
      <c r="A319" s="50" t="s">
        <v>455</v>
      </c>
      <c r="B319" s="50" t="s">
        <v>448</v>
      </c>
      <c r="C319" s="50" t="s">
        <v>256</v>
      </c>
      <c r="D319" s="50">
        <v>50</v>
      </c>
      <c r="E319" s="50" t="s">
        <v>438</v>
      </c>
      <c r="F319" s="50" t="s">
        <v>439</v>
      </c>
      <c r="G319" s="50" t="s">
        <v>256</v>
      </c>
      <c r="H319" s="50">
        <v>50</v>
      </c>
      <c r="M319" t="str">
        <f>IF(COUNTIF($A:$A,E319)=0,"Not Exists","Exists")</f>
        <v>Exists</v>
      </c>
      <c r="N319" t="str">
        <f t="shared" si="16"/>
        <v>Exists</v>
      </c>
      <c r="O319" t="str">
        <f t="shared" si="14"/>
        <v>Exists</v>
      </c>
      <c r="P319" t="str">
        <f t="shared" si="15"/>
        <v>Exists</v>
      </c>
    </row>
    <row r="320" spans="1:16">
      <c r="A320" s="50" t="s">
        <v>455</v>
      </c>
      <c r="B320" s="50" t="s">
        <v>456</v>
      </c>
      <c r="C320" s="50" t="s">
        <v>254</v>
      </c>
      <c r="D320" s="50">
        <v>22</v>
      </c>
      <c r="E320" s="50" t="s">
        <v>438</v>
      </c>
      <c r="F320" s="50" t="s">
        <v>440</v>
      </c>
      <c r="G320" s="50" t="s">
        <v>251</v>
      </c>
      <c r="H320" s="50">
        <v>1</v>
      </c>
      <c r="M320" t="str">
        <f>IF(COUNTIF($A:$A,E320)=0,"Not Exists","Exists")</f>
        <v>Exists</v>
      </c>
      <c r="N320" t="str">
        <f t="shared" si="16"/>
        <v>Exists</v>
      </c>
      <c r="O320" t="str">
        <f t="shared" si="14"/>
        <v>Exists</v>
      </c>
      <c r="P320" t="str">
        <f t="shared" si="15"/>
        <v>Exists</v>
      </c>
    </row>
    <row r="321" spans="1:16">
      <c r="A321" s="50" t="s">
        <v>455</v>
      </c>
      <c r="B321" s="50" t="s">
        <v>457</v>
      </c>
      <c r="C321" s="50" t="s">
        <v>254</v>
      </c>
      <c r="D321" s="50">
        <v>22</v>
      </c>
      <c r="E321" s="50" t="s">
        <v>438</v>
      </c>
      <c r="F321" s="50" t="s">
        <v>441</v>
      </c>
      <c r="G321" s="50" t="s">
        <v>251</v>
      </c>
      <c r="H321" s="50">
        <v>1</v>
      </c>
      <c r="M321" t="str">
        <f>IF(COUNTIF($A:$A,E321)=0,"Not Exists","Exists")</f>
        <v>Exists</v>
      </c>
      <c r="N321" t="str">
        <f t="shared" si="16"/>
        <v>Exists</v>
      </c>
      <c r="O321" t="str">
        <f t="shared" si="14"/>
        <v>Exists</v>
      </c>
      <c r="P321" t="str">
        <f t="shared" si="15"/>
        <v>Exists</v>
      </c>
    </row>
    <row r="322" spans="1:16">
      <c r="A322" s="50" t="s">
        <v>455</v>
      </c>
      <c r="B322" s="50" t="s">
        <v>458</v>
      </c>
      <c r="C322" s="50" t="s">
        <v>256</v>
      </c>
      <c r="D322" s="50">
        <v>50</v>
      </c>
      <c r="E322" s="50" t="s">
        <v>438</v>
      </c>
      <c r="F322" s="50" t="s">
        <v>442</v>
      </c>
      <c r="G322" s="50" t="s">
        <v>254</v>
      </c>
      <c r="H322" s="50">
        <v>22</v>
      </c>
      <c r="M322" t="str">
        <f>IF(COUNTIF($A:$A,E322)=0,"Not Exists","Exists")</f>
        <v>Exists</v>
      </c>
      <c r="N322" t="str">
        <f t="shared" si="16"/>
        <v>Exists</v>
      </c>
      <c r="O322" t="str">
        <f t="shared" si="14"/>
        <v>Exists</v>
      </c>
      <c r="P322" t="str">
        <f t="shared" si="15"/>
        <v>Exists</v>
      </c>
    </row>
    <row r="323" spans="1:16">
      <c r="A323" s="50" t="s">
        <v>455</v>
      </c>
      <c r="B323" s="50" t="s">
        <v>459</v>
      </c>
      <c r="C323" s="50" t="s">
        <v>254</v>
      </c>
      <c r="D323" s="50">
        <v>22</v>
      </c>
      <c r="E323" s="50" t="s">
        <v>438</v>
      </c>
      <c r="F323" s="50" t="s">
        <v>443</v>
      </c>
      <c r="G323" s="50" t="s">
        <v>427</v>
      </c>
      <c r="H323" s="50">
        <v>4000</v>
      </c>
      <c r="M323" t="str">
        <f>IF(COUNTIF($A:$A,E323)=0,"Not Exists","Exists")</f>
        <v>Exists</v>
      </c>
      <c r="N323" t="str">
        <f t="shared" si="16"/>
        <v>Exists</v>
      </c>
      <c r="O323" t="str">
        <f t="shared" si="14"/>
        <v>Exists</v>
      </c>
      <c r="P323" t="str">
        <f t="shared" si="15"/>
        <v>Exists</v>
      </c>
    </row>
    <row r="324" spans="1:16">
      <c r="A324" s="50" t="s">
        <v>455</v>
      </c>
      <c r="B324" s="50" t="s">
        <v>460</v>
      </c>
      <c r="C324" s="50" t="s">
        <v>461</v>
      </c>
      <c r="D324" s="50">
        <v>11</v>
      </c>
      <c r="E324" s="50" t="s">
        <v>438</v>
      </c>
      <c r="F324" s="50" t="s">
        <v>444</v>
      </c>
      <c r="G324" s="50" t="s">
        <v>251</v>
      </c>
      <c r="H324" s="50">
        <v>1</v>
      </c>
      <c r="M324" t="str">
        <f>IF(COUNTIF($A:$A,E324)=0,"Not Exists","Exists")</f>
        <v>Exists</v>
      </c>
      <c r="N324" t="str">
        <f t="shared" si="16"/>
        <v>Exists</v>
      </c>
      <c r="O324" t="str">
        <f t="shared" ref="O324:O387" si="17">IF(COUNTIF($E:$E,A324)=0,"Not Exists","Exists")</f>
        <v>Exists</v>
      </c>
      <c r="P324" t="str">
        <f t="shared" ref="P324:P387" si="18">IF(COUNTIF($F:$F,B324)=0,"Not Exists","Exists")</f>
        <v>Exists</v>
      </c>
    </row>
    <row r="325" spans="1:16">
      <c r="A325" s="50" t="s">
        <v>455</v>
      </c>
      <c r="B325" s="50" t="s">
        <v>462</v>
      </c>
      <c r="C325" s="50" t="s">
        <v>256</v>
      </c>
      <c r="D325" s="50">
        <v>8</v>
      </c>
      <c r="E325" s="50" t="s">
        <v>438</v>
      </c>
      <c r="F325" s="50" t="s">
        <v>445</v>
      </c>
      <c r="G325" s="50" t="s">
        <v>251</v>
      </c>
      <c r="H325" s="50">
        <v>17</v>
      </c>
      <c r="M325" t="str">
        <f>IF(COUNTIF($A:$A,E325)=0,"Not Exists","Exists")</f>
        <v>Exists</v>
      </c>
      <c r="N325" t="str">
        <f t="shared" si="16"/>
        <v>Exists</v>
      </c>
      <c r="O325" t="str">
        <f t="shared" si="17"/>
        <v>Exists</v>
      </c>
      <c r="P325" t="str">
        <f t="shared" si="18"/>
        <v>Exists</v>
      </c>
    </row>
    <row r="326" spans="1:16">
      <c r="A326" s="50" t="s">
        <v>455</v>
      </c>
      <c r="B326" s="50" t="s">
        <v>447</v>
      </c>
      <c r="C326" s="50" t="s">
        <v>256</v>
      </c>
      <c r="D326" s="50">
        <v>50</v>
      </c>
      <c r="E326" s="50" t="s">
        <v>438</v>
      </c>
      <c r="F326" s="50" t="s">
        <v>315</v>
      </c>
      <c r="G326" s="50" t="s">
        <v>251</v>
      </c>
      <c r="H326" s="50">
        <v>17</v>
      </c>
      <c r="M326" t="str">
        <f>IF(COUNTIF($A:$A,E326)=0,"Not Exists","Exists")</f>
        <v>Exists</v>
      </c>
      <c r="N326" t="str">
        <f t="shared" si="16"/>
        <v>Exists</v>
      </c>
      <c r="O326" t="str">
        <f t="shared" si="17"/>
        <v>Exists</v>
      </c>
      <c r="P326" t="str">
        <f t="shared" si="18"/>
        <v>Exists</v>
      </c>
    </row>
    <row r="327" spans="1:16">
      <c r="A327" s="50" t="s">
        <v>455</v>
      </c>
      <c r="B327" s="50" t="s">
        <v>463</v>
      </c>
      <c r="C327" s="50" t="s">
        <v>254</v>
      </c>
      <c r="D327" s="50">
        <v>22</v>
      </c>
      <c r="E327" s="50" t="s">
        <v>438</v>
      </c>
      <c r="F327" s="50" t="s">
        <v>317</v>
      </c>
      <c r="G327" s="50" t="s">
        <v>251</v>
      </c>
      <c r="H327" s="50">
        <v>17</v>
      </c>
      <c r="M327" t="str">
        <f>IF(COUNTIF($A:$A,E327)=0,"Not Exists","Exists")</f>
        <v>Exists</v>
      </c>
      <c r="N327" t="str">
        <f t="shared" si="16"/>
        <v>Exists</v>
      </c>
      <c r="O327" t="str">
        <f t="shared" si="17"/>
        <v>Exists</v>
      </c>
      <c r="P327" t="str">
        <f t="shared" si="18"/>
        <v>Exists</v>
      </c>
    </row>
    <row r="328" spans="1:16">
      <c r="A328" s="50" t="s">
        <v>455</v>
      </c>
      <c r="B328" s="50" t="s">
        <v>464</v>
      </c>
      <c r="C328" s="50" t="s">
        <v>254</v>
      </c>
      <c r="D328" s="50">
        <v>22</v>
      </c>
      <c r="E328" s="50" t="s">
        <v>438</v>
      </c>
      <c r="F328" s="50" t="s">
        <v>316</v>
      </c>
      <c r="G328" s="50" t="s">
        <v>256</v>
      </c>
      <c r="H328" s="50">
        <v>50</v>
      </c>
      <c r="M328" t="str">
        <f>IF(COUNTIF($A:$A,E328)=0,"Not Exists","Exists")</f>
        <v>Exists</v>
      </c>
      <c r="N328" t="str">
        <f t="shared" si="16"/>
        <v>Exists</v>
      </c>
      <c r="O328" t="str">
        <f t="shared" si="17"/>
        <v>Exists</v>
      </c>
      <c r="P328" t="str">
        <f t="shared" si="18"/>
        <v>Exists</v>
      </c>
    </row>
    <row r="329" spans="1:16">
      <c r="A329" s="50" t="s">
        <v>455</v>
      </c>
      <c r="B329" s="50" t="s">
        <v>315</v>
      </c>
      <c r="C329" s="50" t="s">
        <v>251</v>
      </c>
      <c r="D329" s="50">
        <v>17</v>
      </c>
      <c r="E329" s="50" t="s">
        <v>438</v>
      </c>
      <c r="F329" s="50" t="s">
        <v>318</v>
      </c>
      <c r="G329" s="50" t="s">
        <v>256</v>
      </c>
      <c r="H329" s="50">
        <v>50</v>
      </c>
      <c r="M329" t="str">
        <f>IF(COUNTIF($A:$A,E329)=0,"Not Exists","Exists")</f>
        <v>Exists</v>
      </c>
      <c r="N329" t="str">
        <f t="shared" si="16"/>
        <v>Exists</v>
      </c>
      <c r="O329" t="str">
        <f t="shared" si="17"/>
        <v>Exists</v>
      </c>
      <c r="P329" t="str">
        <f t="shared" si="18"/>
        <v>Exists</v>
      </c>
    </row>
    <row r="330" spans="1:16">
      <c r="A330" s="50" t="s">
        <v>455</v>
      </c>
      <c r="B330" s="50" t="s">
        <v>317</v>
      </c>
      <c r="C330" s="50" t="s">
        <v>251</v>
      </c>
      <c r="D330" s="50">
        <v>17</v>
      </c>
      <c r="E330" s="50" t="s">
        <v>465</v>
      </c>
      <c r="F330" s="50" t="s">
        <v>466</v>
      </c>
      <c r="G330" s="50" t="s">
        <v>256</v>
      </c>
      <c r="H330" s="50">
        <v>1</v>
      </c>
      <c r="M330" t="str">
        <f>IF(COUNTIF($A:$A,E330)=0,"Not Exists","Exists")</f>
        <v>Not Exists</v>
      </c>
      <c r="N330" t="str">
        <f t="shared" ref="N330:N356" si="19">IF(COUNTIF($A:$B,F330)=0,"Not Exists","Exists")</f>
        <v>Exists</v>
      </c>
      <c r="O330" t="str">
        <f t="shared" si="17"/>
        <v>Exists</v>
      </c>
      <c r="P330" t="str">
        <f t="shared" si="18"/>
        <v>Exists</v>
      </c>
    </row>
    <row r="331" spans="1:16">
      <c r="A331" s="50" t="s">
        <v>455</v>
      </c>
      <c r="B331" s="50" t="s">
        <v>316</v>
      </c>
      <c r="C331" s="50" t="s">
        <v>256</v>
      </c>
      <c r="D331" s="50">
        <v>50</v>
      </c>
      <c r="E331" s="50" t="s">
        <v>465</v>
      </c>
      <c r="F331" s="50" t="s">
        <v>467</v>
      </c>
      <c r="G331" s="50" t="s">
        <v>256</v>
      </c>
      <c r="H331" s="50">
        <v>50</v>
      </c>
      <c r="M331" t="str">
        <f>IF(COUNTIF($A:$A,E331)=0,"Not Exists","Exists")</f>
        <v>Not Exists</v>
      </c>
      <c r="N331" t="str">
        <f t="shared" si="19"/>
        <v>Not Exists</v>
      </c>
      <c r="O331" t="str">
        <f t="shared" si="17"/>
        <v>Exists</v>
      </c>
      <c r="P331" t="str">
        <f t="shared" si="18"/>
        <v>Exists</v>
      </c>
    </row>
    <row r="332" spans="1:16">
      <c r="A332" s="50" t="s">
        <v>455</v>
      </c>
      <c r="B332" s="50" t="s">
        <v>318</v>
      </c>
      <c r="C332" s="50" t="s">
        <v>256</v>
      </c>
      <c r="D332" s="50">
        <v>50</v>
      </c>
      <c r="E332" s="50" t="s">
        <v>465</v>
      </c>
      <c r="F332" s="50" t="s">
        <v>468</v>
      </c>
      <c r="G332" s="50" t="s">
        <v>256</v>
      </c>
      <c r="H332" s="50">
        <v>50</v>
      </c>
      <c r="M332" t="str">
        <f>IF(COUNTIF($A:$A,E332)=0,"Not Exists","Exists")</f>
        <v>Not Exists</v>
      </c>
      <c r="N332" t="str">
        <f t="shared" si="19"/>
        <v>Not Exists</v>
      </c>
      <c r="O332" t="str">
        <f t="shared" si="17"/>
        <v>Exists</v>
      </c>
      <c r="P332" t="str">
        <f t="shared" si="18"/>
        <v>Exists</v>
      </c>
    </row>
    <row r="333" spans="1:16">
      <c r="A333" s="50" t="s">
        <v>455</v>
      </c>
      <c r="B333" s="50" t="s">
        <v>436</v>
      </c>
      <c r="C333" s="50" t="s">
        <v>256</v>
      </c>
      <c r="D333" s="50">
        <v>50</v>
      </c>
      <c r="E333" s="50" t="s">
        <v>465</v>
      </c>
      <c r="F333" s="50" t="s">
        <v>469</v>
      </c>
      <c r="G333" s="50" t="s">
        <v>256</v>
      </c>
      <c r="H333" s="50">
        <v>450</v>
      </c>
      <c r="M333" t="str">
        <f>IF(COUNTIF($A:$A,E333)=0,"Not Exists","Exists")</f>
        <v>Not Exists</v>
      </c>
      <c r="N333" t="str">
        <f t="shared" si="19"/>
        <v>Not Exists</v>
      </c>
      <c r="O333" t="str">
        <f t="shared" si="17"/>
        <v>Exists</v>
      </c>
      <c r="P333" t="str">
        <f t="shared" si="18"/>
        <v>Not Exists</v>
      </c>
    </row>
    <row r="334" spans="1:16">
      <c r="A334" s="50" t="s">
        <v>470</v>
      </c>
      <c r="B334" s="50" t="s">
        <v>447</v>
      </c>
      <c r="C334" s="50" t="s">
        <v>256</v>
      </c>
      <c r="D334" s="50">
        <v>50</v>
      </c>
      <c r="E334" s="50" t="s">
        <v>465</v>
      </c>
      <c r="F334" s="50" t="s">
        <v>471</v>
      </c>
      <c r="G334" s="50" t="s">
        <v>256</v>
      </c>
      <c r="H334" s="50">
        <v>50</v>
      </c>
      <c r="M334" t="str">
        <f>IF(COUNTIF($A:$A,E334)=0,"Not Exists","Exists")</f>
        <v>Not Exists</v>
      </c>
      <c r="N334" t="str">
        <f t="shared" si="19"/>
        <v>Not Exists</v>
      </c>
      <c r="O334" t="str">
        <f t="shared" si="17"/>
        <v>Not Exists</v>
      </c>
      <c r="P334" t="str">
        <f t="shared" si="18"/>
        <v>Exists</v>
      </c>
    </row>
    <row r="335" spans="1:16">
      <c r="A335" s="50" t="s">
        <v>470</v>
      </c>
      <c r="B335" s="50" t="s">
        <v>448</v>
      </c>
      <c r="C335" s="50" t="s">
        <v>256</v>
      </c>
      <c r="D335" s="50">
        <v>50</v>
      </c>
      <c r="E335" s="50" t="s">
        <v>465</v>
      </c>
      <c r="F335" s="50" t="s">
        <v>472</v>
      </c>
      <c r="G335" s="50" t="s">
        <v>256</v>
      </c>
      <c r="H335" s="50">
        <v>450</v>
      </c>
      <c r="M335" t="str">
        <f>IF(COUNTIF($A:$A,E335)=0,"Not Exists","Exists")</f>
        <v>Not Exists</v>
      </c>
      <c r="N335" t="str">
        <f t="shared" si="19"/>
        <v>Not Exists</v>
      </c>
      <c r="O335" t="str">
        <f t="shared" si="17"/>
        <v>Not Exists</v>
      </c>
      <c r="P335" t="str">
        <f t="shared" si="18"/>
        <v>Exists</v>
      </c>
    </row>
    <row r="336" spans="1:16">
      <c r="A336" s="50" t="s">
        <v>470</v>
      </c>
      <c r="B336" s="50" t="s">
        <v>454</v>
      </c>
      <c r="C336" s="50" t="s">
        <v>256</v>
      </c>
      <c r="D336" s="50">
        <v>10</v>
      </c>
      <c r="E336" s="50" t="s">
        <v>465</v>
      </c>
      <c r="F336" s="50" t="s">
        <v>473</v>
      </c>
      <c r="G336" s="50" t="s">
        <v>254</v>
      </c>
      <c r="H336" s="50">
        <v>22</v>
      </c>
      <c r="M336" t="str">
        <f>IF(COUNTIF($A:$A,E336)=0,"Not Exists","Exists")</f>
        <v>Not Exists</v>
      </c>
      <c r="N336" t="str">
        <f t="shared" si="19"/>
        <v>Exists</v>
      </c>
      <c r="O336" t="str">
        <f t="shared" si="17"/>
        <v>Not Exists</v>
      </c>
      <c r="P336" t="str">
        <f t="shared" si="18"/>
        <v>Exists</v>
      </c>
    </row>
    <row r="337" spans="1:16">
      <c r="A337" s="50" t="s">
        <v>470</v>
      </c>
      <c r="B337" s="50" t="s">
        <v>474</v>
      </c>
      <c r="C337" s="50" t="s">
        <v>256</v>
      </c>
      <c r="D337" s="50">
        <v>200</v>
      </c>
      <c r="E337" s="50" t="s">
        <v>465</v>
      </c>
      <c r="F337" s="50" t="s">
        <v>357</v>
      </c>
      <c r="G337" s="50" t="s">
        <v>256</v>
      </c>
      <c r="H337" s="50">
        <v>50</v>
      </c>
      <c r="M337" t="str">
        <f>IF(COUNTIF($A:$A,E337)=0,"Not Exists","Exists")</f>
        <v>Not Exists</v>
      </c>
      <c r="N337" t="str">
        <f t="shared" si="19"/>
        <v>Exists</v>
      </c>
      <c r="O337" t="str">
        <f t="shared" si="17"/>
        <v>Not Exists</v>
      </c>
      <c r="P337" t="str">
        <f t="shared" si="18"/>
        <v>Exists</v>
      </c>
    </row>
    <row r="338" spans="1:16">
      <c r="A338" s="50" t="s">
        <v>470</v>
      </c>
      <c r="B338" s="50" t="s">
        <v>421</v>
      </c>
      <c r="C338" s="50" t="s">
        <v>256</v>
      </c>
      <c r="D338" s="50">
        <v>1000</v>
      </c>
      <c r="E338" s="50" t="s">
        <v>465</v>
      </c>
      <c r="F338" s="50" t="s">
        <v>475</v>
      </c>
      <c r="G338" s="50" t="s">
        <v>256</v>
      </c>
      <c r="H338" s="50">
        <v>64</v>
      </c>
      <c r="M338" t="str">
        <f>IF(COUNTIF($A:$A,E338)=0,"Not Exists","Exists")</f>
        <v>Not Exists</v>
      </c>
      <c r="N338" t="str">
        <f t="shared" si="19"/>
        <v>Not Exists</v>
      </c>
      <c r="O338" t="str">
        <f t="shared" si="17"/>
        <v>Not Exists</v>
      </c>
      <c r="P338" t="str">
        <f t="shared" si="18"/>
        <v>Exists</v>
      </c>
    </row>
    <row r="339" spans="1:16">
      <c r="A339" s="50" t="s">
        <v>470</v>
      </c>
      <c r="B339" s="50" t="s">
        <v>422</v>
      </c>
      <c r="C339" s="50" t="s">
        <v>254</v>
      </c>
      <c r="D339" s="50">
        <v>22</v>
      </c>
      <c r="E339" s="50" t="s">
        <v>465</v>
      </c>
      <c r="F339" s="50" t="s">
        <v>476</v>
      </c>
      <c r="G339" s="50" t="s">
        <v>256</v>
      </c>
      <c r="H339" s="50">
        <v>50</v>
      </c>
      <c r="M339" t="str">
        <f>IF(COUNTIF($A:$A,E339)=0,"Not Exists","Exists")</f>
        <v>Not Exists</v>
      </c>
      <c r="N339" t="str">
        <f t="shared" si="19"/>
        <v>Not Exists</v>
      </c>
      <c r="O339" t="str">
        <f t="shared" si="17"/>
        <v>Not Exists</v>
      </c>
      <c r="P339" t="str">
        <f t="shared" si="18"/>
        <v>Exists</v>
      </c>
    </row>
    <row r="340" spans="1:16">
      <c r="A340" s="50" t="s">
        <v>470</v>
      </c>
      <c r="B340" s="50" t="s">
        <v>477</v>
      </c>
      <c r="C340" s="50" t="s">
        <v>254</v>
      </c>
      <c r="D340" s="50">
        <v>22</v>
      </c>
      <c r="E340" s="50" t="s">
        <v>465</v>
      </c>
      <c r="F340" s="50" t="s">
        <v>315</v>
      </c>
      <c r="G340" s="50" t="s">
        <v>256</v>
      </c>
      <c r="H340" s="50">
        <v>17</v>
      </c>
      <c r="M340" t="str">
        <f>IF(COUNTIF($A:$A,E340)=0,"Not Exists","Exists")</f>
        <v>Not Exists</v>
      </c>
      <c r="N340" t="str">
        <f t="shared" si="19"/>
        <v>Exists</v>
      </c>
      <c r="O340" t="str">
        <f t="shared" si="17"/>
        <v>Not Exists</v>
      </c>
      <c r="P340" t="str">
        <f t="shared" si="18"/>
        <v>Exists</v>
      </c>
    </row>
    <row r="341" spans="1:16">
      <c r="A341" s="50" t="s">
        <v>470</v>
      </c>
      <c r="B341" s="50" t="s">
        <v>478</v>
      </c>
      <c r="C341" s="50" t="s">
        <v>256</v>
      </c>
      <c r="D341" s="50">
        <v>50</v>
      </c>
      <c r="E341" s="50" t="s">
        <v>465</v>
      </c>
      <c r="F341" s="50" t="s">
        <v>317</v>
      </c>
      <c r="G341" s="50" t="s">
        <v>256</v>
      </c>
      <c r="H341" s="50">
        <v>17</v>
      </c>
      <c r="M341" t="str">
        <f>IF(COUNTIF($A:$A,E341)=0,"Not Exists","Exists")</f>
        <v>Not Exists</v>
      </c>
      <c r="N341" t="str">
        <f t="shared" si="19"/>
        <v>Exists</v>
      </c>
      <c r="O341" t="str">
        <f t="shared" si="17"/>
        <v>Not Exists</v>
      </c>
      <c r="P341" t="str">
        <f t="shared" si="18"/>
        <v>Exists</v>
      </c>
    </row>
    <row r="342" spans="1:16">
      <c r="A342" s="50" t="s">
        <v>470</v>
      </c>
      <c r="B342" s="50" t="s">
        <v>479</v>
      </c>
      <c r="C342" s="50" t="s">
        <v>256</v>
      </c>
      <c r="D342" s="50">
        <v>100</v>
      </c>
      <c r="E342" s="50" t="s">
        <v>465</v>
      </c>
      <c r="F342" s="50" t="s">
        <v>316</v>
      </c>
      <c r="G342" s="50" t="s">
        <v>256</v>
      </c>
      <c r="H342" s="50">
        <v>50</v>
      </c>
      <c r="M342" t="str">
        <f>IF(COUNTIF($A:$A,E342)=0,"Not Exists","Exists")</f>
        <v>Not Exists</v>
      </c>
      <c r="N342" t="str">
        <f t="shared" si="19"/>
        <v>Exists</v>
      </c>
      <c r="O342" t="str">
        <f t="shared" si="17"/>
        <v>Not Exists</v>
      </c>
      <c r="P342" t="str">
        <f t="shared" si="18"/>
        <v>Exists</v>
      </c>
    </row>
    <row r="343" spans="1:16">
      <c r="A343" s="50" t="s">
        <v>470</v>
      </c>
      <c r="B343" s="50" t="s">
        <v>460</v>
      </c>
      <c r="C343" s="50" t="s">
        <v>461</v>
      </c>
      <c r="D343" s="50">
        <v>11</v>
      </c>
      <c r="E343" s="50" t="s">
        <v>465</v>
      </c>
      <c r="F343" s="50" t="s">
        <v>318</v>
      </c>
      <c r="G343" s="50" t="s">
        <v>256</v>
      </c>
      <c r="H343" s="50">
        <v>50</v>
      </c>
      <c r="M343" t="str">
        <f>IF(COUNTIF($A:$A,E343)=0,"Not Exists","Exists")</f>
        <v>Not Exists</v>
      </c>
      <c r="N343" t="str">
        <f t="shared" si="19"/>
        <v>Exists</v>
      </c>
      <c r="O343" t="str">
        <f t="shared" si="17"/>
        <v>Not Exists</v>
      </c>
      <c r="P343" t="str">
        <f t="shared" si="18"/>
        <v>Exists</v>
      </c>
    </row>
    <row r="344" spans="1:16">
      <c r="A344" s="50" t="s">
        <v>470</v>
      </c>
      <c r="B344" s="50" t="s">
        <v>480</v>
      </c>
      <c r="C344" s="50" t="s">
        <v>461</v>
      </c>
      <c r="D344" s="50">
        <v>11</v>
      </c>
      <c r="E344" s="50" t="s">
        <v>446</v>
      </c>
      <c r="F344" s="50" t="s">
        <v>447</v>
      </c>
      <c r="G344" s="50" t="s">
        <v>256</v>
      </c>
      <c r="H344" s="50">
        <v>50</v>
      </c>
      <c r="M344" t="str">
        <f>IF(COUNTIF($A:$A,E344)=0,"Not Exists","Exists")</f>
        <v>Exists</v>
      </c>
      <c r="N344" t="str">
        <f t="shared" si="19"/>
        <v>Exists</v>
      </c>
      <c r="O344" t="str">
        <f t="shared" si="17"/>
        <v>Not Exists</v>
      </c>
      <c r="P344" t="str">
        <f t="shared" si="18"/>
        <v>Exists</v>
      </c>
    </row>
    <row r="345" spans="1:16">
      <c r="A345" s="50" t="s">
        <v>470</v>
      </c>
      <c r="B345" s="50" t="s">
        <v>462</v>
      </c>
      <c r="C345" s="50" t="s">
        <v>256</v>
      </c>
      <c r="D345" s="50">
        <v>8</v>
      </c>
      <c r="E345" s="50" t="s">
        <v>446</v>
      </c>
      <c r="F345" s="50" t="s">
        <v>448</v>
      </c>
      <c r="G345" s="50" t="s">
        <v>256</v>
      </c>
      <c r="H345" s="50">
        <v>50</v>
      </c>
      <c r="M345" t="str">
        <f>IF(COUNTIF($A:$A,E345)=0,"Not Exists","Exists")</f>
        <v>Exists</v>
      </c>
      <c r="N345" t="str">
        <f t="shared" si="19"/>
        <v>Exists</v>
      </c>
      <c r="O345" t="str">
        <f t="shared" si="17"/>
        <v>Not Exists</v>
      </c>
      <c r="P345" t="str">
        <f t="shared" si="18"/>
        <v>Exists</v>
      </c>
    </row>
    <row r="346" spans="1:16">
      <c r="A346" s="50" t="s">
        <v>470</v>
      </c>
      <c r="B346" s="50" t="s">
        <v>457</v>
      </c>
      <c r="C346" s="50" t="s">
        <v>254</v>
      </c>
      <c r="D346" s="50">
        <v>22</v>
      </c>
      <c r="E346" s="50" t="s">
        <v>446</v>
      </c>
      <c r="F346" s="50" t="s">
        <v>449</v>
      </c>
      <c r="G346" s="50" t="s">
        <v>256</v>
      </c>
      <c r="H346" s="50">
        <v>100</v>
      </c>
      <c r="M346" t="str">
        <f>IF(COUNTIF($A:$A,E346)=0,"Not Exists","Exists")</f>
        <v>Exists</v>
      </c>
      <c r="N346" t="str">
        <f t="shared" si="19"/>
        <v>Exists</v>
      </c>
      <c r="O346" t="str">
        <f t="shared" si="17"/>
        <v>Not Exists</v>
      </c>
      <c r="P346" t="str">
        <f t="shared" si="18"/>
        <v>Exists</v>
      </c>
    </row>
    <row r="347" spans="1:16">
      <c r="A347" s="50" t="s">
        <v>470</v>
      </c>
      <c r="B347" s="50" t="s">
        <v>434</v>
      </c>
      <c r="C347" s="50" t="s">
        <v>254</v>
      </c>
      <c r="D347" s="50">
        <v>22</v>
      </c>
      <c r="E347" s="50" t="s">
        <v>446</v>
      </c>
      <c r="F347" s="50" t="s">
        <v>450</v>
      </c>
      <c r="G347" s="50" t="s">
        <v>256</v>
      </c>
      <c r="H347" s="50">
        <v>2000</v>
      </c>
      <c r="M347" t="str">
        <f>IF(COUNTIF($A:$A,E347)=0,"Not Exists","Exists")</f>
        <v>Exists</v>
      </c>
      <c r="N347" t="str">
        <f t="shared" si="19"/>
        <v>Exists</v>
      </c>
      <c r="O347" t="str">
        <f t="shared" si="17"/>
        <v>Not Exists</v>
      </c>
      <c r="P347" t="str">
        <f t="shared" si="18"/>
        <v>Exists</v>
      </c>
    </row>
    <row r="348" spans="1:16">
      <c r="A348" s="50" t="s">
        <v>470</v>
      </c>
      <c r="B348" s="50" t="s">
        <v>456</v>
      </c>
      <c r="C348" s="50" t="s">
        <v>254</v>
      </c>
      <c r="D348" s="50">
        <v>22</v>
      </c>
      <c r="E348" s="50" t="s">
        <v>446</v>
      </c>
      <c r="F348" s="50" t="s">
        <v>451</v>
      </c>
      <c r="G348" s="50" t="s">
        <v>256</v>
      </c>
      <c r="H348" s="50">
        <v>1000</v>
      </c>
      <c r="M348" t="str">
        <f>IF(COUNTIF($A:$A,E348)=0,"Not Exists","Exists")</f>
        <v>Exists</v>
      </c>
      <c r="N348" t="str">
        <f t="shared" si="19"/>
        <v>Exists</v>
      </c>
      <c r="O348" t="str">
        <f t="shared" si="17"/>
        <v>Not Exists</v>
      </c>
      <c r="P348" t="str">
        <f t="shared" si="18"/>
        <v>Exists</v>
      </c>
    </row>
    <row r="349" spans="1:16">
      <c r="A349" s="50" t="s">
        <v>470</v>
      </c>
      <c r="B349" s="50" t="s">
        <v>481</v>
      </c>
      <c r="C349" s="50" t="s">
        <v>254</v>
      </c>
      <c r="D349" s="50">
        <v>22</v>
      </c>
      <c r="E349" s="50" t="s">
        <v>446</v>
      </c>
      <c r="F349" s="50" t="s">
        <v>452</v>
      </c>
      <c r="G349" s="50" t="s">
        <v>256</v>
      </c>
      <c r="H349" s="50">
        <v>1</v>
      </c>
      <c r="M349" t="str">
        <f>IF(COUNTIF($A:$A,E349)=0,"Not Exists","Exists")</f>
        <v>Exists</v>
      </c>
      <c r="N349" t="str">
        <f t="shared" si="19"/>
        <v>Exists</v>
      </c>
      <c r="O349" t="str">
        <f t="shared" si="17"/>
        <v>Not Exists</v>
      </c>
      <c r="P349" t="str">
        <f t="shared" si="18"/>
        <v>Exists</v>
      </c>
    </row>
    <row r="350" spans="1:16">
      <c r="A350" s="50" t="s">
        <v>470</v>
      </c>
      <c r="B350" s="50" t="s">
        <v>315</v>
      </c>
      <c r="C350" s="50" t="s">
        <v>251</v>
      </c>
      <c r="D350" s="50">
        <v>17</v>
      </c>
      <c r="E350" s="50" t="s">
        <v>446</v>
      </c>
      <c r="F350" s="50" t="s">
        <v>453</v>
      </c>
      <c r="G350" s="50" t="s">
        <v>256</v>
      </c>
      <c r="H350" s="50">
        <v>200</v>
      </c>
      <c r="M350" t="str">
        <f>IF(COUNTIF($A:$A,E350)=0,"Not Exists","Exists")</f>
        <v>Exists</v>
      </c>
      <c r="N350" t="str">
        <f t="shared" si="19"/>
        <v>Exists</v>
      </c>
      <c r="O350" t="str">
        <f t="shared" si="17"/>
        <v>Not Exists</v>
      </c>
      <c r="P350" t="str">
        <f t="shared" si="18"/>
        <v>Exists</v>
      </c>
    </row>
    <row r="351" spans="1:16">
      <c r="A351" s="50" t="s">
        <v>470</v>
      </c>
      <c r="B351" s="50" t="s">
        <v>317</v>
      </c>
      <c r="C351" s="50" t="s">
        <v>251</v>
      </c>
      <c r="D351" s="50">
        <v>17</v>
      </c>
      <c r="E351" s="50" t="s">
        <v>446</v>
      </c>
      <c r="F351" s="50" t="s">
        <v>434</v>
      </c>
      <c r="G351" s="50" t="s">
        <v>254</v>
      </c>
      <c r="H351" s="50">
        <v>22</v>
      </c>
      <c r="M351" t="str">
        <f>IF(COUNTIF($A:$A,E351)=0,"Not Exists","Exists")</f>
        <v>Exists</v>
      </c>
      <c r="N351" t="str">
        <f t="shared" si="19"/>
        <v>Exists</v>
      </c>
      <c r="O351" t="str">
        <f t="shared" si="17"/>
        <v>Not Exists</v>
      </c>
      <c r="P351" t="str">
        <f t="shared" si="18"/>
        <v>Exists</v>
      </c>
    </row>
    <row r="352" spans="1:16">
      <c r="A352" s="50" t="s">
        <v>470</v>
      </c>
      <c r="B352" s="50" t="s">
        <v>316</v>
      </c>
      <c r="C352" s="50" t="s">
        <v>256</v>
      </c>
      <c r="D352" s="50">
        <v>50</v>
      </c>
      <c r="E352" s="50" t="s">
        <v>446</v>
      </c>
      <c r="F352" s="50" t="s">
        <v>454</v>
      </c>
      <c r="G352" s="50" t="s">
        <v>256</v>
      </c>
      <c r="H352" s="50">
        <v>10</v>
      </c>
      <c r="M352" t="str">
        <f>IF(COUNTIF($A:$A,E352)=0,"Not Exists","Exists")</f>
        <v>Exists</v>
      </c>
      <c r="N352" t="str">
        <f t="shared" si="19"/>
        <v>Exists</v>
      </c>
      <c r="O352" t="str">
        <f t="shared" si="17"/>
        <v>Not Exists</v>
      </c>
      <c r="P352" t="str">
        <f t="shared" si="18"/>
        <v>Exists</v>
      </c>
    </row>
    <row r="353" spans="1:16">
      <c r="A353" s="50" t="s">
        <v>470</v>
      </c>
      <c r="B353" s="50" t="s">
        <v>318</v>
      </c>
      <c r="C353" s="50" t="s">
        <v>256</v>
      </c>
      <c r="D353" s="50">
        <v>50</v>
      </c>
      <c r="E353" s="50" t="s">
        <v>446</v>
      </c>
      <c r="F353" s="50" t="s">
        <v>315</v>
      </c>
      <c r="G353" s="50" t="s">
        <v>251</v>
      </c>
      <c r="H353" s="50">
        <v>17</v>
      </c>
      <c r="M353" t="str">
        <f>IF(COUNTIF($A:$A,E353)=0,"Not Exists","Exists")</f>
        <v>Exists</v>
      </c>
      <c r="N353" t="str">
        <f t="shared" si="19"/>
        <v>Exists</v>
      </c>
      <c r="O353" t="str">
        <f t="shared" si="17"/>
        <v>Not Exists</v>
      </c>
      <c r="P353" t="str">
        <f t="shared" si="18"/>
        <v>Exists</v>
      </c>
    </row>
    <row r="354" spans="1:16">
      <c r="A354" s="50" t="s">
        <v>470</v>
      </c>
      <c r="B354" s="50" t="s">
        <v>436</v>
      </c>
      <c r="C354" s="50" t="s">
        <v>256</v>
      </c>
      <c r="D354" s="50">
        <v>50</v>
      </c>
      <c r="E354" s="50" t="s">
        <v>446</v>
      </c>
      <c r="F354" s="50" t="s">
        <v>316</v>
      </c>
      <c r="G354" s="50" t="s">
        <v>256</v>
      </c>
      <c r="H354" s="50">
        <v>50</v>
      </c>
      <c r="M354" t="str">
        <f>IF(COUNTIF($A:$A,E354)=0,"Not Exists","Exists")</f>
        <v>Exists</v>
      </c>
      <c r="N354" t="str">
        <f t="shared" si="19"/>
        <v>Exists</v>
      </c>
      <c r="O354" t="str">
        <f t="shared" si="17"/>
        <v>Not Exists</v>
      </c>
      <c r="P354" t="str">
        <f t="shared" si="18"/>
        <v>Not Exists</v>
      </c>
    </row>
    <row r="355" spans="1:16">
      <c r="A355" s="50" t="s">
        <v>482</v>
      </c>
      <c r="B355" s="50" t="s">
        <v>447</v>
      </c>
      <c r="C355" s="50" t="s">
        <v>256</v>
      </c>
      <c r="D355" s="50">
        <v>50</v>
      </c>
      <c r="E355" s="50" t="s">
        <v>446</v>
      </c>
      <c r="F355" s="50" t="s">
        <v>317</v>
      </c>
      <c r="G355" s="50" t="s">
        <v>251</v>
      </c>
      <c r="H355" s="50">
        <v>17</v>
      </c>
      <c r="M355" t="str">
        <f>IF(COUNTIF($A:$A,E355)=0,"Not Exists","Exists")</f>
        <v>Exists</v>
      </c>
      <c r="N355" t="str">
        <f t="shared" si="19"/>
        <v>Exists</v>
      </c>
      <c r="O355" t="str">
        <f t="shared" si="17"/>
        <v>Exists</v>
      </c>
      <c r="P355" t="str">
        <f t="shared" si="18"/>
        <v>Exists</v>
      </c>
    </row>
    <row r="356" spans="1:16">
      <c r="A356" s="50" t="s">
        <v>482</v>
      </c>
      <c r="B356" s="50" t="s">
        <v>448</v>
      </c>
      <c r="C356" s="50" t="s">
        <v>256</v>
      </c>
      <c r="D356" s="50">
        <v>50</v>
      </c>
      <c r="E356" s="50" t="s">
        <v>446</v>
      </c>
      <c r="F356" s="50" t="s">
        <v>318</v>
      </c>
      <c r="G356" s="50" t="s">
        <v>256</v>
      </c>
      <c r="H356" s="50">
        <v>50</v>
      </c>
      <c r="M356" t="str">
        <f>IF(COUNTIF($A:$A,E356)=0,"Not Exists","Exists")</f>
        <v>Exists</v>
      </c>
      <c r="N356" t="str">
        <f t="shared" si="19"/>
        <v>Exists</v>
      </c>
      <c r="O356" t="str">
        <f t="shared" si="17"/>
        <v>Exists</v>
      </c>
      <c r="P356" t="str">
        <f t="shared" si="18"/>
        <v>Exists</v>
      </c>
    </row>
    <row r="357" spans="1:16">
      <c r="A357" s="50" t="s">
        <v>482</v>
      </c>
      <c r="B357" s="50" t="s">
        <v>483</v>
      </c>
      <c r="C357" s="50" t="s">
        <v>254</v>
      </c>
      <c r="D357" s="50">
        <v>22</v>
      </c>
      <c r="E357" s="50" t="s">
        <v>484</v>
      </c>
      <c r="F357" s="50" t="s">
        <v>447</v>
      </c>
      <c r="G357" s="50" t="s">
        <v>256</v>
      </c>
      <c r="H357" s="50">
        <v>50</v>
      </c>
      <c r="M357" t="str">
        <f>IF(COUNTIF($A:$A,E357)=0,"Not Exists","Exists")</f>
        <v>Not Exists</v>
      </c>
      <c r="N357" t="str">
        <f t="shared" ref="N357:N412" si="20">IF(COUNTIF($A:$B,F357)=0,"Not Exists","Exists")</f>
        <v>Exists</v>
      </c>
      <c r="O357" t="str">
        <f t="shared" si="17"/>
        <v>Exists</v>
      </c>
      <c r="P357" t="str">
        <f t="shared" si="18"/>
        <v>Exists</v>
      </c>
    </row>
    <row r="358" spans="1:16">
      <c r="A358" s="50" t="s">
        <v>482</v>
      </c>
      <c r="B358" s="50" t="s">
        <v>454</v>
      </c>
      <c r="C358" s="50" t="s">
        <v>256</v>
      </c>
      <c r="D358" s="50">
        <v>10</v>
      </c>
      <c r="E358" s="50" t="s">
        <v>484</v>
      </c>
      <c r="F358" s="50" t="s">
        <v>462</v>
      </c>
      <c r="G358" s="50" t="s">
        <v>256</v>
      </c>
      <c r="H358" s="50">
        <v>8</v>
      </c>
      <c r="M358" t="str">
        <f>IF(COUNTIF($A:$A,E358)=0,"Not Exists","Exists")</f>
        <v>Not Exists</v>
      </c>
      <c r="N358" t="str">
        <f t="shared" si="20"/>
        <v>Exists</v>
      </c>
      <c r="O358" t="str">
        <f t="shared" si="17"/>
        <v>Exists</v>
      </c>
      <c r="P358" t="str">
        <f t="shared" si="18"/>
        <v>Exists</v>
      </c>
    </row>
    <row r="359" spans="1:16">
      <c r="A359" s="50" t="s">
        <v>482</v>
      </c>
      <c r="B359" s="50" t="s">
        <v>474</v>
      </c>
      <c r="C359" s="50" t="s">
        <v>256</v>
      </c>
      <c r="D359" s="50">
        <v>200</v>
      </c>
      <c r="E359" s="50" t="s">
        <v>484</v>
      </c>
      <c r="F359" s="50" t="s">
        <v>485</v>
      </c>
      <c r="G359" s="50" t="s">
        <v>256</v>
      </c>
      <c r="H359" s="50">
        <v>50</v>
      </c>
      <c r="M359" t="str">
        <f>IF(COUNTIF($A:$A,E359)=0,"Not Exists","Exists")</f>
        <v>Not Exists</v>
      </c>
      <c r="N359" t="str">
        <f t="shared" si="20"/>
        <v>Exists</v>
      </c>
      <c r="O359" t="str">
        <f t="shared" si="17"/>
        <v>Exists</v>
      </c>
      <c r="P359" t="str">
        <f t="shared" si="18"/>
        <v>Exists</v>
      </c>
    </row>
    <row r="360" spans="1:16">
      <c r="A360" s="50" t="s">
        <v>482</v>
      </c>
      <c r="B360" s="50" t="s">
        <v>421</v>
      </c>
      <c r="C360" s="50" t="s">
        <v>256</v>
      </c>
      <c r="D360" s="50">
        <v>1000</v>
      </c>
      <c r="E360" s="50" t="s">
        <v>484</v>
      </c>
      <c r="F360" s="50" t="s">
        <v>318</v>
      </c>
      <c r="G360" s="50" t="s">
        <v>256</v>
      </c>
      <c r="H360" s="50">
        <v>50</v>
      </c>
      <c r="M360" t="str">
        <f>IF(COUNTIF($A:$A,E360)=0,"Not Exists","Exists")</f>
        <v>Not Exists</v>
      </c>
      <c r="N360" t="str">
        <f t="shared" si="20"/>
        <v>Exists</v>
      </c>
      <c r="O360" t="str">
        <f t="shared" si="17"/>
        <v>Exists</v>
      </c>
      <c r="P360" t="str">
        <f t="shared" si="18"/>
        <v>Exists</v>
      </c>
    </row>
    <row r="361" spans="1:16">
      <c r="A361" s="50" t="s">
        <v>482</v>
      </c>
      <c r="B361" s="50" t="s">
        <v>486</v>
      </c>
      <c r="C361" s="50" t="s">
        <v>256</v>
      </c>
      <c r="D361" s="50">
        <v>1000</v>
      </c>
      <c r="E361" s="50" t="s">
        <v>484</v>
      </c>
      <c r="F361" s="50" t="s">
        <v>317</v>
      </c>
      <c r="G361" s="50" t="s">
        <v>256</v>
      </c>
      <c r="H361" s="50">
        <v>17</v>
      </c>
      <c r="M361" t="str">
        <f>IF(COUNTIF($A:$A,E361)=0,"Not Exists","Exists")</f>
        <v>Not Exists</v>
      </c>
      <c r="N361" t="str">
        <f t="shared" si="20"/>
        <v>Exists</v>
      </c>
      <c r="O361" t="str">
        <f t="shared" si="17"/>
        <v>Exists</v>
      </c>
      <c r="P361" t="str">
        <f t="shared" si="18"/>
        <v>Exists</v>
      </c>
    </row>
    <row r="362" spans="1:16">
      <c r="A362" s="50" t="s">
        <v>482</v>
      </c>
      <c r="B362" s="50" t="s">
        <v>487</v>
      </c>
      <c r="C362" s="50" t="s">
        <v>256</v>
      </c>
      <c r="D362" s="50">
        <v>50</v>
      </c>
      <c r="E362" s="50" t="s">
        <v>484</v>
      </c>
      <c r="F362" s="50" t="s">
        <v>316</v>
      </c>
      <c r="G362" s="50" t="s">
        <v>256</v>
      </c>
      <c r="H362" s="50">
        <v>50</v>
      </c>
      <c r="M362" t="str">
        <f>IF(COUNTIF($A:$A,E362)=0,"Not Exists","Exists")</f>
        <v>Not Exists</v>
      </c>
      <c r="N362" t="str">
        <f t="shared" si="20"/>
        <v>Exists</v>
      </c>
      <c r="O362" t="str">
        <f t="shared" si="17"/>
        <v>Exists</v>
      </c>
      <c r="P362" t="str">
        <f t="shared" si="18"/>
        <v>Exists</v>
      </c>
    </row>
    <row r="363" spans="1:16">
      <c r="A363" s="50" t="s">
        <v>482</v>
      </c>
      <c r="B363" s="50" t="s">
        <v>478</v>
      </c>
      <c r="C363" s="50" t="s">
        <v>256</v>
      </c>
      <c r="D363" s="50">
        <v>50</v>
      </c>
      <c r="E363" s="50" t="s">
        <v>484</v>
      </c>
      <c r="F363" s="50" t="s">
        <v>315</v>
      </c>
      <c r="G363" s="50" t="s">
        <v>256</v>
      </c>
      <c r="H363" s="50">
        <v>17</v>
      </c>
      <c r="M363" t="str">
        <f>IF(COUNTIF($A:$A,E363)=0,"Not Exists","Exists")</f>
        <v>Not Exists</v>
      </c>
      <c r="N363" t="str">
        <f t="shared" si="20"/>
        <v>Exists</v>
      </c>
      <c r="O363" t="str">
        <f t="shared" si="17"/>
        <v>Exists</v>
      </c>
      <c r="P363" t="str">
        <f t="shared" si="18"/>
        <v>Exists</v>
      </c>
    </row>
    <row r="364" spans="1:16">
      <c r="A364" s="50" t="s">
        <v>482</v>
      </c>
      <c r="B364" s="50" t="s">
        <v>479</v>
      </c>
      <c r="C364" s="50" t="s">
        <v>256</v>
      </c>
      <c r="D364" s="50">
        <v>100</v>
      </c>
      <c r="E364" s="50" t="s">
        <v>484</v>
      </c>
      <c r="F364" s="50" t="s">
        <v>457</v>
      </c>
      <c r="G364" s="50" t="s">
        <v>254</v>
      </c>
      <c r="H364" s="50">
        <v>22</v>
      </c>
      <c r="M364" t="str">
        <f>IF(COUNTIF($A:$A,E364)=0,"Not Exists","Exists")</f>
        <v>Not Exists</v>
      </c>
      <c r="N364" t="str">
        <f t="shared" si="20"/>
        <v>Exists</v>
      </c>
      <c r="O364" t="str">
        <f t="shared" si="17"/>
        <v>Exists</v>
      </c>
      <c r="P364" t="str">
        <f t="shared" si="18"/>
        <v>Exists</v>
      </c>
    </row>
    <row r="365" spans="1:16">
      <c r="A365" s="50" t="s">
        <v>482</v>
      </c>
      <c r="B365" s="50" t="s">
        <v>488</v>
      </c>
      <c r="C365" s="50" t="s">
        <v>256</v>
      </c>
      <c r="D365" s="50">
        <v>100</v>
      </c>
      <c r="E365" s="50" t="s">
        <v>455</v>
      </c>
      <c r="F365" s="50" t="s">
        <v>447</v>
      </c>
      <c r="G365" s="50" t="s">
        <v>256</v>
      </c>
      <c r="H365" s="50">
        <v>50</v>
      </c>
      <c r="M365" t="str">
        <f>IF(COUNTIF($A:$A,E365)=0,"Not Exists","Exists")</f>
        <v>Exists</v>
      </c>
      <c r="N365" t="str">
        <f t="shared" si="20"/>
        <v>Exists</v>
      </c>
      <c r="O365" t="str">
        <f t="shared" si="17"/>
        <v>Exists</v>
      </c>
      <c r="P365" t="str">
        <f t="shared" si="18"/>
        <v>Exists</v>
      </c>
    </row>
    <row r="366" spans="1:16">
      <c r="A366" s="50" t="s">
        <v>482</v>
      </c>
      <c r="B366" s="50" t="s">
        <v>489</v>
      </c>
      <c r="C366" s="50" t="s">
        <v>256</v>
      </c>
      <c r="D366" s="50">
        <v>1</v>
      </c>
      <c r="E366" s="50" t="s">
        <v>455</v>
      </c>
      <c r="F366" s="50" t="s">
        <v>462</v>
      </c>
      <c r="G366" s="50" t="s">
        <v>256</v>
      </c>
      <c r="H366" s="50">
        <v>8</v>
      </c>
      <c r="M366" t="str">
        <f>IF(COUNTIF($A:$A,E366)=0,"Not Exists","Exists")</f>
        <v>Exists</v>
      </c>
      <c r="N366" t="str">
        <f t="shared" si="20"/>
        <v>Exists</v>
      </c>
      <c r="O366" t="str">
        <f t="shared" si="17"/>
        <v>Exists</v>
      </c>
      <c r="P366" t="str">
        <f t="shared" si="18"/>
        <v>Exists</v>
      </c>
    </row>
    <row r="367" spans="1:16">
      <c r="A367" s="50" t="s">
        <v>482</v>
      </c>
      <c r="B367" s="50" t="s">
        <v>490</v>
      </c>
      <c r="C367" s="50" t="s">
        <v>256</v>
      </c>
      <c r="D367" s="50">
        <v>30</v>
      </c>
      <c r="E367" s="50" t="s">
        <v>455</v>
      </c>
      <c r="F367" s="50" t="s">
        <v>457</v>
      </c>
      <c r="G367" s="50" t="s">
        <v>254</v>
      </c>
      <c r="H367" s="50">
        <v>22</v>
      </c>
      <c r="M367" t="str">
        <f>IF(COUNTIF($A:$A,E367)=0,"Not Exists","Exists")</f>
        <v>Exists</v>
      </c>
      <c r="N367" t="str">
        <f t="shared" si="20"/>
        <v>Exists</v>
      </c>
      <c r="O367" t="str">
        <f t="shared" si="17"/>
        <v>Exists</v>
      </c>
      <c r="P367" t="str">
        <f t="shared" si="18"/>
        <v>Exists</v>
      </c>
    </row>
    <row r="368" spans="1:16">
      <c r="A368" s="50" t="s">
        <v>482</v>
      </c>
      <c r="B368" s="50" t="s">
        <v>452</v>
      </c>
      <c r="C368" s="50" t="s">
        <v>256</v>
      </c>
      <c r="D368" s="50">
        <v>1</v>
      </c>
      <c r="E368" s="50" t="s">
        <v>455</v>
      </c>
      <c r="F368" s="50" t="s">
        <v>448</v>
      </c>
      <c r="G368" s="50" t="s">
        <v>256</v>
      </c>
      <c r="H368" s="50">
        <v>50</v>
      </c>
      <c r="M368" t="str">
        <f>IF(COUNTIF($A:$A,E368)=0,"Not Exists","Exists")</f>
        <v>Exists</v>
      </c>
      <c r="N368" t="str">
        <f t="shared" si="20"/>
        <v>Exists</v>
      </c>
      <c r="O368" t="str">
        <f t="shared" si="17"/>
        <v>Exists</v>
      </c>
      <c r="P368" t="str">
        <f t="shared" si="18"/>
        <v>Exists</v>
      </c>
    </row>
    <row r="369" spans="1:16">
      <c r="A369" s="50" t="s">
        <v>482</v>
      </c>
      <c r="B369" s="50" t="s">
        <v>315</v>
      </c>
      <c r="C369" s="50" t="s">
        <v>251</v>
      </c>
      <c r="D369" s="50">
        <v>17</v>
      </c>
      <c r="E369" s="50" t="s">
        <v>455</v>
      </c>
      <c r="F369" s="50" t="s">
        <v>458</v>
      </c>
      <c r="G369" s="50" t="s">
        <v>256</v>
      </c>
      <c r="H369" s="50">
        <v>50</v>
      </c>
      <c r="M369" t="str">
        <f>IF(COUNTIF($A:$A,E369)=0,"Not Exists","Exists")</f>
        <v>Exists</v>
      </c>
      <c r="N369" t="str">
        <f t="shared" si="20"/>
        <v>Exists</v>
      </c>
      <c r="O369" t="str">
        <f t="shared" si="17"/>
        <v>Exists</v>
      </c>
      <c r="P369" t="str">
        <f t="shared" si="18"/>
        <v>Exists</v>
      </c>
    </row>
    <row r="370" spans="1:16">
      <c r="A370" s="50" t="s">
        <v>482</v>
      </c>
      <c r="B370" s="50" t="s">
        <v>316</v>
      </c>
      <c r="C370" s="50" t="s">
        <v>256</v>
      </c>
      <c r="D370" s="50">
        <v>50</v>
      </c>
      <c r="E370" s="50" t="s">
        <v>455</v>
      </c>
      <c r="F370" s="50" t="s">
        <v>318</v>
      </c>
      <c r="G370" s="50" t="s">
        <v>256</v>
      </c>
      <c r="H370" s="50">
        <v>50</v>
      </c>
      <c r="M370" t="str">
        <f>IF(COUNTIF($A:$A,E370)=0,"Not Exists","Exists")</f>
        <v>Exists</v>
      </c>
      <c r="N370" t="str">
        <f t="shared" si="20"/>
        <v>Exists</v>
      </c>
      <c r="O370" t="str">
        <f t="shared" si="17"/>
        <v>Exists</v>
      </c>
      <c r="P370" t="str">
        <f t="shared" si="18"/>
        <v>Exists</v>
      </c>
    </row>
    <row r="371" spans="1:16">
      <c r="A371" s="50" t="s">
        <v>482</v>
      </c>
      <c r="B371" s="50" t="s">
        <v>317</v>
      </c>
      <c r="C371" s="50" t="s">
        <v>251</v>
      </c>
      <c r="D371" s="50">
        <v>17</v>
      </c>
      <c r="E371" s="50" t="s">
        <v>455</v>
      </c>
      <c r="F371" s="50" t="s">
        <v>317</v>
      </c>
      <c r="G371" s="50" t="s">
        <v>256</v>
      </c>
      <c r="H371" s="50">
        <v>17</v>
      </c>
      <c r="M371" t="str">
        <f>IF(COUNTIF($A:$A,E371)=0,"Not Exists","Exists")</f>
        <v>Exists</v>
      </c>
      <c r="N371" t="str">
        <f t="shared" si="20"/>
        <v>Exists</v>
      </c>
      <c r="O371" t="str">
        <f t="shared" si="17"/>
        <v>Exists</v>
      </c>
      <c r="P371" t="str">
        <f t="shared" si="18"/>
        <v>Exists</v>
      </c>
    </row>
    <row r="372" spans="1:16">
      <c r="A372" s="50" t="s">
        <v>482</v>
      </c>
      <c r="B372" s="50" t="s">
        <v>318</v>
      </c>
      <c r="C372" s="50" t="s">
        <v>256</v>
      </c>
      <c r="D372" s="50">
        <v>50</v>
      </c>
      <c r="E372" s="50" t="s">
        <v>455</v>
      </c>
      <c r="F372" s="50" t="s">
        <v>316</v>
      </c>
      <c r="G372" s="50" t="s">
        <v>256</v>
      </c>
      <c r="H372" s="50">
        <v>50</v>
      </c>
      <c r="M372" t="str">
        <f>IF(COUNTIF($A:$A,E372)=0,"Not Exists","Exists")</f>
        <v>Exists</v>
      </c>
      <c r="N372" t="str">
        <f t="shared" si="20"/>
        <v>Exists</v>
      </c>
      <c r="O372" t="str">
        <f t="shared" si="17"/>
        <v>Exists</v>
      </c>
      <c r="P372" t="str">
        <f t="shared" si="18"/>
        <v>Exists</v>
      </c>
    </row>
    <row r="373" spans="1:16">
      <c r="A373" s="50" t="s">
        <v>482</v>
      </c>
      <c r="B373" s="50" t="s">
        <v>491</v>
      </c>
      <c r="C373" s="50" t="s">
        <v>256</v>
      </c>
      <c r="D373" s="50">
        <v>4</v>
      </c>
      <c r="E373" s="50" t="s">
        <v>455</v>
      </c>
      <c r="F373" s="50" t="s">
        <v>315</v>
      </c>
      <c r="G373" s="50" t="s">
        <v>256</v>
      </c>
      <c r="H373" s="50">
        <v>17</v>
      </c>
      <c r="M373" t="str">
        <f>IF(COUNTIF($A:$A,E373)=0,"Not Exists","Exists")</f>
        <v>Exists</v>
      </c>
      <c r="N373" t="str">
        <f t="shared" si="20"/>
        <v>Exists</v>
      </c>
      <c r="O373" t="str">
        <f t="shared" si="17"/>
        <v>Exists</v>
      </c>
      <c r="P373" t="str">
        <f t="shared" si="18"/>
        <v>Exists</v>
      </c>
    </row>
    <row r="374" spans="1:16">
      <c r="A374" s="50" t="s">
        <v>482</v>
      </c>
      <c r="B374" s="50" t="s">
        <v>492</v>
      </c>
      <c r="C374" s="50" t="s">
        <v>256</v>
      </c>
      <c r="D374" s="50">
        <v>1</v>
      </c>
      <c r="E374" s="50" t="s">
        <v>455</v>
      </c>
      <c r="F374" s="50" t="s">
        <v>459</v>
      </c>
      <c r="G374" s="50" t="s">
        <v>256</v>
      </c>
      <c r="H374" s="50">
        <v>1000</v>
      </c>
      <c r="M374" t="str">
        <f>IF(COUNTIF($A:$A,E374)=0,"Not Exists","Exists")</f>
        <v>Exists</v>
      </c>
      <c r="N374" t="str">
        <f t="shared" si="20"/>
        <v>Exists</v>
      </c>
      <c r="O374" t="str">
        <f t="shared" si="17"/>
        <v>Exists</v>
      </c>
      <c r="P374" t="str">
        <f t="shared" si="18"/>
        <v>Exists</v>
      </c>
    </row>
    <row r="375" spans="1:16">
      <c r="A375" s="50" t="s">
        <v>482</v>
      </c>
      <c r="B375" s="50" t="s">
        <v>493</v>
      </c>
      <c r="C375" s="50" t="s">
        <v>256</v>
      </c>
      <c r="D375" s="50">
        <v>4000</v>
      </c>
      <c r="E375" s="50" t="s">
        <v>455</v>
      </c>
      <c r="F375" s="50" t="s">
        <v>460</v>
      </c>
      <c r="G375" s="50" t="s">
        <v>461</v>
      </c>
      <c r="H375" s="50">
        <v>11</v>
      </c>
      <c r="M375" t="str">
        <f>IF(COUNTIF($A:$A,E375)=0,"Not Exists","Exists")</f>
        <v>Exists</v>
      </c>
      <c r="N375" t="str">
        <f t="shared" si="20"/>
        <v>Exists</v>
      </c>
      <c r="O375" t="str">
        <f t="shared" si="17"/>
        <v>Exists</v>
      </c>
      <c r="P375" t="str">
        <f t="shared" si="18"/>
        <v>Exists</v>
      </c>
    </row>
    <row r="376" spans="1:16">
      <c r="A376" s="50" t="s">
        <v>482</v>
      </c>
      <c r="B376" s="50" t="s">
        <v>494</v>
      </c>
      <c r="C376" s="50" t="s">
        <v>256</v>
      </c>
      <c r="D376" s="50">
        <v>2</v>
      </c>
      <c r="E376" s="50" t="s">
        <v>455</v>
      </c>
      <c r="F376" s="50" t="s">
        <v>463</v>
      </c>
      <c r="G376" s="50" t="s">
        <v>254</v>
      </c>
      <c r="H376" s="50">
        <v>22</v>
      </c>
      <c r="M376" t="str">
        <f>IF(COUNTIF($A:$A,E376)=0,"Not Exists","Exists")</f>
        <v>Exists</v>
      </c>
      <c r="N376" t="str">
        <f t="shared" si="20"/>
        <v>Exists</v>
      </c>
      <c r="O376" t="str">
        <f t="shared" si="17"/>
        <v>Exists</v>
      </c>
      <c r="P376" t="str">
        <f t="shared" si="18"/>
        <v>Exists</v>
      </c>
    </row>
    <row r="377" spans="1:16">
      <c r="A377" s="50" t="s">
        <v>482</v>
      </c>
      <c r="B377" s="50" t="s">
        <v>495</v>
      </c>
      <c r="C377" s="50" t="s">
        <v>256</v>
      </c>
      <c r="D377" s="50">
        <v>1000</v>
      </c>
      <c r="E377" s="50" t="s">
        <v>455</v>
      </c>
      <c r="F377" s="50" t="s">
        <v>464</v>
      </c>
      <c r="G377" s="50" t="s">
        <v>254</v>
      </c>
      <c r="H377" s="50">
        <v>22</v>
      </c>
      <c r="M377" t="str">
        <f>IF(COUNTIF($A:$A,E377)=0,"Not Exists","Exists")</f>
        <v>Exists</v>
      </c>
      <c r="N377" t="str">
        <f t="shared" si="20"/>
        <v>Exists</v>
      </c>
      <c r="O377" t="str">
        <f t="shared" si="17"/>
        <v>Exists</v>
      </c>
      <c r="P377" t="str">
        <f t="shared" si="18"/>
        <v>Exists</v>
      </c>
    </row>
    <row r="378" spans="1:16">
      <c r="A378" s="50" t="s">
        <v>482</v>
      </c>
      <c r="B378" s="50" t="s">
        <v>436</v>
      </c>
      <c r="C378" s="50" t="s">
        <v>256</v>
      </c>
      <c r="D378" s="50">
        <v>50</v>
      </c>
      <c r="E378" s="50" t="s">
        <v>482</v>
      </c>
      <c r="F378" s="50" t="s">
        <v>447</v>
      </c>
      <c r="G378" s="50" t="s">
        <v>256</v>
      </c>
      <c r="H378" s="50">
        <v>50</v>
      </c>
      <c r="M378" t="str">
        <f>IF(COUNTIF($A:$A,E378)=0,"Not Exists","Exists")</f>
        <v>Exists</v>
      </c>
      <c r="N378" t="str">
        <f t="shared" si="20"/>
        <v>Exists</v>
      </c>
      <c r="O378" t="str">
        <f t="shared" si="17"/>
        <v>Exists</v>
      </c>
      <c r="P378" t="str">
        <f t="shared" si="18"/>
        <v>Not Exists</v>
      </c>
    </row>
    <row r="379" spans="1:16">
      <c r="A379" s="50" t="s">
        <v>482</v>
      </c>
      <c r="B379" s="50" t="s">
        <v>496</v>
      </c>
      <c r="C379" s="50" t="s">
        <v>256</v>
      </c>
      <c r="D379" s="50">
        <v>10</v>
      </c>
      <c r="E379" s="50" t="s">
        <v>482</v>
      </c>
      <c r="F379" s="50" t="s">
        <v>448</v>
      </c>
      <c r="G379" s="50" t="s">
        <v>256</v>
      </c>
      <c r="H379" s="50">
        <v>50</v>
      </c>
      <c r="M379" t="str">
        <f>IF(COUNTIF($A:$A,E379)=0,"Not Exists","Exists")</f>
        <v>Exists</v>
      </c>
      <c r="N379" t="str">
        <f t="shared" si="20"/>
        <v>Exists</v>
      </c>
      <c r="O379" t="str">
        <f t="shared" si="17"/>
        <v>Exists</v>
      </c>
      <c r="P379" t="str">
        <f t="shared" si="18"/>
        <v>Not Exists</v>
      </c>
    </row>
    <row r="380" spans="1:16">
      <c r="A380" s="50" t="s">
        <v>482</v>
      </c>
      <c r="B380" s="50" t="s">
        <v>497</v>
      </c>
      <c r="C380" s="50" t="s">
        <v>256</v>
      </c>
      <c r="D380" s="50">
        <v>10</v>
      </c>
      <c r="E380" s="50" t="s">
        <v>482</v>
      </c>
      <c r="F380" s="50" t="s">
        <v>483</v>
      </c>
      <c r="G380" s="50" t="s">
        <v>254</v>
      </c>
      <c r="H380" s="50">
        <v>22</v>
      </c>
      <c r="M380" t="str">
        <f>IF(COUNTIF($A:$A,E380)=0,"Not Exists","Exists")</f>
        <v>Exists</v>
      </c>
      <c r="N380" t="str">
        <f t="shared" si="20"/>
        <v>Exists</v>
      </c>
      <c r="O380" t="str">
        <f t="shared" si="17"/>
        <v>Exists</v>
      </c>
      <c r="P380" t="str">
        <f t="shared" si="18"/>
        <v>Not Exists</v>
      </c>
    </row>
    <row r="381" spans="1:16">
      <c r="A381" s="50" t="s">
        <v>482</v>
      </c>
      <c r="B381" s="50" t="s">
        <v>498</v>
      </c>
      <c r="C381" s="50" t="s">
        <v>251</v>
      </c>
      <c r="D381" s="50">
        <v>1</v>
      </c>
      <c r="E381" s="50" t="s">
        <v>482</v>
      </c>
      <c r="F381" s="50" t="s">
        <v>454</v>
      </c>
      <c r="G381" s="50" t="s">
        <v>256</v>
      </c>
      <c r="H381" s="50">
        <v>10</v>
      </c>
      <c r="M381" t="str">
        <f>IF(COUNTIF($A:$A,E381)=0,"Not Exists","Exists")</f>
        <v>Exists</v>
      </c>
      <c r="N381" t="str">
        <f t="shared" si="20"/>
        <v>Exists</v>
      </c>
      <c r="O381" t="str">
        <f t="shared" si="17"/>
        <v>Exists</v>
      </c>
      <c r="P381" t="str">
        <f t="shared" si="18"/>
        <v>Not Exists</v>
      </c>
    </row>
    <row r="382" spans="1:16">
      <c r="A382" s="50" t="s">
        <v>482</v>
      </c>
      <c r="B382" s="50" t="s">
        <v>499</v>
      </c>
      <c r="C382" s="50" t="s">
        <v>256</v>
      </c>
      <c r="D382" s="50">
        <v>50</v>
      </c>
      <c r="E382" s="50" t="s">
        <v>482</v>
      </c>
      <c r="F382" s="50" t="s">
        <v>474</v>
      </c>
      <c r="G382" s="50" t="s">
        <v>256</v>
      </c>
      <c r="H382" s="50">
        <v>200</v>
      </c>
      <c r="M382" t="str">
        <f>IF(COUNTIF($A:$A,E382)=0,"Not Exists","Exists")</f>
        <v>Exists</v>
      </c>
      <c r="N382" t="str">
        <f t="shared" si="20"/>
        <v>Exists</v>
      </c>
      <c r="O382" t="str">
        <f t="shared" si="17"/>
        <v>Exists</v>
      </c>
      <c r="P382" t="str">
        <f t="shared" si="18"/>
        <v>Not Exists</v>
      </c>
    </row>
    <row r="383" spans="1:16">
      <c r="A383" s="50" t="s">
        <v>482</v>
      </c>
      <c r="B383" s="50" t="s">
        <v>500</v>
      </c>
      <c r="C383" s="50" t="s">
        <v>251</v>
      </c>
      <c r="D383" s="50">
        <v>1</v>
      </c>
      <c r="E383" s="50" t="s">
        <v>482</v>
      </c>
      <c r="F383" s="50" t="s">
        <v>421</v>
      </c>
      <c r="G383" s="50" t="s">
        <v>256</v>
      </c>
      <c r="H383" s="50">
        <v>1000</v>
      </c>
      <c r="M383" t="str">
        <f>IF(COUNTIF($A:$A,E383)=0,"Not Exists","Exists")</f>
        <v>Exists</v>
      </c>
      <c r="N383" t="str">
        <f t="shared" si="20"/>
        <v>Exists</v>
      </c>
      <c r="O383" t="str">
        <f t="shared" si="17"/>
        <v>Exists</v>
      </c>
      <c r="P383" t="str">
        <f t="shared" si="18"/>
        <v>Not Exists</v>
      </c>
    </row>
    <row r="384" spans="1:16">
      <c r="A384" s="50" t="s">
        <v>482</v>
      </c>
      <c r="B384" s="50" t="s">
        <v>501</v>
      </c>
      <c r="C384" s="50" t="s">
        <v>251</v>
      </c>
      <c r="D384" s="50">
        <v>1</v>
      </c>
      <c r="E384" s="50" t="s">
        <v>482</v>
      </c>
      <c r="F384" s="50" t="s">
        <v>486</v>
      </c>
      <c r="G384" s="50" t="s">
        <v>256</v>
      </c>
      <c r="H384" s="50">
        <v>1000</v>
      </c>
      <c r="M384" t="str">
        <f>IF(COUNTIF($A:$A,E384)=0,"Not Exists","Exists")</f>
        <v>Exists</v>
      </c>
      <c r="N384" t="str">
        <f t="shared" si="20"/>
        <v>Exists</v>
      </c>
      <c r="O384" t="str">
        <f t="shared" si="17"/>
        <v>Exists</v>
      </c>
      <c r="P384" t="str">
        <f t="shared" si="18"/>
        <v>Not Exists</v>
      </c>
    </row>
    <row r="385" spans="1:16">
      <c r="A385" s="50" t="s">
        <v>482</v>
      </c>
      <c r="B385" s="50" t="s">
        <v>502</v>
      </c>
      <c r="C385" s="50" t="s">
        <v>251</v>
      </c>
      <c r="D385" s="50">
        <v>1</v>
      </c>
      <c r="E385" s="50" t="s">
        <v>482</v>
      </c>
      <c r="F385" s="50" t="s">
        <v>487</v>
      </c>
      <c r="G385" s="50" t="s">
        <v>256</v>
      </c>
      <c r="H385" s="50">
        <v>50</v>
      </c>
      <c r="M385" t="str">
        <f>IF(COUNTIF($A:$A,E385)=0,"Not Exists","Exists")</f>
        <v>Exists</v>
      </c>
      <c r="N385" t="str">
        <f t="shared" si="20"/>
        <v>Exists</v>
      </c>
      <c r="O385" t="str">
        <f t="shared" si="17"/>
        <v>Exists</v>
      </c>
      <c r="P385" t="str">
        <f t="shared" si="18"/>
        <v>Not Exists</v>
      </c>
    </row>
    <row r="386" spans="1:16">
      <c r="A386" s="50" t="s">
        <v>482</v>
      </c>
      <c r="B386" s="50" t="s">
        <v>503</v>
      </c>
      <c r="C386" s="50" t="s">
        <v>256</v>
      </c>
      <c r="D386" s="50">
        <v>10</v>
      </c>
      <c r="E386" s="50" t="s">
        <v>482</v>
      </c>
      <c r="F386" s="50" t="s">
        <v>478</v>
      </c>
      <c r="G386" s="50" t="s">
        <v>256</v>
      </c>
      <c r="H386" s="50">
        <v>50</v>
      </c>
      <c r="M386" t="str">
        <f>IF(COUNTIF($A:$A,E386)=0,"Not Exists","Exists")</f>
        <v>Exists</v>
      </c>
      <c r="N386" t="str">
        <f t="shared" si="20"/>
        <v>Exists</v>
      </c>
      <c r="O386" t="str">
        <f t="shared" si="17"/>
        <v>Exists</v>
      </c>
      <c r="P386" t="str">
        <f t="shared" si="18"/>
        <v>Not Exists</v>
      </c>
    </row>
    <row r="387" spans="1:16">
      <c r="A387" s="50" t="s">
        <v>482</v>
      </c>
      <c r="B387" s="50" t="s">
        <v>504</v>
      </c>
      <c r="C387" s="50" t="s">
        <v>256</v>
      </c>
      <c r="D387" s="50">
        <v>1000</v>
      </c>
      <c r="E387" s="50" t="s">
        <v>482</v>
      </c>
      <c r="F387" s="50" t="s">
        <v>479</v>
      </c>
      <c r="G387" s="50" t="s">
        <v>256</v>
      </c>
      <c r="H387" s="50">
        <v>100</v>
      </c>
      <c r="M387" t="str">
        <f>IF(COUNTIF($A:$A,E387)=0,"Not Exists","Exists")</f>
        <v>Exists</v>
      </c>
      <c r="N387" t="str">
        <f t="shared" si="20"/>
        <v>Exists</v>
      </c>
      <c r="O387" t="str">
        <f t="shared" si="17"/>
        <v>Exists</v>
      </c>
      <c r="P387" t="str">
        <f t="shared" si="18"/>
        <v>Not Exists</v>
      </c>
    </row>
    <row r="388" spans="1:16">
      <c r="A388" s="50" t="s">
        <v>482</v>
      </c>
      <c r="B388" s="50" t="s">
        <v>505</v>
      </c>
      <c r="C388" s="50" t="s">
        <v>256</v>
      </c>
      <c r="D388" s="50">
        <v>10</v>
      </c>
      <c r="E388" s="50" t="s">
        <v>482</v>
      </c>
      <c r="F388" s="50" t="s">
        <v>488</v>
      </c>
      <c r="G388" s="50" t="s">
        <v>256</v>
      </c>
      <c r="H388" s="50">
        <v>100</v>
      </c>
      <c r="M388" t="str">
        <f>IF(COUNTIF($A:$A,E388)=0,"Not Exists","Exists")</f>
        <v>Exists</v>
      </c>
      <c r="N388" t="str">
        <f t="shared" si="20"/>
        <v>Exists</v>
      </c>
      <c r="O388" t="str">
        <f t="shared" ref="O388:O451" si="21">IF(COUNTIF($E:$E,A388)=0,"Not Exists","Exists")</f>
        <v>Exists</v>
      </c>
      <c r="P388" t="str">
        <f t="shared" ref="P388:P451" si="22">IF(COUNTIF($F:$F,B388)=0,"Not Exists","Exists")</f>
        <v>Not Exists</v>
      </c>
    </row>
    <row r="389" spans="1:16">
      <c r="A389" s="50" t="s">
        <v>506</v>
      </c>
      <c r="B389" s="50" t="s">
        <v>434</v>
      </c>
      <c r="C389" s="50" t="s">
        <v>254</v>
      </c>
      <c r="D389" s="50">
        <v>22</v>
      </c>
      <c r="E389" s="50" t="s">
        <v>482</v>
      </c>
      <c r="F389" s="50" t="s">
        <v>489</v>
      </c>
      <c r="G389" s="50" t="s">
        <v>256</v>
      </c>
      <c r="H389" s="50">
        <v>1</v>
      </c>
      <c r="M389" t="str">
        <f>IF(COUNTIF($A:$A,E389)=0,"Not Exists","Exists")</f>
        <v>Exists</v>
      </c>
      <c r="N389" t="str">
        <f t="shared" si="20"/>
        <v>Exists</v>
      </c>
      <c r="O389" t="str">
        <f t="shared" si="21"/>
        <v>Exists</v>
      </c>
      <c r="P389" t="str">
        <f t="shared" si="22"/>
        <v>Exists</v>
      </c>
    </row>
    <row r="390" spans="1:16">
      <c r="A390" s="50" t="s">
        <v>506</v>
      </c>
      <c r="B390" s="50" t="s">
        <v>447</v>
      </c>
      <c r="C390" s="50" t="s">
        <v>256</v>
      </c>
      <c r="D390" s="50">
        <v>50</v>
      </c>
      <c r="E390" s="50" t="s">
        <v>482</v>
      </c>
      <c r="F390" s="50" t="s">
        <v>490</v>
      </c>
      <c r="G390" s="50" t="s">
        <v>256</v>
      </c>
      <c r="H390" s="50">
        <v>30</v>
      </c>
      <c r="M390" t="str">
        <f>IF(COUNTIF($A:$A,E390)=0,"Not Exists","Exists")</f>
        <v>Exists</v>
      </c>
      <c r="N390" t="str">
        <f t="shared" si="20"/>
        <v>Exists</v>
      </c>
      <c r="O390" t="str">
        <f t="shared" si="21"/>
        <v>Exists</v>
      </c>
      <c r="P390" t="str">
        <f t="shared" si="22"/>
        <v>Exists</v>
      </c>
    </row>
    <row r="391" spans="1:16">
      <c r="A391" s="50" t="s">
        <v>506</v>
      </c>
      <c r="B391" s="50" t="s">
        <v>457</v>
      </c>
      <c r="C391" s="50" t="s">
        <v>254</v>
      </c>
      <c r="D391" s="50">
        <v>22</v>
      </c>
      <c r="E391" s="50" t="s">
        <v>482</v>
      </c>
      <c r="F391" s="50" t="s">
        <v>452</v>
      </c>
      <c r="G391" s="50" t="s">
        <v>256</v>
      </c>
      <c r="H391" s="50">
        <v>1</v>
      </c>
      <c r="M391" t="str">
        <f>IF(COUNTIF($A:$A,E391)=0,"Not Exists","Exists")</f>
        <v>Exists</v>
      </c>
      <c r="N391" t="str">
        <f t="shared" si="20"/>
        <v>Exists</v>
      </c>
      <c r="O391" t="str">
        <f t="shared" si="21"/>
        <v>Exists</v>
      </c>
      <c r="P391" t="str">
        <f t="shared" si="22"/>
        <v>Exists</v>
      </c>
    </row>
    <row r="392" spans="1:16">
      <c r="A392" s="50" t="s">
        <v>506</v>
      </c>
      <c r="B392" s="50" t="s">
        <v>507</v>
      </c>
      <c r="C392" s="50" t="s">
        <v>256</v>
      </c>
      <c r="D392" s="50">
        <v>20</v>
      </c>
      <c r="E392" s="50" t="s">
        <v>482</v>
      </c>
      <c r="F392" s="50" t="s">
        <v>491</v>
      </c>
      <c r="G392" s="50" t="s">
        <v>256</v>
      </c>
      <c r="H392" s="50">
        <v>4</v>
      </c>
      <c r="M392" t="str">
        <f>IF(COUNTIF($A:$A,E392)=0,"Not Exists","Exists")</f>
        <v>Exists</v>
      </c>
      <c r="N392" t="str">
        <f t="shared" si="20"/>
        <v>Exists</v>
      </c>
      <c r="O392" t="str">
        <f t="shared" si="21"/>
        <v>Exists</v>
      </c>
      <c r="P392" t="str">
        <f t="shared" si="22"/>
        <v>Exists</v>
      </c>
    </row>
    <row r="393" spans="1:16">
      <c r="A393" s="50" t="s">
        <v>506</v>
      </c>
      <c r="B393" s="50" t="s">
        <v>508</v>
      </c>
      <c r="C393" s="50" t="s">
        <v>256</v>
      </c>
      <c r="D393" s="50">
        <v>1000</v>
      </c>
      <c r="E393" s="50" t="s">
        <v>482</v>
      </c>
      <c r="F393" s="50" t="s">
        <v>492</v>
      </c>
      <c r="G393" s="50" t="s">
        <v>256</v>
      </c>
      <c r="H393" s="50">
        <v>1</v>
      </c>
      <c r="M393" t="str">
        <f>IF(COUNTIF($A:$A,E393)=0,"Not Exists","Exists")</f>
        <v>Exists</v>
      </c>
      <c r="N393" t="str">
        <f t="shared" si="20"/>
        <v>Exists</v>
      </c>
      <c r="O393" t="str">
        <f t="shared" si="21"/>
        <v>Exists</v>
      </c>
      <c r="P393" t="str">
        <f t="shared" si="22"/>
        <v>Exists</v>
      </c>
    </row>
    <row r="394" spans="1:16">
      <c r="A394" s="50" t="s">
        <v>506</v>
      </c>
      <c r="B394" s="50" t="s">
        <v>509</v>
      </c>
      <c r="C394" s="50" t="s">
        <v>256</v>
      </c>
      <c r="D394" s="50">
        <v>4000</v>
      </c>
      <c r="E394" s="50" t="s">
        <v>482</v>
      </c>
      <c r="F394" s="50" t="s">
        <v>493</v>
      </c>
      <c r="G394" s="50" t="s">
        <v>256</v>
      </c>
      <c r="H394" s="50">
        <v>4000</v>
      </c>
      <c r="M394" t="str">
        <f>IF(COUNTIF($A:$A,E394)=0,"Not Exists","Exists")</f>
        <v>Exists</v>
      </c>
      <c r="N394" t="str">
        <f t="shared" si="20"/>
        <v>Exists</v>
      </c>
      <c r="O394" t="str">
        <f t="shared" si="21"/>
        <v>Exists</v>
      </c>
      <c r="P394" t="str">
        <f t="shared" si="22"/>
        <v>Exists</v>
      </c>
    </row>
    <row r="395" spans="1:16">
      <c r="A395" s="50" t="s">
        <v>506</v>
      </c>
      <c r="B395" s="50" t="s">
        <v>318</v>
      </c>
      <c r="C395" s="50" t="s">
        <v>256</v>
      </c>
      <c r="D395" s="50">
        <v>50</v>
      </c>
      <c r="E395" s="50" t="s">
        <v>482</v>
      </c>
      <c r="F395" s="50" t="s">
        <v>494</v>
      </c>
      <c r="G395" s="50" t="s">
        <v>256</v>
      </c>
      <c r="H395" s="50">
        <v>2</v>
      </c>
      <c r="M395" t="str">
        <f>IF(COUNTIF($A:$A,E395)=0,"Not Exists","Exists")</f>
        <v>Exists</v>
      </c>
      <c r="N395" t="str">
        <f t="shared" si="20"/>
        <v>Exists</v>
      </c>
      <c r="O395" t="str">
        <f t="shared" si="21"/>
        <v>Exists</v>
      </c>
      <c r="P395" t="str">
        <f t="shared" si="22"/>
        <v>Exists</v>
      </c>
    </row>
    <row r="396" spans="1:16">
      <c r="A396" s="50" t="s">
        <v>506</v>
      </c>
      <c r="B396" s="50" t="s">
        <v>317</v>
      </c>
      <c r="C396" s="50" t="s">
        <v>251</v>
      </c>
      <c r="D396" s="50">
        <v>17</v>
      </c>
      <c r="E396" s="50" t="s">
        <v>482</v>
      </c>
      <c r="F396" s="50" t="s">
        <v>495</v>
      </c>
      <c r="G396" s="50" t="s">
        <v>256</v>
      </c>
      <c r="H396" s="50">
        <v>1000</v>
      </c>
      <c r="M396" t="str">
        <f>IF(COUNTIF($A:$A,E396)=0,"Not Exists","Exists")</f>
        <v>Exists</v>
      </c>
      <c r="N396" t="str">
        <f t="shared" si="20"/>
        <v>Exists</v>
      </c>
      <c r="O396" t="str">
        <f t="shared" si="21"/>
        <v>Exists</v>
      </c>
      <c r="P396" t="str">
        <f t="shared" si="22"/>
        <v>Exists</v>
      </c>
    </row>
    <row r="397" spans="1:16">
      <c r="A397" s="50" t="s">
        <v>506</v>
      </c>
      <c r="B397" s="50" t="s">
        <v>316</v>
      </c>
      <c r="C397" s="50" t="s">
        <v>256</v>
      </c>
      <c r="D397" s="50">
        <v>50</v>
      </c>
      <c r="E397" s="50" t="s">
        <v>482</v>
      </c>
      <c r="F397" s="50" t="s">
        <v>510</v>
      </c>
      <c r="G397" s="50" t="s">
        <v>256</v>
      </c>
      <c r="H397" s="50">
        <v>1</v>
      </c>
      <c r="M397" t="str">
        <f>IF(COUNTIF($A:$A,E397)=0,"Not Exists","Exists")</f>
        <v>Exists</v>
      </c>
      <c r="N397" t="str">
        <f t="shared" si="20"/>
        <v>Not Exists</v>
      </c>
      <c r="O397" t="str">
        <f t="shared" si="21"/>
        <v>Exists</v>
      </c>
      <c r="P397" t="str">
        <f t="shared" si="22"/>
        <v>Exists</v>
      </c>
    </row>
    <row r="398" spans="1:16">
      <c r="A398" s="50" t="s">
        <v>506</v>
      </c>
      <c r="B398" s="50" t="s">
        <v>315</v>
      </c>
      <c r="C398" s="50" t="s">
        <v>251</v>
      </c>
      <c r="D398" s="50">
        <v>17</v>
      </c>
      <c r="E398" s="50" t="s">
        <v>482</v>
      </c>
      <c r="F398" s="50" t="s">
        <v>315</v>
      </c>
      <c r="G398" s="50" t="s">
        <v>251</v>
      </c>
      <c r="H398" s="50">
        <v>17</v>
      </c>
      <c r="M398" t="str">
        <f>IF(COUNTIF($A:$A,E398)=0,"Not Exists","Exists")</f>
        <v>Exists</v>
      </c>
      <c r="N398" t="str">
        <f t="shared" si="20"/>
        <v>Exists</v>
      </c>
      <c r="O398" t="str">
        <f t="shared" si="21"/>
        <v>Exists</v>
      </c>
      <c r="P398" t="str">
        <f t="shared" si="22"/>
        <v>Exists</v>
      </c>
    </row>
    <row r="399" spans="1:16">
      <c r="A399" s="50" t="s">
        <v>506</v>
      </c>
      <c r="B399" s="50" t="s">
        <v>436</v>
      </c>
      <c r="C399" s="50" t="s">
        <v>256</v>
      </c>
      <c r="D399" s="50">
        <v>50</v>
      </c>
      <c r="E399" s="50" t="s">
        <v>482</v>
      </c>
      <c r="F399" s="50" t="s">
        <v>316</v>
      </c>
      <c r="G399" s="50" t="s">
        <v>256</v>
      </c>
      <c r="H399" s="50">
        <v>50</v>
      </c>
      <c r="M399" t="str">
        <f>IF(COUNTIF($A:$A,E399)=0,"Not Exists","Exists")</f>
        <v>Exists</v>
      </c>
      <c r="N399" t="str">
        <f t="shared" si="20"/>
        <v>Exists</v>
      </c>
      <c r="O399" t="str">
        <f t="shared" si="21"/>
        <v>Exists</v>
      </c>
      <c r="P399" t="str">
        <f t="shared" si="22"/>
        <v>Not Exists</v>
      </c>
    </row>
    <row r="400" spans="1:16">
      <c r="A400" s="50" t="s">
        <v>511</v>
      </c>
      <c r="B400" s="50" t="s">
        <v>447</v>
      </c>
      <c r="C400" s="50" t="s">
        <v>256</v>
      </c>
      <c r="D400" s="50">
        <v>50</v>
      </c>
      <c r="E400" s="50" t="s">
        <v>482</v>
      </c>
      <c r="F400" s="50" t="s">
        <v>317</v>
      </c>
      <c r="G400" s="50" t="s">
        <v>251</v>
      </c>
      <c r="H400" s="50">
        <v>17</v>
      </c>
      <c r="M400" t="str">
        <f>IF(COUNTIF($A:$A,E400)=0,"Not Exists","Exists")</f>
        <v>Exists</v>
      </c>
      <c r="N400" t="str">
        <f t="shared" si="20"/>
        <v>Exists</v>
      </c>
      <c r="O400" t="str">
        <f t="shared" si="21"/>
        <v>Exists</v>
      </c>
      <c r="P400" t="str">
        <f t="shared" si="22"/>
        <v>Exists</v>
      </c>
    </row>
    <row r="401" spans="1:16">
      <c r="A401" s="50" t="s">
        <v>511</v>
      </c>
      <c r="B401" s="50" t="s">
        <v>457</v>
      </c>
      <c r="C401" s="50" t="s">
        <v>254</v>
      </c>
      <c r="D401" s="50">
        <v>22</v>
      </c>
      <c r="E401" s="50" t="s">
        <v>482</v>
      </c>
      <c r="F401" s="50" t="s">
        <v>318</v>
      </c>
      <c r="G401" s="50" t="s">
        <v>256</v>
      </c>
      <c r="H401" s="50">
        <v>50</v>
      </c>
      <c r="M401" t="str">
        <f>IF(COUNTIF($A:$A,E401)=0,"Not Exists","Exists")</f>
        <v>Exists</v>
      </c>
      <c r="N401" t="str">
        <f t="shared" si="20"/>
        <v>Exists</v>
      </c>
      <c r="O401" t="str">
        <f t="shared" si="21"/>
        <v>Exists</v>
      </c>
      <c r="P401" t="str">
        <f t="shared" si="22"/>
        <v>Exists</v>
      </c>
    </row>
    <row r="402" spans="1:16">
      <c r="A402" s="50" t="s">
        <v>511</v>
      </c>
      <c r="B402" s="50" t="s">
        <v>485</v>
      </c>
      <c r="C402" s="50" t="s">
        <v>256</v>
      </c>
      <c r="D402" s="50">
        <v>50</v>
      </c>
      <c r="E402" s="50" t="s">
        <v>506</v>
      </c>
      <c r="F402" s="50" t="s">
        <v>434</v>
      </c>
      <c r="G402" s="50" t="s">
        <v>254</v>
      </c>
      <c r="H402" s="50">
        <v>22</v>
      </c>
      <c r="M402" t="str">
        <f>IF(COUNTIF($A:$A,E402)=0,"Not Exists","Exists")</f>
        <v>Exists</v>
      </c>
      <c r="N402" t="str">
        <f t="shared" si="20"/>
        <v>Exists</v>
      </c>
      <c r="O402" t="str">
        <f t="shared" si="21"/>
        <v>Exists</v>
      </c>
      <c r="P402" t="str">
        <f t="shared" si="22"/>
        <v>Exists</v>
      </c>
    </row>
    <row r="403" spans="1:16">
      <c r="A403" s="50" t="s">
        <v>511</v>
      </c>
      <c r="B403" s="50" t="s">
        <v>512</v>
      </c>
      <c r="C403" s="50" t="s">
        <v>254</v>
      </c>
      <c r="D403" s="50">
        <v>22</v>
      </c>
      <c r="E403" s="50" t="s">
        <v>506</v>
      </c>
      <c r="F403" s="50" t="s">
        <v>447</v>
      </c>
      <c r="G403" s="50" t="s">
        <v>256</v>
      </c>
      <c r="H403" s="50">
        <v>50</v>
      </c>
      <c r="M403" t="str">
        <f>IF(COUNTIF($A:$A,E403)=0,"Not Exists","Exists")</f>
        <v>Exists</v>
      </c>
      <c r="N403" t="str">
        <f t="shared" si="20"/>
        <v>Exists</v>
      </c>
      <c r="O403" t="str">
        <f t="shared" si="21"/>
        <v>Exists</v>
      </c>
      <c r="P403" t="str">
        <f t="shared" si="22"/>
        <v>Exists</v>
      </c>
    </row>
    <row r="404" spans="1:16">
      <c r="A404" s="50" t="s">
        <v>511</v>
      </c>
      <c r="B404" s="50" t="s">
        <v>462</v>
      </c>
      <c r="C404" s="50" t="s">
        <v>256</v>
      </c>
      <c r="D404" s="50">
        <v>8</v>
      </c>
      <c r="E404" s="50" t="s">
        <v>506</v>
      </c>
      <c r="F404" s="50" t="s">
        <v>318</v>
      </c>
      <c r="G404" s="50" t="s">
        <v>256</v>
      </c>
      <c r="H404" s="50">
        <v>50</v>
      </c>
      <c r="M404" t="str">
        <f>IF(COUNTIF($A:$A,E404)=0,"Not Exists","Exists")</f>
        <v>Exists</v>
      </c>
      <c r="N404" t="str">
        <f t="shared" si="20"/>
        <v>Exists</v>
      </c>
      <c r="O404" t="str">
        <f t="shared" si="21"/>
        <v>Exists</v>
      </c>
      <c r="P404" t="str">
        <f t="shared" si="22"/>
        <v>Exists</v>
      </c>
    </row>
    <row r="405" spans="1:16">
      <c r="A405" s="50" t="s">
        <v>511</v>
      </c>
      <c r="B405" s="50" t="s">
        <v>456</v>
      </c>
      <c r="C405" s="50" t="s">
        <v>254</v>
      </c>
      <c r="D405" s="50">
        <v>22</v>
      </c>
      <c r="E405" s="50" t="s">
        <v>506</v>
      </c>
      <c r="F405" s="50" t="s">
        <v>317</v>
      </c>
      <c r="G405" s="50" t="s">
        <v>251</v>
      </c>
      <c r="H405" s="50">
        <v>17</v>
      </c>
      <c r="M405" t="str">
        <f>IF(COUNTIF($A:$A,E405)=0,"Not Exists","Exists")</f>
        <v>Exists</v>
      </c>
      <c r="N405" t="str">
        <f t="shared" si="20"/>
        <v>Exists</v>
      </c>
      <c r="O405" t="str">
        <f t="shared" si="21"/>
        <v>Exists</v>
      </c>
      <c r="P405" t="str">
        <f t="shared" si="22"/>
        <v>Exists</v>
      </c>
    </row>
    <row r="406" spans="1:16">
      <c r="A406" s="50" t="s">
        <v>511</v>
      </c>
      <c r="B406" s="50" t="s">
        <v>481</v>
      </c>
      <c r="C406" s="50" t="s">
        <v>254</v>
      </c>
      <c r="D406" s="50">
        <v>22</v>
      </c>
      <c r="E406" s="50" t="s">
        <v>506</v>
      </c>
      <c r="F406" s="50" t="s">
        <v>316</v>
      </c>
      <c r="G406" s="50" t="s">
        <v>256</v>
      </c>
      <c r="H406" s="50">
        <v>50</v>
      </c>
      <c r="M406" t="str">
        <f>IF(COUNTIF($A:$A,E406)=0,"Not Exists","Exists")</f>
        <v>Exists</v>
      </c>
      <c r="N406" t="str">
        <f t="shared" si="20"/>
        <v>Exists</v>
      </c>
      <c r="O406" t="str">
        <f t="shared" si="21"/>
        <v>Exists</v>
      </c>
      <c r="P406" t="str">
        <f t="shared" si="22"/>
        <v>Exists</v>
      </c>
    </row>
    <row r="407" spans="1:16">
      <c r="A407" s="50" t="s">
        <v>511</v>
      </c>
      <c r="B407" s="50" t="s">
        <v>318</v>
      </c>
      <c r="C407" s="50" t="s">
        <v>256</v>
      </c>
      <c r="D407" s="50">
        <v>50</v>
      </c>
      <c r="E407" s="50" t="s">
        <v>506</v>
      </c>
      <c r="F407" s="50" t="s">
        <v>315</v>
      </c>
      <c r="G407" s="50" t="s">
        <v>251</v>
      </c>
      <c r="H407" s="50">
        <v>17</v>
      </c>
      <c r="M407" t="str">
        <f>IF(COUNTIF($A:$A,E407)=0,"Not Exists","Exists")</f>
        <v>Exists</v>
      </c>
      <c r="N407" t="str">
        <f t="shared" si="20"/>
        <v>Exists</v>
      </c>
      <c r="O407" t="str">
        <f t="shared" si="21"/>
        <v>Exists</v>
      </c>
      <c r="P407" t="str">
        <f t="shared" si="22"/>
        <v>Exists</v>
      </c>
    </row>
    <row r="408" spans="1:16">
      <c r="A408" s="50" t="s">
        <v>511</v>
      </c>
      <c r="B408" s="50" t="s">
        <v>317</v>
      </c>
      <c r="C408" s="50" t="s">
        <v>251</v>
      </c>
      <c r="D408" s="50">
        <v>17</v>
      </c>
      <c r="E408" s="50" t="s">
        <v>506</v>
      </c>
      <c r="F408" s="50" t="s">
        <v>462</v>
      </c>
      <c r="G408" s="50" t="s">
        <v>256</v>
      </c>
      <c r="H408" s="50">
        <v>8</v>
      </c>
      <c r="M408" t="str">
        <f>IF(COUNTIF($A:$A,E408)=0,"Not Exists","Exists")</f>
        <v>Exists</v>
      </c>
      <c r="N408" t="str">
        <f t="shared" si="20"/>
        <v>Exists</v>
      </c>
      <c r="O408" t="str">
        <f t="shared" si="21"/>
        <v>Exists</v>
      </c>
      <c r="P408" t="str">
        <f t="shared" si="22"/>
        <v>Exists</v>
      </c>
    </row>
    <row r="409" spans="1:16">
      <c r="A409" s="50" t="s">
        <v>511</v>
      </c>
      <c r="B409" s="50" t="s">
        <v>316</v>
      </c>
      <c r="C409" s="50" t="s">
        <v>256</v>
      </c>
      <c r="D409" s="50">
        <v>50</v>
      </c>
      <c r="E409" s="50" t="s">
        <v>506</v>
      </c>
      <c r="F409" s="50" t="s">
        <v>457</v>
      </c>
      <c r="G409" s="50" t="s">
        <v>254</v>
      </c>
      <c r="H409" s="50">
        <v>22</v>
      </c>
      <c r="M409" t="str">
        <f>IF(COUNTIF($A:$A,E409)=0,"Not Exists","Exists")</f>
        <v>Exists</v>
      </c>
      <c r="N409" t="str">
        <f t="shared" si="20"/>
        <v>Exists</v>
      </c>
      <c r="O409" t="str">
        <f t="shared" si="21"/>
        <v>Exists</v>
      </c>
      <c r="P409" t="str">
        <f t="shared" si="22"/>
        <v>Exists</v>
      </c>
    </row>
    <row r="410" spans="1:16">
      <c r="A410" s="50" t="s">
        <v>511</v>
      </c>
      <c r="B410" s="50" t="s">
        <v>315</v>
      </c>
      <c r="C410" s="50" t="s">
        <v>251</v>
      </c>
      <c r="D410" s="50">
        <v>17</v>
      </c>
      <c r="E410" s="50" t="s">
        <v>506</v>
      </c>
      <c r="F410" s="50" t="s">
        <v>507</v>
      </c>
      <c r="G410" s="50" t="s">
        <v>256</v>
      </c>
      <c r="H410" s="50">
        <v>20</v>
      </c>
      <c r="M410" t="str">
        <f>IF(COUNTIF($A:$A,E410)=0,"Not Exists","Exists")</f>
        <v>Exists</v>
      </c>
      <c r="N410" t="str">
        <f t="shared" si="20"/>
        <v>Exists</v>
      </c>
      <c r="O410" t="str">
        <f t="shared" si="21"/>
        <v>Exists</v>
      </c>
      <c r="P410" t="str">
        <f t="shared" si="22"/>
        <v>Exists</v>
      </c>
    </row>
    <row r="411" spans="1:16">
      <c r="A411" s="50" t="s">
        <v>511</v>
      </c>
      <c r="B411" s="50" t="s">
        <v>436</v>
      </c>
      <c r="C411" s="50" t="s">
        <v>256</v>
      </c>
      <c r="D411" s="50">
        <v>50</v>
      </c>
      <c r="E411" s="50" t="s">
        <v>506</v>
      </c>
      <c r="F411" s="50" t="s">
        <v>508</v>
      </c>
      <c r="G411" s="50" t="s">
        <v>256</v>
      </c>
      <c r="H411" s="50">
        <v>1000</v>
      </c>
      <c r="M411" t="str">
        <f>IF(COUNTIF($A:$A,E411)=0,"Not Exists","Exists")</f>
        <v>Exists</v>
      </c>
      <c r="N411" t="str">
        <f t="shared" si="20"/>
        <v>Exists</v>
      </c>
      <c r="O411" t="str">
        <f t="shared" si="21"/>
        <v>Exists</v>
      </c>
      <c r="P411" t="str">
        <f t="shared" si="22"/>
        <v>Not Exists</v>
      </c>
    </row>
    <row r="412" spans="1:16">
      <c r="A412" s="50" t="s">
        <v>513</v>
      </c>
      <c r="B412" s="50" t="s">
        <v>447</v>
      </c>
      <c r="C412" s="50" t="s">
        <v>256</v>
      </c>
      <c r="D412" s="50">
        <v>50</v>
      </c>
      <c r="E412" s="50" t="s">
        <v>506</v>
      </c>
      <c r="F412" s="50" t="s">
        <v>509</v>
      </c>
      <c r="G412" s="50" t="s">
        <v>256</v>
      </c>
      <c r="H412" s="50">
        <v>4000</v>
      </c>
      <c r="M412" t="str">
        <f>IF(COUNTIF($A:$A,E412)=0,"Not Exists","Exists")</f>
        <v>Exists</v>
      </c>
      <c r="N412" t="str">
        <f t="shared" si="20"/>
        <v>Exists</v>
      </c>
      <c r="O412" t="str">
        <f t="shared" si="21"/>
        <v>Exists</v>
      </c>
      <c r="P412" t="str">
        <f t="shared" si="22"/>
        <v>Exists</v>
      </c>
    </row>
    <row r="413" spans="1:16">
      <c r="A413" s="50" t="s">
        <v>513</v>
      </c>
      <c r="B413" s="50" t="s">
        <v>457</v>
      </c>
      <c r="C413" s="50" t="s">
        <v>254</v>
      </c>
      <c r="D413" s="50">
        <v>22</v>
      </c>
      <c r="E413" s="50" t="s">
        <v>514</v>
      </c>
      <c r="F413" s="50" t="s">
        <v>447</v>
      </c>
      <c r="G413" s="50" t="s">
        <v>256</v>
      </c>
      <c r="H413" s="50">
        <v>50</v>
      </c>
      <c r="M413" t="str">
        <f>IF(COUNTIF($A:$A,E413)=0,"Not Exists","Exists")</f>
        <v>Not Exists</v>
      </c>
      <c r="N413" t="str">
        <f t="shared" ref="N413:N476" si="23">IF(COUNTIF($A:$B,F413)=0,"Not Exists","Exists")</f>
        <v>Exists</v>
      </c>
      <c r="O413" t="str">
        <f t="shared" si="21"/>
        <v>Exists</v>
      </c>
      <c r="P413" t="str">
        <f t="shared" si="22"/>
        <v>Exists</v>
      </c>
    </row>
    <row r="414" spans="1:16">
      <c r="A414" s="50" t="s">
        <v>513</v>
      </c>
      <c r="B414" s="50" t="s">
        <v>485</v>
      </c>
      <c r="C414" s="50" t="s">
        <v>256</v>
      </c>
      <c r="D414" s="50">
        <v>50</v>
      </c>
      <c r="E414" s="50" t="s">
        <v>514</v>
      </c>
      <c r="F414" s="50" t="s">
        <v>462</v>
      </c>
      <c r="G414" s="50" t="s">
        <v>256</v>
      </c>
      <c r="H414" s="50">
        <v>8</v>
      </c>
      <c r="M414" t="str">
        <f>IF(COUNTIF($A:$A,E414)=0,"Not Exists","Exists")</f>
        <v>Not Exists</v>
      </c>
      <c r="N414" t="str">
        <f t="shared" si="23"/>
        <v>Exists</v>
      </c>
      <c r="O414" t="str">
        <f t="shared" si="21"/>
        <v>Exists</v>
      </c>
      <c r="P414" t="str">
        <f t="shared" si="22"/>
        <v>Exists</v>
      </c>
    </row>
    <row r="415" spans="1:16">
      <c r="A415" s="50" t="s">
        <v>513</v>
      </c>
      <c r="B415" s="50" t="s">
        <v>515</v>
      </c>
      <c r="C415" s="50" t="s">
        <v>256</v>
      </c>
      <c r="D415" s="50">
        <v>1000</v>
      </c>
      <c r="E415" s="50" t="s">
        <v>514</v>
      </c>
      <c r="F415" s="50" t="s">
        <v>457</v>
      </c>
      <c r="G415" s="50" t="s">
        <v>254</v>
      </c>
      <c r="H415" s="50">
        <v>22</v>
      </c>
      <c r="M415" t="str">
        <f>IF(COUNTIF($A:$A,E415)=0,"Not Exists","Exists")</f>
        <v>Not Exists</v>
      </c>
      <c r="N415" t="str">
        <f t="shared" si="23"/>
        <v>Exists</v>
      </c>
      <c r="O415" t="str">
        <f t="shared" si="21"/>
        <v>Exists</v>
      </c>
      <c r="P415" t="str">
        <f t="shared" si="22"/>
        <v>Exists</v>
      </c>
    </row>
    <row r="416" spans="1:16">
      <c r="A416" s="50" t="s">
        <v>513</v>
      </c>
      <c r="B416" s="50" t="s">
        <v>460</v>
      </c>
      <c r="C416" s="50" t="s">
        <v>461</v>
      </c>
      <c r="D416" s="50">
        <v>11</v>
      </c>
      <c r="E416" s="50" t="s">
        <v>514</v>
      </c>
      <c r="F416" s="50" t="s">
        <v>485</v>
      </c>
      <c r="G416" s="50" t="s">
        <v>256</v>
      </c>
      <c r="H416" s="50">
        <v>50</v>
      </c>
      <c r="M416" t="str">
        <f>IF(COUNTIF($A:$A,E416)=0,"Not Exists","Exists")</f>
        <v>Not Exists</v>
      </c>
      <c r="N416" t="str">
        <f t="shared" si="23"/>
        <v>Exists</v>
      </c>
      <c r="O416" t="str">
        <f t="shared" si="21"/>
        <v>Exists</v>
      </c>
      <c r="P416" t="str">
        <f t="shared" si="22"/>
        <v>Exists</v>
      </c>
    </row>
    <row r="417" spans="1:16">
      <c r="A417" s="50" t="s">
        <v>513</v>
      </c>
      <c r="B417" s="50" t="s">
        <v>480</v>
      </c>
      <c r="C417" s="50" t="s">
        <v>461</v>
      </c>
      <c r="D417" s="50">
        <v>11</v>
      </c>
      <c r="E417" s="50" t="s">
        <v>514</v>
      </c>
      <c r="F417" s="50" t="s">
        <v>516</v>
      </c>
      <c r="G417" s="50" t="s">
        <v>254</v>
      </c>
      <c r="H417" s="50">
        <v>22</v>
      </c>
      <c r="M417" t="str">
        <f>IF(COUNTIF($A:$A,E417)=0,"Not Exists","Exists")</f>
        <v>Not Exists</v>
      </c>
      <c r="N417" t="str">
        <f t="shared" si="23"/>
        <v>Not Exists</v>
      </c>
      <c r="O417" t="str">
        <f t="shared" si="21"/>
        <v>Exists</v>
      </c>
      <c r="P417" t="str">
        <f t="shared" si="22"/>
        <v>Exists</v>
      </c>
    </row>
    <row r="418" spans="1:16">
      <c r="A418" s="50" t="s">
        <v>513</v>
      </c>
      <c r="B418" s="50" t="s">
        <v>512</v>
      </c>
      <c r="C418" s="50" t="s">
        <v>254</v>
      </c>
      <c r="D418" s="50">
        <v>22</v>
      </c>
      <c r="E418" s="50" t="s">
        <v>514</v>
      </c>
      <c r="F418" s="50" t="s">
        <v>315</v>
      </c>
      <c r="G418" s="50" t="s">
        <v>256</v>
      </c>
      <c r="H418" s="50">
        <v>17</v>
      </c>
      <c r="M418" t="str">
        <f>IF(COUNTIF($A:$A,E418)=0,"Not Exists","Exists")</f>
        <v>Not Exists</v>
      </c>
      <c r="N418" t="str">
        <f t="shared" si="23"/>
        <v>Exists</v>
      </c>
      <c r="O418" t="str">
        <f t="shared" si="21"/>
        <v>Exists</v>
      </c>
      <c r="P418" t="str">
        <f t="shared" si="22"/>
        <v>Exists</v>
      </c>
    </row>
    <row r="419" spans="1:16">
      <c r="A419" s="50" t="s">
        <v>513</v>
      </c>
      <c r="B419" s="50" t="s">
        <v>462</v>
      </c>
      <c r="C419" s="50" t="s">
        <v>256</v>
      </c>
      <c r="D419" s="50">
        <v>8</v>
      </c>
      <c r="E419" s="50" t="s">
        <v>514</v>
      </c>
      <c r="F419" s="50" t="s">
        <v>316</v>
      </c>
      <c r="G419" s="50" t="s">
        <v>256</v>
      </c>
      <c r="H419" s="50">
        <v>50</v>
      </c>
      <c r="M419" t="str">
        <f>IF(COUNTIF($A:$A,E419)=0,"Not Exists","Exists")</f>
        <v>Not Exists</v>
      </c>
      <c r="N419" t="str">
        <f t="shared" si="23"/>
        <v>Exists</v>
      </c>
      <c r="O419" t="str">
        <f t="shared" si="21"/>
        <v>Exists</v>
      </c>
      <c r="P419" t="str">
        <f t="shared" si="22"/>
        <v>Exists</v>
      </c>
    </row>
    <row r="420" spans="1:16">
      <c r="A420" s="50" t="s">
        <v>513</v>
      </c>
      <c r="B420" s="50" t="s">
        <v>456</v>
      </c>
      <c r="C420" s="50" t="s">
        <v>254</v>
      </c>
      <c r="D420" s="50">
        <v>22</v>
      </c>
      <c r="E420" s="50" t="s">
        <v>514</v>
      </c>
      <c r="F420" s="50" t="s">
        <v>317</v>
      </c>
      <c r="G420" s="50" t="s">
        <v>256</v>
      </c>
      <c r="H420" s="50">
        <v>17</v>
      </c>
      <c r="M420" t="str">
        <f>IF(COUNTIF($A:$A,E420)=0,"Not Exists","Exists")</f>
        <v>Not Exists</v>
      </c>
      <c r="N420" t="str">
        <f t="shared" si="23"/>
        <v>Exists</v>
      </c>
      <c r="O420" t="str">
        <f t="shared" si="21"/>
        <v>Exists</v>
      </c>
      <c r="P420" t="str">
        <f t="shared" si="22"/>
        <v>Exists</v>
      </c>
    </row>
    <row r="421" spans="1:16">
      <c r="A421" s="50" t="s">
        <v>513</v>
      </c>
      <c r="B421" s="50" t="s">
        <v>481</v>
      </c>
      <c r="C421" s="50" t="s">
        <v>254</v>
      </c>
      <c r="D421" s="50">
        <v>22</v>
      </c>
      <c r="E421" s="50" t="s">
        <v>514</v>
      </c>
      <c r="F421" s="50" t="s">
        <v>318</v>
      </c>
      <c r="G421" s="50" t="s">
        <v>256</v>
      </c>
      <c r="H421" s="50">
        <v>50</v>
      </c>
      <c r="M421" t="str">
        <f>IF(COUNTIF($A:$A,E421)=0,"Not Exists","Exists")</f>
        <v>Not Exists</v>
      </c>
      <c r="N421" t="str">
        <f t="shared" si="23"/>
        <v>Exists</v>
      </c>
      <c r="O421" t="str">
        <f t="shared" si="21"/>
        <v>Exists</v>
      </c>
      <c r="P421" t="str">
        <f t="shared" si="22"/>
        <v>Exists</v>
      </c>
    </row>
    <row r="422" spans="1:16">
      <c r="A422" s="50" t="s">
        <v>513</v>
      </c>
      <c r="B422" s="50" t="s">
        <v>517</v>
      </c>
      <c r="C422" s="50" t="s">
        <v>256</v>
      </c>
      <c r="D422" s="50">
        <v>5</v>
      </c>
      <c r="E422" s="50" t="s">
        <v>511</v>
      </c>
      <c r="F422" s="50" t="s">
        <v>447</v>
      </c>
      <c r="G422" s="50" t="s">
        <v>256</v>
      </c>
      <c r="H422" s="50">
        <v>50</v>
      </c>
      <c r="M422" t="str">
        <f>IF(COUNTIF($A:$A,E422)=0,"Not Exists","Exists")</f>
        <v>Exists</v>
      </c>
      <c r="N422" t="str">
        <f t="shared" si="23"/>
        <v>Exists</v>
      </c>
      <c r="O422" t="str">
        <f t="shared" si="21"/>
        <v>Exists</v>
      </c>
      <c r="P422" t="str">
        <f t="shared" si="22"/>
        <v>Exists</v>
      </c>
    </row>
    <row r="423" spans="1:16">
      <c r="A423" s="50" t="s">
        <v>513</v>
      </c>
      <c r="B423" s="50" t="s">
        <v>518</v>
      </c>
      <c r="C423" s="50" t="s">
        <v>256</v>
      </c>
      <c r="D423" s="50">
        <v>50</v>
      </c>
      <c r="E423" s="50" t="s">
        <v>511</v>
      </c>
      <c r="F423" s="50" t="s">
        <v>457</v>
      </c>
      <c r="G423" s="50" t="s">
        <v>254</v>
      </c>
      <c r="H423" s="50">
        <v>22</v>
      </c>
      <c r="M423" t="str">
        <f>IF(COUNTIF($A:$A,E423)=0,"Not Exists","Exists")</f>
        <v>Exists</v>
      </c>
      <c r="N423" t="str">
        <f t="shared" si="23"/>
        <v>Exists</v>
      </c>
      <c r="O423" t="str">
        <f t="shared" si="21"/>
        <v>Exists</v>
      </c>
      <c r="P423" t="str">
        <f t="shared" si="22"/>
        <v>Exists</v>
      </c>
    </row>
    <row r="424" spans="1:16">
      <c r="A424" s="50" t="s">
        <v>513</v>
      </c>
      <c r="B424" s="50" t="s">
        <v>519</v>
      </c>
      <c r="C424" s="50" t="s">
        <v>256</v>
      </c>
      <c r="D424" s="50">
        <v>1</v>
      </c>
      <c r="E424" s="50" t="s">
        <v>511</v>
      </c>
      <c r="F424" s="50" t="s">
        <v>485</v>
      </c>
      <c r="G424" s="50" t="s">
        <v>256</v>
      </c>
      <c r="H424" s="50">
        <v>50</v>
      </c>
      <c r="M424" t="str">
        <f>IF(COUNTIF($A:$A,E424)=0,"Not Exists","Exists")</f>
        <v>Exists</v>
      </c>
      <c r="N424" t="str">
        <f t="shared" si="23"/>
        <v>Exists</v>
      </c>
      <c r="O424" t="str">
        <f t="shared" si="21"/>
        <v>Exists</v>
      </c>
      <c r="P424" t="str">
        <f t="shared" si="22"/>
        <v>Exists</v>
      </c>
    </row>
    <row r="425" spans="1:16">
      <c r="A425" s="50" t="s">
        <v>513</v>
      </c>
      <c r="B425" s="50" t="s">
        <v>520</v>
      </c>
      <c r="C425" s="50" t="s">
        <v>256</v>
      </c>
      <c r="D425" s="50">
        <v>5</v>
      </c>
      <c r="E425" s="50" t="s">
        <v>511</v>
      </c>
      <c r="F425" s="50" t="s">
        <v>512</v>
      </c>
      <c r="G425" s="50" t="s">
        <v>254</v>
      </c>
      <c r="H425" s="50">
        <v>22</v>
      </c>
      <c r="M425" t="str">
        <f>IF(COUNTIF($A:$A,E425)=0,"Not Exists","Exists")</f>
        <v>Exists</v>
      </c>
      <c r="N425" t="str">
        <f t="shared" si="23"/>
        <v>Exists</v>
      </c>
      <c r="O425" t="str">
        <f t="shared" si="21"/>
        <v>Exists</v>
      </c>
      <c r="P425" t="str">
        <f t="shared" si="22"/>
        <v>Exists</v>
      </c>
    </row>
    <row r="426" spans="1:16">
      <c r="A426" s="50" t="s">
        <v>513</v>
      </c>
      <c r="B426" s="50" t="s">
        <v>521</v>
      </c>
      <c r="C426" s="50" t="s">
        <v>256</v>
      </c>
      <c r="D426" s="50">
        <v>20</v>
      </c>
      <c r="E426" s="50" t="s">
        <v>511</v>
      </c>
      <c r="F426" s="50" t="s">
        <v>462</v>
      </c>
      <c r="G426" s="50" t="s">
        <v>256</v>
      </c>
      <c r="H426" s="50">
        <v>8</v>
      </c>
      <c r="M426" t="str">
        <f>IF(COUNTIF($A:$A,E426)=0,"Not Exists","Exists")</f>
        <v>Exists</v>
      </c>
      <c r="N426" t="str">
        <f t="shared" si="23"/>
        <v>Exists</v>
      </c>
      <c r="O426" t="str">
        <f t="shared" si="21"/>
        <v>Exists</v>
      </c>
      <c r="P426" t="str">
        <f t="shared" si="22"/>
        <v>Exists</v>
      </c>
    </row>
    <row r="427" spans="1:16">
      <c r="A427" s="50" t="s">
        <v>513</v>
      </c>
      <c r="B427" s="50" t="s">
        <v>318</v>
      </c>
      <c r="C427" s="50" t="s">
        <v>256</v>
      </c>
      <c r="D427" s="50">
        <v>50</v>
      </c>
      <c r="E427" s="50" t="s">
        <v>511</v>
      </c>
      <c r="F427" s="50" t="s">
        <v>456</v>
      </c>
      <c r="G427" s="50" t="s">
        <v>254</v>
      </c>
      <c r="H427" s="50">
        <v>22</v>
      </c>
      <c r="M427" t="str">
        <f>IF(COUNTIF($A:$A,E427)=0,"Not Exists","Exists")</f>
        <v>Exists</v>
      </c>
      <c r="N427" t="str">
        <f t="shared" si="23"/>
        <v>Exists</v>
      </c>
      <c r="O427" t="str">
        <f t="shared" si="21"/>
        <v>Exists</v>
      </c>
      <c r="P427" t="str">
        <f t="shared" si="22"/>
        <v>Exists</v>
      </c>
    </row>
    <row r="428" spans="1:16">
      <c r="A428" s="50" t="s">
        <v>513</v>
      </c>
      <c r="B428" s="50" t="s">
        <v>317</v>
      </c>
      <c r="C428" s="50" t="s">
        <v>251</v>
      </c>
      <c r="D428" s="50">
        <v>17</v>
      </c>
      <c r="E428" s="50" t="s">
        <v>511</v>
      </c>
      <c r="F428" s="50" t="s">
        <v>481</v>
      </c>
      <c r="G428" s="50" t="s">
        <v>254</v>
      </c>
      <c r="H428" s="50">
        <v>22</v>
      </c>
      <c r="M428" t="str">
        <f>IF(COUNTIF($A:$A,E428)=0,"Not Exists","Exists")</f>
        <v>Exists</v>
      </c>
      <c r="N428" t="str">
        <f t="shared" si="23"/>
        <v>Exists</v>
      </c>
      <c r="O428" t="str">
        <f t="shared" si="21"/>
        <v>Exists</v>
      </c>
      <c r="P428" t="str">
        <f t="shared" si="22"/>
        <v>Exists</v>
      </c>
    </row>
    <row r="429" spans="1:16">
      <c r="A429" s="50" t="s">
        <v>513</v>
      </c>
      <c r="B429" s="50" t="s">
        <v>316</v>
      </c>
      <c r="C429" s="50" t="s">
        <v>256</v>
      </c>
      <c r="D429" s="50">
        <v>50</v>
      </c>
      <c r="E429" s="50" t="s">
        <v>511</v>
      </c>
      <c r="F429" s="50" t="s">
        <v>318</v>
      </c>
      <c r="G429" s="50" t="s">
        <v>256</v>
      </c>
      <c r="H429" s="50">
        <v>50</v>
      </c>
      <c r="M429" t="str">
        <f>IF(COUNTIF($A:$A,E429)=0,"Not Exists","Exists")</f>
        <v>Exists</v>
      </c>
      <c r="N429" t="str">
        <f t="shared" si="23"/>
        <v>Exists</v>
      </c>
      <c r="O429" t="str">
        <f t="shared" si="21"/>
        <v>Exists</v>
      </c>
      <c r="P429" t="str">
        <f t="shared" si="22"/>
        <v>Exists</v>
      </c>
    </row>
    <row r="430" spans="1:16">
      <c r="A430" s="50" t="s">
        <v>513</v>
      </c>
      <c r="B430" s="50" t="s">
        <v>315</v>
      </c>
      <c r="C430" s="50" t="s">
        <v>251</v>
      </c>
      <c r="D430" s="50">
        <v>17</v>
      </c>
      <c r="E430" s="50" t="s">
        <v>511</v>
      </c>
      <c r="F430" s="50" t="s">
        <v>317</v>
      </c>
      <c r="G430" s="50" t="s">
        <v>251</v>
      </c>
      <c r="H430" s="50">
        <v>17</v>
      </c>
      <c r="M430" t="str">
        <f>IF(COUNTIF($A:$A,E430)=0,"Not Exists","Exists")</f>
        <v>Exists</v>
      </c>
      <c r="N430" t="str">
        <f t="shared" si="23"/>
        <v>Exists</v>
      </c>
      <c r="O430" t="str">
        <f t="shared" si="21"/>
        <v>Exists</v>
      </c>
      <c r="P430" t="str">
        <f t="shared" si="22"/>
        <v>Exists</v>
      </c>
    </row>
    <row r="431" spans="1:16">
      <c r="A431" s="50" t="s">
        <v>513</v>
      </c>
      <c r="B431" s="50" t="s">
        <v>436</v>
      </c>
      <c r="C431" s="50" t="s">
        <v>256</v>
      </c>
      <c r="D431" s="50">
        <v>50</v>
      </c>
      <c r="E431" s="50" t="s">
        <v>511</v>
      </c>
      <c r="F431" s="50" t="s">
        <v>316</v>
      </c>
      <c r="G431" s="50" t="s">
        <v>256</v>
      </c>
      <c r="H431" s="50">
        <v>50</v>
      </c>
      <c r="M431" t="str">
        <f>IF(COUNTIF($A:$A,E431)=0,"Not Exists","Exists")</f>
        <v>Exists</v>
      </c>
      <c r="N431" t="str">
        <f t="shared" si="23"/>
        <v>Exists</v>
      </c>
      <c r="O431" t="str">
        <f t="shared" si="21"/>
        <v>Exists</v>
      </c>
      <c r="P431" t="str">
        <f t="shared" si="22"/>
        <v>Not Exists</v>
      </c>
    </row>
    <row r="432" spans="1:16">
      <c r="A432" s="50" t="s">
        <v>513</v>
      </c>
      <c r="B432" s="50" t="s">
        <v>522</v>
      </c>
      <c r="C432" s="50" t="s">
        <v>254</v>
      </c>
      <c r="D432" s="50">
        <v>22</v>
      </c>
      <c r="E432" s="50" t="s">
        <v>511</v>
      </c>
      <c r="F432" s="50" t="s">
        <v>315</v>
      </c>
      <c r="G432" s="50" t="s">
        <v>251</v>
      </c>
      <c r="H432" s="50">
        <v>17</v>
      </c>
      <c r="M432" t="str">
        <f>IF(COUNTIF($A:$A,E432)=0,"Not Exists","Exists")</f>
        <v>Exists</v>
      </c>
      <c r="N432" t="str">
        <f t="shared" si="23"/>
        <v>Exists</v>
      </c>
      <c r="O432" t="str">
        <f t="shared" si="21"/>
        <v>Exists</v>
      </c>
      <c r="P432" t="str">
        <f t="shared" si="22"/>
        <v>Exists</v>
      </c>
    </row>
    <row r="433" spans="1:16">
      <c r="A433" s="50" t="s">
        <v>523</v>
      </c>
      <c r="B433" s="50" t="s">
        <v>447</v>
      </c>
      <c r="C433" s="50" t="s">
        <v>256</v>
      </c>
      <c r="D433" s="50">
        <v>50</v>
      </c>
      <c r="E433" s="50" t="s">
        <v>513</v>
      </c>
      <c r="F433" s="50" t="s">
        <v>447</v>
      </c>
      <c r="G433" s="50" t="s">
        <v>256</v>
      </c>
      <c r="H433" s="50">
        <v>50</v>
      </c>
      <c r="M433" t="str">
        <f>IF(COUNTIF($A:$A,E433)=0,"Not Exists","Exists")</f>
        <v>Exists</v>
      </c>
      <c r="N433" t="str">
        <f t="shared" si="23"/>
        <v>Exists</v>
      </c>
      <c r="O433" t="str">
        <f t="shared" si="21"/>
        <v>Exists</v>
      </c>
      <c r="P433" t="str">
        <f t="shared" si="22"/>
        <v>Exists</v>
      </c>
    </row>
    <row r="434" spans="1:16">
      <c r="A434" s="50" t="s">
        <v>523</v>
      </c>
      <c r="B434" s="50" t="s">
        <v>524</v>
      </c>
      <c r="C434" s="50" t="s">
        <v>256</v>
      </c>
      <c r="D434" s="50">
        <v>500</v>
      </c>
      <c r="E434" s="50" t="s">
        <v>513</v>
      </c>
      <c r="F434" s="50" t="s">
        <v>457</v>
      </c>
      <c r="G434" s="50" t="s">
        <v>254</v>
      </c>
      <c r="H434" s="50">
        <v>22</v>
      </c>
      <c r="M434" t="str">
        <f>IF(COUNTIF($A:$A,E434)=0,"Not Exists","Exists")</f>
        <v>Exists</v>
      </c>
      <c r="N434" t="str">
        <f t="shared" si="23"/>
        <v>Exists</v>
      </c>
      <c r="O434" t="str">
        <f t="shared" si="21"/>
        <v>Exists</v>
      </c>
      <c r="P434" t="str">
        <f t="shared" si="22"/>
        <v>Exists</v>
      </c>
    </row>
    <row r="435" spans="1:16">
      <c r="A435" s="50" t="s">
        <v>523</v>
      </c>
      <c r="B435" s="50" t="s">
        <v>485</v>
      </c>
      <c r="C435" s="50" t="s">
        <v>256</v>
      </c>
      <c r="D435" s="50">
        <v>50</v>
      </c>
      <c r="E435" s="50" t="s">
        <v>513</v>
      </c>
      <c r="F435" s="50" t="s">
        <v>485</v>
      </c>
      <c r="G435" s="50" t="s">
        <v>256</v>
      </c>
      <c r="H435" s="50">
        <v>50</v>
      </c>
      <c r="M435" t="str">
        <f>IF(COUNTIF($A:$A,E435)=0,"Not Exists","Exists")</f>
        <v>Exists</v>
      </c>
      <c r="N435" t="str">
        <f t="shared" si="23"/>
        <v>Exists</v>
      </c>
      <c r="O435" t="str">
        <f t="shared" si="21"/>
        <v>Exists</v>
      </c>
      <c r="P435" t="str">
        <f t="shared" si="22"/>
        <v>Exists</v>
      </c>
    </row>
    <row r="436" spans="1:16">
      <c r="A436" s="50" t="s">
        <v>523</v>
      </c>
      <c r="B436" s="50" t="s">
        <v>525</v>
      </c>
      <c r="C436" s="50" t="s">
        <v>251</v>
      </c>
      <c r="D436" s="50">
        <v>1</v>
      </c>
      <c r="E436" s="50" t="s">
        <v>513</v>
      </c>
      <c r="F436" s="50" t="s">
        <v>515</v>
      </c>
      <c r="G436" s="50" t="s">
        <v>256</v>
      </c>
      <c r="H436" s="50">
        <v>1000</v>
      </c>
      <c r="M436" t="str">
        <f>IF(COUNTIF($A:$A,E436)=0,"Not Exists","Exists")</f>
        <v>Exists</v>
      </c>
      <c r="N436" t="str">
        <f t="shared" si="23"/>
        <v>Exists</v>
      </c>
      <c r="O436" t="str">
        <f t="shared" si="21"/>
        <v>Exists</v>
      </c>
      <c r="P436" t="str">
        <f t="shared" si="22"/>
        <v>Exists</v>
      </c>
    </row>
    <row r="437" spans="1:16">
      <c r="A437" s="50" t="s">
        <v>523</v>
      </c>
      <c r="B437" s="50" t="s">
        <v>517</v>
      </c>
      <c r="C437" s="50" t="s">
        <v>256</v>
      </c>
      <c r="D437" s="50">
        <v>5</v>
      </c>
      <c r="E437" s="50" t="s">
        <v>513</v>
      </c>
      <c r="F437" s="50" t="s">
        <v>460</v>
      </c>
      <c r="G437" s="50" t="s">
        <v>461</v>
      </c>
      <c r="H437" s="50">
        <v>11</v>
      </c>
      <c r="M437" t="str">
        <f>IF(COUNTIF($A:$A,E437)=0,"Not Exists","Exists")</f>
        <v>Exists</v>
      </c>
      <c r="N437" t="str">
        <f t="shared" si="23"/>
        <v>Exists</v>
      </c>
      <c r="O437" t="str">
        <f t="shared" si="21"/>
        <v>Exists</v>
      </c>
      <c r="P437" t="str">
        <f t="shared" si="22"/>
        <v>Exists</v>
      </c>
    </row>
    <row r="438" spans="1:16">
      <c r="A438" s="50" t="s">
        <v>523</v>
      </c>
      <c r="B438" s="50" t="s">
        <v>518</v>
      </c>
      <c r="C438" s="50" t="s">
        <v>256</v>
      </c>
      <c r="D438" s="50">
        <v>50</v>
      </c>
      <c r="E438" s="50" t="s">
        <v>513</v>
      </c>
      <c r="F438" s="50" t="s">
        <v>480</v>
      </c>
      <c r="G438" s="50" t="s">
        <v>461</v>
      </c>
      <c r="H438" s="50">
        <v>11</v>
      </c>
      <c r="M438" t="str">
        <f>IF(COUNTIF($A:$A,E438)=0,"Not Exists","Exists")</f>
        <v>Exists</v>
      </c>
      <c r="N438" t="str">
        <f t="shared" si="23"/>
        <v>Exists</v>
      </c>
      <c r="O438" t="str">
        <f t="shared" si="21"/>
        <v>Exists</v>
      </c>
      <c r="P438" t="str">
        <f t="shared" si="22"/>
        <v>Exists</v>
      </c>
    </row>
    <row r="439" spans="1:16">
      <c r="A439" s="50" t="s">
        <v>523</v>
      </c>
      <c r="B439" s="50" t="s">
        <v>519</v>
      </c>
      <c r="C439" s="50" t="s">
        <v>256</v>
      </c>
      <c r="D439" s="50">
        <v>1</v>
      </c>
      <c r="E439" s="50" t="s">
        <v>513</v>
      </c>
      <c r="F439" s="50" t="s">
        <v>512</v>
      </c>
      <c r="G439" s="50" t="s">
        <v>254</v>
      </c>
      <c r="H439" s="50">
        <v>22</v>
      </c>
      <c r="M439" t="str">
        <f>IF(COUNTIF($A:$A,E439)=0,"Not Exists","Exists")</f>
        <v>Exists</v>
      </c>
      <c r="N439" t="str">
        <f t="shared" si="23"/>
        <v>Exists</v>
      </c>
      <c r="O439" t="str">
        <f t="shared" si="21"/>
        <v>Exists</v>
      </c>
      <c r="P439" t="str">
        <f t="shared" si="22"/>
        <v>Exists</v>
      </c>
    </row>
    <row r="440" spans="1:16">
      <c r="A440" s="50" t="s">
        <v>523</v>
      </c>
      <c r="B440" s="50" t="s">
        <v>520</v>
      </c>
      <c r="C440" s="50" t="s">
        <v>256</v>
      </c>
      <c r="D440" s="50">
        <v>5</v>
      </c>
      <c r="E440" s="50" t="s">
        <v>513</v>
      </c>
      <c r="F440" s="50" t="s">
        <v>462</v>
      </c>
      <c r="G440" s="50" t="s">
        <v>256</v>
      </c>
      <c r="H440" s="50">
        <v>8</v>
      </c>
      <c r="M440" t="str">
        <f>IF(COUNTIF($A:$A,E440)=0,"Not Exists","Exists")</f>
        <v>Exists</v>
      </c>
      <c r="N440" t="str">
        <f t="shared" si="23"/>
        <v>Exists</v>
      </c>
      <c r="O440" t="str">
        <f t="shared" si="21"/>
        <v>Exists</v>
      </c>
      <c r="P440" t="str">
        <f t="shared" si="22"/>
        <v>Exists</v>
      </c>
    </row>
    <row r="441" spans="1:16">
      <c r="A441" s="50" t="s">
        <v>523</v>
      </c>
      <c r="B441" s="50" t="s">
        <v>521</v>
      </c>
      <c r="C441" s="50" t="s">
        <v>256</v>
      </c>
      <c r="D441" s="50">
        <v>20</v>
      </c>
      <c r="E441" s="50" t="s">
        <v>513</v>
      </c>
      <c r="F441" s="50" t="s">
        <v>456</v>
      </c>
      <c r="G441" s="50" t="s">
        <v>254</v>
      </c>
      <c r="H441" s="50">
        <v>22</v>
      </c>
      <c r="M441" t="str">
        <f>IF(COUNTIF($A:$A,E441)=0,"Not Exists","Exists")</f>
        <v>Exists</v>
      </c>
      <c r="N441" t="str">
        <f t="shared" si="23"/>
        <v>Exists</v>
      </c>
      <c r="O441" t="str">
        <f t="shared" si="21"/>
        <v>Exists</v>
      </c>
      <c r="P441" t="str">
        <f t="shared" si="22"/>
        <v>Exists</v>
      </c>
    </row>
    <row r="442" spans="1:16">
      <c r="A442" s="50" t="s">
        <v>523</v>
      </c>
      <c r="B442" s="50" t="s">
        <v>315</v>
      </c>
      <c r="C442" s="50" t="s">
        <v>251</v>
      </c>
      <c r="D442" s="50">
        <v>17</v>
      </c>
      <c r="E442" s="50" t="s">
        <v>513</v>
      </c>
      <c r="F442" s="50" t="s">
        <v>481</v>
      </c>
      <c r="G442" s="50" t="s">
        <v>254</v>
      </c>
      <c r="H442" s="50">
        <v>22</v>
      </c>
      <c r="M442" t="str">
        <f>IF(COUNTIF($A:$A,E442)=0,"Not Exists","Exists")</f>
        <v>Exists</v>
      </c>
      <c r="N442" t="str">
        <f t="shared" si="23"/>
        <v>Exists</v>
      </c>
      <c r="O442" t="str">
        <f t="shared" si="21"/>
        <v>Exists</v>
      </c>
      <c r="P442" t="str">
        <f t="shared" si="22"/>
        <v>Exists</v>
      </c>
    </row>
    <row r="443" spans="1:16">
      <c r="A443" s="50" t="s">
        <v>523</v>
      </c>
      <c r="B443" s="50" t="s">
        <v>316</v>
      </c>
      <c r="C443" s="50" t="s">
        <v>256</v>
      </c>
      <c r="D443" s="50">
        <v>50</v>
      </c>
      <c r="E443" s="50" t="s">
        <v>513</v>
      </c>
      <c r="F443" s="50" t="s">
        <v>517</v>
      </c>
      <c r="G443" s="50" t="s">
        <v>256</v>
      </c>
      <c r="H443" s="50">
        <v>5</v>
      </c>
      <c r="M443" t="str">
        <f>IF(COUNTIF($A:$A,E443)=0,"Not Exists","Exists")</f>
        <v>Exists</v>
      </c>
      <c r="N443" t="str">
        <f t="shared" si="23"/>
        <v>Exists</v>
      </c>
      <c r="O443" t="str">
        <f t="shared" si="21"/>
        <v>Exists</v>
      </c>
      <c r="P443" t="str">
        <f t="shared" si="22"/>
        <v>Exists</v>
      </c>
    </row>
    <row r="444" spans="1:16">
      <c r="A444" s="50" t="s">
        <v>523</v>
      </c>
      <c r="B444" s="50" t="s">
        <v>317</v>
      </c>
      <c r="C444" s="50" t="s">
        <v>251</v>
      </c>
      <c r="D444" s="50">
        <v>17</v>
      </c>
      <c r="E444" s="50" t="s">
        <v>513</v>
      </c>
      <c r="F444" s="50" t="s">
        <v>518</v>
      </c>
      <c r="G444" s="50" t="s">
        <v>256</v>
      </c>
      <c r="H444" s="50">
        <v>50</v>
      </c>
      <c r="M444" t="str">
        <f>IF(COUNTIF($A:$A,E444)=0,"Not Exists","Exists")</f>
        <v>Exists</v>
      </c>
      <c r="N444" t="str">
        <f t="shared" si="23"/>
        <v>Exists</v>
      </c>
      <c r="O444" t="str">
        <f t="shared" si="21"/>
        <v>Exists</v>
      </c>
      <c r="P444" t="str">
        <f t="shared" si="22"/>
        <v>Exists</v>
      </c>
    </row>
    <row r="445" spans="1:16">
      <c r="A445" s="50" t="s">
        <v>523</v>
      </c>
      <c r="B445" s="50" t="s">
        <v>318</v>
      </c>
      <c r="C445" s="50" t="s">
        <v>256</v>
      </c>
      <c r="D445" s="50">
        <v>50</v>
      </c>
      <c r="E445" s="50" t="s">
        <v>513</v>
      </c>
      <c r="F445" s="50" t="s">
        <v>519</v>
      </c>
      <c r="G445" s="50" t="s">
        <v>256</v>
      </c>
      <c r="H445" s="50">
        <v>1</v>
      </c>
      <c r="M445" t="str">
        <f>IF(COUNTIF($A:$A,E445)=0,"Not Exists","Exists")</f>
        <v>Exists</v>
      </c>
      <c r="N445" t="str">
        <f t="shared" si="23"/>
        <v>Exists</v>
      </c>
      <c r="O445" t="str">
        <f t="shared" si="21"/>
        <v>Exists</v>
      </c>
      <c r="P445" t="str">
        <f t="shared" si="22"/>
        <v>Exists</v>
      </c>
    </row>
    <row r="446" spans="1:16">
      <c r="A446" s="50" t="s">
        <v>523</v>
      </c>
      <c r="B446" s="50" t="s">
        <v>436</v>
      </c>
      <c r="C446" s="50" t="s">
        <v>256</v>
      </c>
      <c r="D446" s="50">
        <v>50</v>
      </c>
      <c r="E446" s="50" t="s">
        <v>513</v>
      </c>
      <c r="F446" s="50" t="s">
        <v>520</v>
      </c>
      <c r="G446" s="50" t="s">
        <v>256</v>
      </c>
      <c r="H446" s="50">
        <v>5</v>
      </c>
      <c r="M446" t="str">
        <f>IF(COUNTIF($A:$A,E446)=0,"Not Exists","Exists")</f>
        <v>Exists</v>
      </c>
      <c r="N446" t="str">
        <f t="shared" si="23"/>
        <v>Exists</v>
      </c>
      <c r="O446" t="str">
        <f t="shared" si="21"/>
        <v>Exists</v>
      </c>
      <c r="P446" t="str">
        <f t="shared" si="22"/>
        <v>Not Exists</v>
      </c>
    </row>
    <row r="447" spans="1:16">
      <c r="A447" s="50" t="s">
        <v>523</v>
      </c>
      <c r="B447" s="50" t="s">
        <v>526</v>
      </c>
      <c r="C447" s="50" t="s">
        <v>256</v>
      </c>
      <c r="D447" s="50">
        <v>50</v>
      </c>
      <c r="E447" s="50" t="s">
        <v>513</v>
      </c>
      <c r="F447" s="50" t="s">
        <v>521</v>
      </c>
      <c r="G447" s="50" t="s">
        <v>256</v>
      </c>
      <c r="H447" s="50">
        <v>20</v>
      </c>
      <c r="M447" t="str">
        <f>IF(COUNTIF($A:$A,E447)=0,"Not Exists","Exists")</f>
        <v>Exists</v>
      </c>
      <c r="N447" t="str">
        <f t="shared" si="23"/>
        <v>Exists</v>
      </c>
      <c r="O447" t="str">
        <f t="shared" si="21"/>
        <v>Exists</v>
      </c>
      <c r="P447" t="str">
        <f t="shared" si="22"/>
        <v>Exists</v>
      </c>
    </row>
    <row r="448" spans="1:16">
      <c r="A448" s="50" t="s">
        <v>523</v>
      </c>
      <c r="B448" s="50" t="s">
        <v>527</v>
      </c>
      <c r="C448" s="50" t="s">
        <v>256</v>
      </c>
      <c r="D448" s="50">
        <v>50</v>
      </c>
      <c r="E448" s="50" t="s">
        <v>513</v>
      </c>
      <c r="F448" s="50" t="s">
        <v>522</v>
      </c>
      <c r="G448" s="50" t="s">
        <v>254</v>
      </c>
      <c r="H448" s="50">
        <v>22</v>
      </c>
      <c r="M448" t="str">
        <f>IF(COUNTIF($A:$A,E448)=0,"Not Exists","Exists")</f>
        <v>Exists</v>
      </c>
      <c r="N448" t="str">
        <f t="shared" si="23"/>
        <v>Exists</v>
      </c>
      <c r="O448" t="str">
        <f t="shared" si="21"/>
        <v>Exists</v>
      </c>
      <c r="P448" t="str">
        <f t="shared" si="22"/>
        <v>Exists</v>
      </c>
    </row>
    <row r="449" spans="1:16">
      <c r="A449" s="50" t="s">
        <v>523</v>
      </c>
      <c r="B449" s="50" t="s">
        <v>528</v>
      </c>
      <c r="C449" s="50" t="s">
        <v>256</v>
      </c>
      <c r="D449" s="50">
        <v>50</v>
      </c>
      <c r="E449" s="50" t="s">
        <v>513</v>
      </c>
      <c r="F449" s="50" t="s">
        <v>316</v>
      </c>
      <c r="G449" s="50" t="s">
        <v>256</v>
      </c>
      <c r="H449" s="50">
        <v>50</v>
      </c>
      <c r="M449" t="str">
        <f>IF(COUNTIF($A:$A,E449)=0,"Not Exists","Exists")</f>
        <v>Exists</v>
      </c>
      <c r="N449" t="str">
        <f t="shared" si="23"/>
        <v>Exists</v>
      </c>
      <c r="O449" t="str">
        <f t="shared" si="21"/>
        <v>Exists</v>
      </c>
      <c r="P449" t="str">
        <f t="shared" si="22"/>
        <v>Exists</v>
      </c>
    </row>
    <row r="450" spans="1:16">
      <c r="A450" s="50" t="s">
        <v>523</v>
      </c>
      <c r="B450" s="50" t="s">
        <v>529</v>
      </c>
      <c r="C450" s="50" t="s">
        <v>254</v>
      </c>
      <c r="D450" s="50">
        <v>22</v>
      </c>
      <c r="E450" s="50" t="s">
        <v>513</v>
      </c>
      <c r="F450" s="50" t="s">
        <v>315</v>
      </c>
      <c r="G450" s="50" t="s">
        <v>251</v>
      </c>
      <c r="H450" s="50">
        <v>17</v>
      </c>
      <c r="M450" t="str">
        <f>IF(COUNTIF($A:$A,E450)=0,"Not Exists","Exists")</f>
        <v>Exists</v>
      </c>
      <c r="N450" t="str">
        <f t="shared" si="23"/>
        <v>Exists</v>
      </c>
      <c r="O450" t="str">
        <f t="shared" si="21"/>
        <v>Exists</v>
      </c>
      <c r="P450" t="str">
        <f t="shared" si="22"/>
        <v>Exists</v>
      </c>
    </row>
    <row r="451" spans="1:16">
      <c r="A451" s="50" t="s">
        <v>530</v>
      </c>
      <c r="B451" s="50" t="s">
        <v>447</v>
      </c>
      <c r="C451" s="50" t="s">
        <v>256</v>
      </c>
      <c r="D451" s="50">
        <v>50</v>
      </c>
      <c r="E451" s="50" t="s">
        <v>513</v>
      </c>
      <c r="F451" s="50" t="s">
        <v>318</v>
      </c>
      <c r="G451" s="50" t="s">
        <v>256</v>
      </c>
      <c r="H451" s="50">
        <v>50</v>
      </c>
      <c r="M451" t="str">
        <f>IF(COUNTIF($A:$A,E451)=0,"Not Exists","Exists")</f>
        <v>Exists</v>
      </c>
      <c r="N451" t="str">
        <f t="shared" si="23"/>
        <v>Exists</v>
      </c>
      <c r="O451" t="str">
        <f t="shared" si="21"/>
        <v>Exists</v>
      </c>
      <c r="P451" t="str">
        <f t="shared" si="22"/>
        <v>Exists</v>
      </c>
    </row>
    <row r="452" spans="1:16">
      <c r="A452" s="50" t="s">
        <v>530</v>
      </c>
      <c r="B452" s="50" t="s">
        <v>531</v>
      </c>
      <c r="C452" s="50" t="s">
        <v>256</v>
      </c>
      <c r="D452" s="50">
        <v>200</v>
      </c>
      <c r="E452" s="50" t="s">
        <v>513</v>
      </c>
      <c r="F452" s="50" t="s">
        <v>317</v>
      </c>
      <c r="G452" s="50" t="s">
        <v>251</v>
      </c>
      <c r="H452" s="50">
        <v>17</v>
      </c>
      <c r="M452" t="str">
        <f>IF(COUNTIF($A:$A,E452)=0,"Not Exists","Exists")</f>
        <v>Exists</v>
      </c>
      <c r="N452" t="str">
        <f t="shared" si="23"/>
        <v>Exists</v>
      </c>
      <c r="O452" t="str">
        <f t="shared" ref="O452:O515" si="24">IF(COUNTIF($E:$E,A452)=0,"Not Exists","Exists")</f>
        <v>Exists</v>
      </c>
      <c r="P452" t="str">
        <f t="shared" ref="P452:P515" si="25">IF(COUNTIF($F:$F,B452)=0,"Not Exists","Exists")</f>
        <v>Exists</v>
      </c>
    </row>
    <row r="453" spans="1:16">
      <c r="A453" s="50" t="s">
        <v>530</v>
      </c>
      <c r="B453" s="50" t="s">
        <v>532</v>
      </c>
      <c r="C453" s="50" t="s">
        <v>254</v>
      </c>
      <c r="D453" s="50">
        <v>22</v>
      </c>
      <c r="E453" s="50" t="s">
        <v>523</v>
      </c>
      <c r="F453" s="50" t="s">
        <v>447</v>
      </c>
      <c r="G453" s="50" t="s">
        <v>256</v>
      </c>
      <c r="H453" s="50">
        <v>50</v>
      </c>
      <c r="M453" t="str">
        <f>IF(COUNTIF($A:$A,E453)=0,"Not Exists","Exists")</f>
        <v>Exists</v>
      </c>
      <c r="N453" t="str">
        <f t="shared" si="23"/>
        <v>Exists</v>
      </c>
      <c r="O453" t="str">
        <f t="shared" si="24"/>
        <v>Exists</v>
      </c>
      <c r="P453" t="str">
        <f t="shared" si="25"/>
        <v>Exists</v>
      </c>
    </row>
    <row r="454" spans="1:16">
      <c r="A454" s="50" t="s">
        <v>530</v>
      </c>
      <c r="B454" s="50" t="s">
        <v>533</v>
      </c>
      <c r="C454" s="50" t="s">
        <v>256</v>
      </c>
      <c r="D454" s="50">
        <v>200</v>
      </c>
      <c r="E454" s="50" t="s">
        <v>523</v>
      </c>
      <c r="F454" s="50" t="s">
        <v>315</v>
      </c>
      <c r="G454" s="50" t="s">
        <v>251</v>
      </c>
      <c r="H454" s="50">
        <v>17</v>
      </c>
      <c r="M454" t="str">
        <f>IF(COUNTIF($A:$A,E454)=0,"Not Exists","Exists")</f>
        <v>Exists</v>
      </c>
      <c r="N454" t="str">
        <f t="shared" si="23"/>
        <v>Exists</v>
      </c>
      <c r="O454" t="str">
        <f t="shared" si="24"/>
        <v>Exists</v>
      </c>
      <c r="P454" t="str">
        <f t="shared" si="25"/>
        <v>Exists</v>
      </c>
    </row>
    <row r="455" spans="1:16">
      <c r="A455" s="50" t="s">
        <v>530</v>
      </c>
      <c r="B455" s="50" t="s">
        <v>534</v>
      </c>
      <c r="C455" s="50" t="s">
        <v>256</v>
      </c>
      <c r="D455" s="50">
        <v>500</v>
      </c>
      <c r="E455" s="50" t="s">
        <v>523</v>
      </c>
      <c r="F455" s="50" t="s">
        <v>316</v>
      </c>
      <c r="G455" s="50" t="s">
        <v>256</v>
      </c>
      <c r="H455" s="50">
        <v>50</v>
      </c>
      <c r="M455" t="str">
        <f>IF(COUNTIF($A:$A,E455)=0,"Not Exists","Exists")</f>
        <v>Exists</v>
      </c>
      <c r="N455" t="str">
        <f t="shared" si="23"/>
        <v>Exists</v>
      </c>
      <c r="O455" t="str">
        <f t="shared" si="24"/>
        <v>Exists</v>
      </c>
      <c r="P455" t="str">
        <f t="shared" si="25"/>
        <v>Exists</v>
      </c>
    </row>
    <row r="456" spans="1:16">
      <c r="A456" s="50" t="s">
        <v>530</v>
      </c>
      <c r="B456" s="50" t="s">
        <v>315</v>
      </c>
      <c r="C456" s="50" t="s">
        <v>251</v>
      </c>
      <c r="D456" s="50">
        <v>17</v>
      </c>
      <c r="E456" s="50" t="s">
        <v>523</v>
      </c>
      <c r="F456" s="50" t="s">
        <v>317</v>
      </c>
      <c r="G456" s="50" t="s">
        <v>251</v>
      </c>
      <c r="H456" s="50">
        <v>17</v>
      </c>
      <c r="M456" t="str">
        <f>IF(COUNTIF($A:$A,E456)=0,"Not Exists","Exists")</f>
        <v>Exists</v>
      </c>
      <c r="N456" t="str">
        <f t="shared" si="23"/>
        <v>Exists</v>
      </c>
      <c r="O456" t="str">
        <f t="shared" si="24"/>
        <v>Exists</v>
      </c>
      <c r="P456" t="str">
        <f t="shared" si="25"/>
        <v>Exists</v>
      </c>
    </row>
    <row r="457" spans="1:16">
      <c r="A457" s="50" t="s">
        <v>530</v>
      </c>
      <c r="B457" s="50" t="s">
        <v>318</v>
      </c>
      <c r="C457" s="50" t="s">
        <v>256</v>
      </c>
      <c r="D457" s="50">
        <v>50</v>
      </c>
      <c r="E457" s="50" t="s">
        <v>523</v>
      </c>
      <c r="F457" s="50" t="s">
        <v>318</v>
      </c>
      <c r="G457" s="50" t="s">
        <v>256</v>
      </c>
      <c r="H457" s="50">
        <v>50</v>
      </c>
      <c r="M457" t="str">
        <f>IF(COUNTIF($A:$A,E457)=0,"Not Exists","Exists")</f>
        <v>Exists</v>
      </c>
      <c r="N457" t="str">
        <f t="shared" si="23"/>
        <v>Exists</v>
      </c>
      <c r="O457" t="str">
        <f t="shared" si="24"/>
        <v>Exists</v>
      </c>
      <c r="P457" t="str">
        <f t="shared" si="25"/>
        <v>Exists</v>
      </c>
    </row>
    <row r="458" spans="1:16">
      <c r="A458" s="50" t="s">
        <v>530</v>
      </c>
      <c r="B458" s="50" t="s">
        <v>317</v>
      </c>
      <c r="C458" s="50" t="s">
        <v>251</v>
      </c>
      <c r="D458" s="50">
        <v>17</v>
      </c>
      <c r="E458" s="50" t="s">
        <v>523</v>
      </c>
      <c r="F458" s="50" t="s">
        <v>524</v>
      </c>
      <c r="G458" s="50" t="s">
        <v>256</v>
      </c>
      <c r="H458" s="50">
        <v>500</v>
      </c>
      <c r="M458" t="str">
        <f>IF(COUNTIF($A:$A,E458)=0,"Not Exists","Exists")</f>
        <v>Exists</v>
      </c>
      <c r="N458" t="str">
        <f t="shared" si="23"/>
        <v>Exists</v>
      </c>
      <c r="O458" t="str">
        <f t="shared" si="24"/>
        <v>Exists</v>
      </c>
      <c r="P458" t="str">
        <f t="shared" si="25"/>
        <v>Exists</v>
      </c>
    </row>
    <row r="459" spans="1:16">
      <c r="A459" s="50" t="s">
        <v>530</v>
      </c>
      <c r="B459" s="50" t="s">
        <v>316</v>
      </c>
      <c r="C459" s="50" t="s">
        <v>256</v>
      </c>
      <c r="D459" s="50">
        <v>50</v>
      </c>
      <c r="E459" s="50" t="s">
        <v>523</v>
      </c>
      <c r="F459" s="50" t="s">
        <v>535</v>
      </c>
      <c r="G459" s="50" t="s">
        <v>256</v>
      </c>
      <c r="H459" s="50">
        <v>50</v>
      </c>
      <c r="M459" t="str">
        <f>IF(COUNTIF($A:$A,E459)=0,"Not Exists","Exists")</f>
        <v>Exists</v>
      </c>
      <c r="N459" t="str">
        <f t="shared" si="23"/>
        <v>Exists</v>
      </c>
      <c r="O459" t="str">
        <f t="shared" si="24"/>
        <v>Exists</v>
      </c>
      <c r="P459" t="str">
        <f t="shared" si="25"/>
        <v>Exists</v>
      </c>
    </row>
    <row r="460" spans="1:16">
      <c r="A460" s="50" t="s">
        <v>530</v>
      </c>
      <c r="B460" s="50" t="s">
        <v>434</v>
      </c>
      <c r="C460" s="50" t="s">
        <v>254</v>
      </c>
      <c r="D460" s="50">
        <v>22</v>
      </c>
      <c r="E460" s="50" t="s">
        <v>523</v>
      </c>
      <c r="F460" s="50" t="s">
        <v>485</v>
      </c>
      <c r="G460" s="50" t="s">
        <v>256</v>
      </c>
      <c r="H460" s="50">
        <v>50</v>
      </c>
      <c r="M460" t="str">
        <f>IF(COUNTIF($A:$A,E460)=0,"Not Exists","Exists")</f>
        <v>Exists</v>
      </c>
      <c r="N460" t="str">
        <f t="shared" si="23"/>
        <v>Exists</v>
      </c>
      <c r="O460" t="str">
        <f t="shared" si="24"/>
        <v>Exists</v>
      </c>
      <c r="P460" t="str">
        <f t="shared" si="25"/>
        <v>Exists</v>
      </c>
    </row>
    <row r="461" spans="1:16">
      <c r="A461" s="50" t="s">
        <v>530</v>
      </c>
      <c r="B461" s="50" t="s">
        <v>536</v>
      </c>
      <c r="C461" s="50" t="s">
        <v>256</v>
      </c>
      <c r="D461" s="50">
        <v>1</v>
      </c>
      <c r="E461" s="50" t="s">
        <v>523</v>
      </c>
      <c r="F461" s="50" t="s">
        <v>525</v>
      </c>
      <c r="G461" s="50" t="s">
        <v>251</v>
      </c>
      <c r="H461" s="50">
        <v>1</v>
      </c>
      <c r="M461" t="str">
        <f>IF(COUNTIF($A:$A,E461)=0,"Not Exists","Exists")</f>
        <v>Exists</v>
      </c>
      <c r="N461" t="str">
        <f t="shared" si="23"/>
        <v>Exists</v>
      </c>
      <c r="O461" t="str">
        <f t="shared" si="24"/>
        <v>Exists</v>
      </c>
      <c r="P461" t="str">
        <f t="shared" si="25"/>
        <v>Exists</v>
      </c>
    </row>
    <row r="462" spans="1:16">
      <c r="A462" s="50" t="s">
        <v>530</v>
      </c>
      <c r="B462" s="50" t="s">
        <v>436</v>
      </c>
      <c r="C462" s="50" t="s">
        <v>256</v>
      </c>
      <c r="D462" s="50">
        <v>50</v>
      </c>
      <c r="E462" s="50" t="s">
        <v>523</v>
      </c>
      <c r="F462" s="50" t="s">
        <v>517</v>
      </c>
      <c r="G462" s="50" t="s">
        <v>256</v>
      </c>
      <c r="H462" s="50">
        <v>5</v>
      </c>
      <c r="M462" t="str">
        <f>IF(COUNTIF($A:$A,E462)=0,"Not Exists","Exists")</f>
        <v>Exists</v>
      </c>
      <c r="N462" t="str">
        <f t="shared" si="23"/>
        <v>Exists</v>
      </c>
      <c r="O462" t="str">
        <f t="shared" si="24"/>
        <v>Exists</v>
      </c>
      <c r="P462" t="str">
        <f t="shared" si="25"/>
        <v>Not Exists</v>
      </c>
    </row>
    <row r="463" spans="1:16">
      <c r="A463" s="50" t="s">
        <v>530</v>
      </c>
      <c r="B463" s="50" t="s">
        <v>537</v>
      </c>
      <c r="C463" s="50" t="s">
        <v>251</v>
      </c>
      <c r="D463" s="50">
        <v>1</v>
      </c>
      <c r="E463" s="50" t="s">
        <v>523</v>
      </c>
      <c r="F463" s="50" t="s">
        <v>518</v>
      </c>
      <c r="G463" s="50" t="s">
        <v>256</v>
      </c>
      <c r="H463" s="50">
        <v>50</v>
      </c>
      <c r="M463" t="str">
        <f>IF(COUNTIF($A:$A,E463)=0,"Not Exists","Exists")</f>
        <v>Exists</v>
      </c>
      <c r="N463" t="str">
        <f t="shared" si="23"/>
        <v>Exists</v>
      </c>
      <c r="O463" t="str">
        <f t="shared" si="24"/>
        <v>Exists</v>
      </c>
      <c r="P463" t="str">
        <f t="shared" si="25"/>
        <v>Not Exists</v>
      </c>
    </row>
    <row r="464" spans="1:16">
      <c r="A464" s="50" t="s">
        <v>538</v>
      </c>
      <c r="B464" s="50" t="s">
        <v>528</v>
      </c>
      <c r="C464" s="50" t="s">
        <v>256</v>
      </c>
      <c r="D464" s="50">
        <v>50</v>
      </c>
      <c r="E464" s="50" t="s">
        <v>523</v>
      </c>
      <c r="F464" s="50" t="s">
        <v>519</v>
      </c>
      <c r="G464" s="50" t="s">
        <v>256</v>
      </c>
      <c r="H464" s="50">
        <v>1</v>
      </c>
      <c r="M464" t="str">
        <f>IF(COUNTIF($A:$A,E464)=0,"Not Exists","Exists")</f>
        <v>Exists</v>
      </c>
      <c r="N464" t="str">
        <f t="shared" si="23"/>
        <v>Exists</v>
      </c>
      <c r="O464" t="str">
        <f t="shared" si="24"/>
        <v>Exists</v>
      </c>
      <c r="P464" t="str">
        <f t="shared" si="25"/>
        <v>Exists</v>
      </c>
    </row>
    <row r="465" spans="1:16">
      <c r="A465" s="50" t="s">
        <v>538</v>
      </c>
      <c r="B465" s="50" t="s">
        <v>539</v>
      </c>
      <c r="C465" s="50" t="s">
        <v>256</v>
      </c>
      <c r="D465" s="50">
        <v>450</v>
      </c>
      <c r="E465" s="50" t="s">
        <v>523</v>
      </c>
      <c r="F465" s="50" t="s">
        <v>520</v>
      </c>
      <c r="G465" s="50" t="s">
        <v>256</v>
      </c>
      <c r="H465" s="50">
        <v>5</v>
      </c>
      <c r="M465" t="str">
        <f>IF(COUNTIF($A:$A,E465)=0,"Not Exists","Exists")</f>
        <v>Exists</v>
      </c>
      <c r="N465" t="str">
        <f t="shared" si="23"/>
        <v>Exists</v>
      </c>
      <c r="O465" t="str">
        <f t="shared" si="24"/>
        <v>Exists</v>
      </c>
      <c r="P465" t="str">
        <f t="shared" si="25"/>
        <v>Exists</v>
      </c>
    </row>
    <row r="466" spans="1:16">
      <c r="A466" s="50" t="s">
        <v>538</v>
      </c>
      <c r="B466" s="50" t="s">
        <v>540</v>
      </c>
      <c r="C466" s="50" t="s">
        <v>251</v>
      </c>
      <c r="D466" s="50">
        <v>1</v>
      </c>
      <c r="E466" s="50" t="s">
        <v>523</v>
      </c>
      <c r="F466" s="50" t="s">
        <v>521</v>
      </c>
      <c r="G466" s="50" t="s">
        <v>256</v>
      </c>
      <c r="H466" s="50">
        <v>20</v>
      </c>
      <c r="M466" t="str">
        <f>IF(COUNTIF($A:$A,E466)=0,"Not Exists","Exists")</f>
        <v>Exists</v>
      </c>
      <c r="N466" t="str">
        <f t="shared" si="23"/>
        <v>Exists</v>
      </c>
      <c r="O466" t="str">
        <f t="shared" si="24"/>
        <v>Exists</v>
      </c>
      <c r="P466" t="str">
        <f t="shared" si="25"/>
        <v>Exists</v>
      </c>
    </row>
    <row r="467" spans="1:16">
      <c r="A467" s="50" t="s">
        <v>538</v>
      </c>
      <c r="B467" s="50" t="s">
        <v>315</v>
      </c>
      <c r="C467" s="50" t="s">
        <v>251</v>
      </c>
      <c r="D467" s="50">
        <v>17</v>
      </c>
      <c r="E467" s="50" t="s">
        <v>523</v>
      </c>
      <c r="F467" s="50" t="s">
        <v>526</v>
      </c>
      <c r="G467" s="50" t="s">
        <v>256</v>
      </c>
      <c r="H467" s="50">
        <v>50</v>
      </c>
      <c r="M467" t="str">
        <f>IF(COUNTIF($A:$A,E467)=0,"Not Exists","Exists")</f>
        <v>Exists</v>
      </c>
      <c r="N467" t="str">
        <f t="shared" si="23"/>
        <v>Exists</v>
      </c>
      <c r="O467" t="str">
        <f t="shared" si="24"/>
        <v>Exists</v>
      </c>
      <c r="P467" t="str">
        <f t="shared" si="25"/>
        <v>Exists</v>
      </c>
    </row>
    <row r="468" spans="1:16">
      <c r="A468" s="50" t="s">
        <v>538</v>
      </c>
      <c r="B468" s="50" t="s">
        <v>316</v>
      </c>
      <c r="C468" s="50" t="s">
        <v>256</v>
      </c>
      <c r="D468" s="50">
        <v>50</v>
      </c>
      <c r="E468" s="50" t="s">
        <v>523</v>
      </c>
      <c r="F468" s="50" t="s">
        <v>527</v>
      </c>
      <c r="G468" s="50" t="s">
        <v>256</v>
      </c>
      <c r="H468" s="50">
        <v>50</v>
      </c>
      <c r="M468" t="str">
        <f>IF(COUNTIF($A:$A,E468)=0,"Not Exists","Exists")</f>
        <v>Exists</v>
      </c>
      <c r="N468" t="str">
        <f t="shared" si="23"/>
        <v>Exists</v>
      </c>
      <c r="O468" t="str">
        <f t="shared" si="24"/>
        <v>Exists</v>
      </c>
      <c r="P468" t="str">
        <f t="shared" si="25"/>
        <v>Exists</v>
      </c>
    </row>
    <row r="469" spans="1:16">
      <c r="A469" s="50" t="s">
        <v>538</v>
      </c>
      <c r="B469" s="50" t="s">
        <v>317</v>
      </c>
      <c r="C469" s="50" t="s">
        <v>251</v>
      </c>
      <c r="D469" s="50">
        <v>17</v>
      </c>
      <c r="E469" s="50" t="s">
        <v>523</v>
      </c>
      <c r="F469" s="50" t="s">
        <v>528</v>
      </c>
      <c r="G469" s="50" t="s">
        <v>256</v>
      </c>
      <c r="H469" s="50">
        <v>50</v>
      </c>
      <c r="M469" t="str">
        <f>IF(COUNTIF($A:$A,E469)=0,"Not Exists","Exists")</f>
        <v>Exists</v>
      </c>
      <c r="N469" t="str">
        <f t="shared" si="23"/>
        <v>Exists</v>
      </c>
      <c r="O469" t="str">
        <f t="shared" si="24"/>
        <v>Exists</v>
      </c>
      <c r="P469" t="str">
        <f t="shared" si="25"/>
        <v>Exists</v>
      </c>
    </row>
    <row r="470" spans="1:16">
      <c r="A470" s="50" t="s">
        <v>538</v>
      </c>
      <c r="B470" s="50" t="s">
        <v>318</v>
      </c>
      <c r="C470" s="50" t="s">
        <v>256</v>
      </c>
      <c r="D470" s="50">
        <v>50</v>
      </c>
      <c r="E470" s="50" t="s">
        <v>523</v>
      </c>
      <c r="F470" s="50" t="s">
        <v>529</v>
      </c>
      <c r="G470" s="50" t="s">
        <v>256</v>
      </c>
      <c r="H470" s="50">
        <v>2</v>
      </c>
      <c r="M470" t="str">
        <f>IF(COUNTIF($A:$A,E470)=0,"Not Exists","Exists")</f>
        <v>Exists</v>
      </c>
      <c r="N470" t="str">
        <f t="shared" si="23"/>
        <v>Exists</v>
      </c>
      <c r="O470" t="str">
        <f t="shared" si="24"/>
        <v>Exists</v>
      </c>
      <c r="P470" t="str">
        <f t="shared" si="25"/>
        <v>Exists</v>
      </c>
    </row>
    <row r="471" spans="1:16">
      <c r="A471" s="50" t="s">
        <v>538</v>
      </c>
      <c r="B471" s="50" t="s">
        <v>436</v>
      </c>
      <c r="C471" s="50" t="s">
        <v>256</v>
      </c>
      <c r="D471" s="50">
        <v>50</v>
      </c>
      <c r="E471" s="50" t="s">
        <v>530</v>
      </c>
      <c r="F471" s="50" t="s">
        <v>447</v>
      </c>
      <c r="G471" s="50" t="s">
        <v>256</v>
      </c>
      <c r="H471" s="50">
        <v>50</v>
      </c>
      <c r="M471" t="str">
        <f>IF(COUNTIF($A:$A,E471)=0,"Not Exists","Exists")</f>
        <v>Exists</v>
      </c>
      <c r="N471" t="str">
        <f t="shared" si="23"/>
        <v>Exists</v>
      </c>
      <c r="O471" t="str">
        <f t="shared" si="24"/>
        <v>Exists</v>
      </c>
      <c r="P471" t="str">
        <f t="shared" si="25"/>
        <v>Not Exists</v>
      </c>
    </row>
    <row r="472" spans="1:16">
      <c r="A472" s="50" t="s">
        <v>541</v>
      </c>
      <c r="B472" s="50" t="s">
        <v>542</v>
      </c>
      <c r="C472" s="50" t="s">
        <v>256</v>
      </c>
      <c r="D472" s="50">
        <v>50</v>
      </c>
      <c r="E472" s="50" t="s">
        <v>530</v>
      </c>
      <c r="F472" s="50" t="s">
        <v>531</v>
      </c>
      <c r="G472" s="50" t="s">
        <v>256</v>
      </c>
      <c r="H472" s="50">
        <v>200</v>
      </c>
      <c r="M472" t="str">
        <f>IF(COUNTIF($A:$A,E472)=0,"Not Exists","Exists")</f>
        <v>Exists</v>
      </c>
      <c r="N472" t="str">
        <f t="shared" si="23"/>
        <v>Exists</v>
      </c>
      <c r="O472" t="str">
        <f t="shared" si="24"/>
        <v>Exists</v>
      </c>
      <c r="P472" t="str">
        <f t="shared" si="25"/>
        <v>Exists</v>
      </c>
    </row>
    <row r="473" spans="1:16">
      <c r="A473" s="50" t="s">
        <v>541</v>
      </c>
      <c r="B473" s="50" t="s">
        <v>460</v>
      </c>
      <c r="C473" s="50" t="s">
        <v>461</v>
      </c>
      <c r="D473" s="50">
        <v>11</v>
      </c>
      <c r="E473" s="50" t="s">
        <v>530</v>
      </c>
      <c r="F473" s="50" t="s">
        <v>532</v>
      </c>
      <c r="G473" s="50" t="s">
        <v>254</v>
      </c>
      <c r="H473" s="50">
        <v>22</v>
      </c>
      <c r="M473" t="str">
        <f>IF(COUNTIF($A:$A,E473)=0,"Not Exists","Exists")</f>
        <v>Exists</v>
      </c>
      <c r="N473" t="str">
        <f t="shared" si="23"/>
        <v>Exists</v>
      </c>
      <c r="O473" t="str">
        <f t="shared" si="24"/>
        <v>Exists</v>
      </c>
      <c r="P473" t="str">
        <f t="shared" si="25"/>
        <v>Exists</v>
      </c>
    </row>
    <row r="474" spans="1:16">
      <c r="A474" s="50" t="s">
        <v>541</v>
      </c>
      <c r="B474" s="50" t="s">
        <v>480</v>
      </c>
      <c r="C474" s="50" t="s">
        <v>461</v>
      </c>
      <c r="D474" s="50">
        <v>11</v>
      </c>
      <c r="E474" s="50" t="s">
        <v>530</v>
      </c>
      <c r="F474" s="50" t="s">
        <v>533</v>
      </c>
      <c r="G474" s="50" t="s">
        <v>256</v>
      </c>
      <c r="H474" s="50">
        <v>200</v>
      </c>
      <c r="M474" t="str">
        <f>IF(COUNTIF($A:$A,E474)=0,"Not Exists","Exists")</f>
        <v>Exists</v>
      </c>
      <c r="N474" t="str">
        <f t="shared" si="23"/>
        <v>Exists</v>
      </c>
      <c r="O474" t="str">
        <f t="shared" si="24"/>
        <v>Exists</v>
      </c>
      <c r="P474" t="str">
        <f t="shared" si="25"/>
        <v>Exists</v>
      </c>
    </row>
    <row r="475" spans="1:16">
      <c r="A475" s="50" t="s">
        <v>541</v>
      </c>
      <c r="B475" s="50" t="s">
        <v>543</v>
      </c>
      <c r="C475" s="50" t="s">
        <v>461</v>
      </c>
      <c r="D475" s="50">
        <v>11</v>
      </c>
      <c r="E475" s="50" t="s">
        <v>530</v>
      </c>
      <c r="F475" s="50" t="s">
        <v>534</v>
      </c>
      <c r="G475" s="50" t="s">
        <v>256</v>
      </c>
      <c r="H475" s="50">
        <v>500</v>
      </c>
      <c r="M475" t="str">
        <f>IF(COUNTIF($A:$A,E475)=0,"Not Exists","Exists")</f>
        <v>Exists</v>
      </c>
      <c r="N475" t="str">
        <f t="shared" si="23"/>
        <v>Exists</v>
      </c>
      <c r="O475" t="str">
        <f t="shared" si="24"/>
        <v>Exists</v>
      </c>
      <c r="P475" t="str">
        <f t="shared" si="25"/>
        <v>Exists</v>
      </c>
    </row>
    <row r="476" spans="1:16">
      <c r="A476" s="50" t="s">
        <v>541</v>
      </c>
      <c r="B476" s="50" t="s">
        <v>512</v>
      </c>
      <c r="C476" s="50" t="s">
        <v>254</v>
      </c>
      <c r="D476" s="50">
        <v>22</v>
      </c>
      <c r="E476" s="50" t="s">
        <v>530</v>
      </c>
      <c r="F476" s="50" t="s">
        <v>434</v>
      </c>
      <c r="G476" s="50" t="s">
        <v>254</v>
      </c>
      <c r="H476" s="50">
        <v>22</v>
      </c>
      <c r="M476" t="str">
        <f>IF(COUNTIF($A:$A,E476)=0,"Not Exists","Exists")</f>
        <v>Exists</v>
      </c>
      <c r="N476" t="str">
        <f t="shared" si="23"/>
        <v>Exists</v>
      </c>
      <c r="O476" t="str">
        <f t="shared" si="24"/>
        <v>Exists</v>
      </c>
      <c r="P476" t="str">
        <f t="shared" si="25"/>
        <v>Exists</v>
      </c>
    </row>
    <row r="477" spans="1:16">
      <c r="A477" s="50" t="s">
        <v>541</v>
      </c>
      <c r="B477" s="50" t="s">
        <v>462</v>
      </c>
      <c r="C477" s="50" t="s">
        <v>256</v>
      </c>
      <c r="D477" s="50">
        <v>8</v>
      </c>
      <c r="E477" s="50" t="s">
        <v>530</v>
      </c>
      <c r="F477" s="50" t="s">
        <v>536</v>
      </c>
      <c r="G477" s="50" t="s">
        <v>256</v>
      </c>
      <c r="H477" s="50">
        <v>1</v>
      </c>
      <c r="M477" t="str">
        <f>IF(COUNTIF($A:$A,E477)=0,"Not Exists","Exists")</f>
        <v>Exists</v>
      </c>
      <c r="N477" t="str">
        <f t="shared" ref="N477:N540" si="26">IF(COUNTIF($A:$B,F477)=0,"Not Exists","Exists")</f>
        <v>Exists</v>
      </c>
      <c r="O477" t="str">
        <f t="shared" si="24"/>
        <v>Exists</v>
      </c>
      <c r="P477" t="str">
        <f t="shared" si="25"/>
        <v>Exists</v>
      </c>
    </row>
    <row r="478" spans="1:16">
      <c r="A478" s="50" t="s">
        <v>541</v>
      </c>
      <c r="B478" s="50" t="s">
        <v>456</v>
      </c>
      <c r="C478" s="50" t="s">
        <v>254</v>
      </c>
      <c r="D478" s="50">
        <v>22</v>
      </c>
      <c r="E478" s="50" t="s">
        <v>530</v>
      </c>
      <c r="F478" s="50" t="s">
        <v>315</v>
      </c>
      <c r="G478" s="50" t="s">
        <v>251</v>
      </c>
      <c r="H478" s="50">
        <v>17</v>
      </c>
      <c r="M478" t="str">
        <f>IF(COUNTIF($A:$A,E478)=0,"Not Exists","Exists")</f>
        <v>Exists</v>
      </c>
      <c r="N478" t="str">
        <f t="shared" si="26"/>
        <v>Exists</v>
      </c>
      <c r="O478" t="str">
        <f t="shared" si="24"/>
        <v>Exists</v>
      </c>
      <c r="P478" t="str">
        <f t="shared" si="25"/>
        <v>Exists</v>
      </c>
    </row>
    <row r="479" spans="1:16">
      <c r="A479" s="50" t="s">
        <v>541</v>
      </c>
      <c r="B479" s="50" t="s">
        <v>315</v>
      </c>
      <c r="C479" s="50" t="s">
        <v>251</v>
      </c>
      <c r="D479" s="50">
        <v>17</v>
      </c>
      <c r="E479" s="50" t="s">
        <v>530</v>
      </c>
      <c r="F479" s="50" t="s">
        <v>316</v>
      </c>
      <c r="G479" s="50" t="s">
        <v>256</v>
      </c>
      <c r="H479" s="50">
        <v>50</v>
      </c>
      <c r="M479" t="str">
        <f>IF(COUNTIF($A:$A,E479)=0,"Not Exists","Exists")</f>
        <v>Exists</v>
      </c>
      <c r="N479" t="str">
        <f t="shared" si="26"/>
        <v>Exists</v>
      </c>
      <c r="O479" t="str">
        <f t="shared" si="24"/>
        <v>Exists</v>
      </c>
      <c r="P479" t="str">
        <f t="shared" si="25"/>
        <v>Exists</v>
      </c>
    </row>
    <row r="480" spans="1:16">
      <c r="A480" s="50" t="s">
        <v>541</v>
      </c>
      <c r="B480" s="50" t="s">
        <v>317</v>
      </c>
      <c r="C480" s="50" t="s">
        <v>251</v>
      </c>
      <c r="D480" s="50">
        <v>17</v>
      </c>
      <c r="E480" s="50" t="s">
        <v>530</v>
      </c>
      <c r="F480" s="50" t="s">
        <v>318</v>
      </c>
      <c r="G480" s="50" t="s">
        <v>256</v>
      </c>
      <c r="H480" s="50">
        <v>50</v>
      </c>
      <c r="M480" t="str">
        <f>IF(COUNTIF($A:$A,E480)=0,"Not Exists","Exists")</f>
        <v>Exists</v>
      </c>
      <c r="N480" t="str">
        <f t="shared" si="26"/>
        <v>Exists</v>
      </c>
      <c r="O480" t="str">
        <f t="shared" si="24"/>
        <v>Exists</v>
      </c>
      <c r="P480" t="str">
        <f t="shared" si="25"/>
        <v>Exists</v>
      </c>
    </row>
    <row r="481" spans="1:16">
      <c r="A481" s="50" t="s">
        <v>541</v>
      </c>
      <c r="B481" s="50" t="s">
        <v>316</v>
      </c>
      <c r="C481" s="50" t="s">
        <v>256</v>
      </c>
      <c r="D481" s="50">
        <v>50</v>
      </c>
      <c r="E481" s="50" t="s">
        <v>530</v>
      </c>
      <c r="F481" s="50" t="s">
        <v>317</v>
      </c>
      <c r="G481" s="50" t="s">
        <v>251</v>
      </c>
      <c r="H481" s="50">
        <v>17</v>
      </c>
      <c r="M481" t="str">
        <f>IF(COUNTIF($A:$A,E481)=0,"Not Exists","Exists")</f>
        <v>Exists</v>
      </c>
      <c r="N481" t="str">
        <f t="shared" si="26"/>
        <v>Exists</v>
      </c>
      <c r="O481" t="str">
        <f t="shared" si="24"/>
        <v>Exists</v>
      </c>
      <c r="P481" t="str">
        <f t="shared" si="25"/>
        <v>Exists</v>
      </c>
    </row>
    <row r="482" spans="1:16">
      <c r="A482" s="50" t="s">
        <v>541</v>
      </c>
      <c r="B482" s="50" t="s">
        <v>318</v>
      </c>
      <c r="C482" s="50" t="s">
        <v>256</v>
      </c>
      <c r="D482" s="50">
        <v>50</v>
      </c>
      <c r="E482" s="50" t="s">
        <v>538</v>
      </c>
      <c r="F482" s="50" t="s">
        <v>528</v>
      </c>
      <c r="G482" s="50" t="s">
        <v>256</v>
      </c>
      <c r="H482" s="50">
        <v>50</v>
      </c>
      <c r="M482" t="str">
        <f>IF(COUNTIF($A:$A,E482)=0,"Not Exists","Exists")</f>
        <v>Exists</v>
      </c>
      <c r="N482" t="str">
        <f t="shared" si="26"/>
        <v>Exists</v>
      </c>
      <c r="O482" t="str">
        <f t="shared" si="24"/>
        <v>Exists</v>
      </c>
      <c r="P482" t="str">
        <f t="shared" si="25"/>
        <v>Exists</v>
      </c>
    </row>
    <row r="483" spans="1:16">
      <c r="A483" s="50" t="s">
        <v>541</v>
      </c>
      <c r="B483" s="50" t="s">
        <v>436</v>
      </c>
      <c r="C483" s="50" t="s">
        <v>256</v>
      </c>
      <c r="D483" s="50">
        <v>50</v>
      </c>
      <c r="E483" s="50" t="s">
        <v>538</v>
      </c>
      <c r="F483" s="50" t="s">
        <v>539</v>
      </c>
      <c r="G483" s="50" t="s">
        <v>256</v>
      </c>
      <c r="H483" s="50">
        <v>450</v>
      </c>
      <c r="M483" t="str">
        <f>IF(COUNTIF($A:$A,E483)=0,"Not Exists","Exists")</f>
        <v>Exists</v>
      </c>
      <c r="N483" t="str">
        <f t="shared" si="26"/>
        <v>Exists</v>
      </c>
      <c r="O483" t="str">
        <f t="shared" si="24"/>
        <v>Exists</v>
      </c>
      <c r="P483" t="str">
        <f t="shared" si="25"/>
        <v>Not Exists</v>
      </c>
    </row>
    <row r="484" spans="1:16">
      <c r="A484" s="50" t="s">
        <v>544</v>
      </c>
      <c r="B484" s="50" t="s">
        <v>542</v>
      </c>
      <c r="C484" s="50" t="s">
        <v>256</v>
      </c>
      <c r="D484" s="50">
        <v>50</v>
      </c>
      <c r="E484" s="50" t="s">
        <v>538</v>
      </c>
      <c r="F484" s="50" t="s">
        <v>540</v>
      </c>
      <c r="G484" s="50" t="s">
        <v>251</v>
      </c>
      <c r="H484" s="50">
        <v>1</v>
      </c>
      <c r="M484" t="str">
        <f>IF(COUNTIF($A:$A,E484)=0,"Not Exists","Exists")</f>
        <v>Exists</v>
      </c>
      <c r="N484" t="str">
        <f t="shared" si="26"/>
        <v>Exists</v>
      </c>
      <c r="O484" t="str">
        <f t="shared" si="24"/>
        <v>Exists</v>
      </c>
      <c r="P484" t="str">
        <f t="shared" si="25"/>
        <v>Exists</v>
      </c>
    </row>
    <row r="485" spans="1:16">
      <c r="A485" s="50" t="s">
        <v>544</v>
      </c>
      <c r="B485" s="50" t="s">
        <v>545</v>
      </c>
      <c r="C485" s="50" t="s">
        <v>256</v>
      </c>
      <c r="D485" s="50">
        <v>500</v>
      </c>
      <c r="E485" s="50" t="s">
        <v>538</v>
      </c>
      <c r="F485" s="50" t="s">
        <v>315</v>
      </c>
      <c r="G485" s="50" t="s">
        <v>251</v>
      </c>
      <c r="H485" s="50">
        <v>17</v>
      </c>
      <c r="M485" t="str">
        <f>IF(COUNTIF($A:$A,E485)=0,"Not Exists","Exists")</f>
        <v>Exists</v>
      </c>
      <c r="N485" t="str">
        <f t="shared" si="26"/>
        <v>Exists</v>
      </c>
      <c r="O485" t="str">
        <f t="shared" si="24"/>
        <v>Exists</v>
      </c>
      <c r="P485" t="str">
        <f t="shared" si="25"/>
        <v>Exists</v>
      </c>
    </row>
    <row r="486" spans="1:16">
      <c r="A486" s="50" t="s">
        <v>544</v>
      </c>
      <c r="B486" s="50" t="s">
        <v>447</v>
      </c>
      <c r="C486" s="50" t="s">
        <v>256</v>
      </c>
      <c r="D486" s="50">
        <v>50</v>
      </c>
      <c r="E486" s="50" t="s">
        <v>538</v>
      </c>
      <c r="F486" s="50" t="s">
        <v>316</v>
      </c>
      <c r="G486" s="50" t="s">
        <v>256</v>
      </c>
      <c r="H486" s="50">
        <v>50</v>
      </c>
      <c r="M486" t="str">
        <f>IF(COUNTIF($A:$A,E486)=0,"Not Exists","Exists")</f>
        <v>Exists</v>
      </c>
      <c r="N486" t="str">
        <f t="shared" si="26"/>
        <v>Exists</v>
      </c>
      <c r="O486" t="str">
        <f t="shared" si="24"/>
        <v>Exists</v>
      </c>
      <c r="P486" t="str">
        <f t="shared" si="25"/>
        <v>Exists</v>
      </c>
    </row>
    <row r="487" spans="1:16">
      <c r="A487" s="50" t="s">
        <v>544</v>
      </c>
      <c r="B487" s="50" t="s">
        <v>546</v>
      </c>
      <c r="C487" s="50" t="s">
        <v>256</v>
      </c>
      <c r="D487" s="50">
        <v>50</v>
      </c>
      <c r="E487" s="50" t="s">
        <v>538</v>
      </c>
      <c r="F487" s="50" t="s">
        <v>317</v>
      </c>
      <c r="G487" s="50" t="s">
        <v>251</v>
      </c>
      <c r="H487" s="50">
        <v>17</v>
      </c>
      <c r="M487" t="str">
        <f>IF(COUNTIF($A:$A,E487)=0,"Not Exists","Exists")</f>
        <v>Exists</v>
      </c>
      <c r="N487" t="str">
        <f t="shared" si="26"/>
        <v>Exists</v>
      </c>
      <c r="O487" t="str">
        <f t="shared" si="24"/>
        <v>Exists</v>
      </c>
      <c r="P487" t="str">
        <f t="shared" si="25"/>
        <v>Exists</v>
      </c>
    </row>
    <row r="488" spans="1:16">
      <c r="A488" s="50" t="s">
        <v>544</v>
      </c>
      <c r="B488" s="50" t="s">
        <v>547</v>
      </c>
      <c r="C488" s="50" t="s">
        <v>256</v>
      </c>
      <c r="D488" s="50">
        <v>10</v>
      </c>
      <c r="E488" s="50" t="s">
        <v>538</v>
      </c>
      <c r="F488" s="50" t="s">
        <v>318</v>
      </c>
      <c r="G488" s="50" t="s">
        <v>256</v>
      </c>
      <c r="H488" s="50">
        <v>50</v>
      </c>
      <c r="M488" t="str">
        <f>IF(COUNTIF($A:$A,E488)=0,"Not Exists","Exists")</f>
        <v>Exists</v>
      </c>
      <c r="N488" t="str">
        <f t="shared" si="26"/>
        <v>Exists</v>
      </c>
      <c r="O488" t="str">
        <f t="shared" si="24"/>
        <v>Exists</v>
      </c>
      <c r="P488" t="str">
        <f t="shared" si="25"/>
        <v>Exists</v>
      </c>
    </row>
    <row r="489" spans="1:16">
      <c r="A489" s="50" t="s">
        <v>544</v>
      </c>
      <c r="B489" s="50" t="s">
        <v>548</v>
      </c>
      <c r="C489" s="50" t="s">
        <v>251</v>
      </c>
      <c r="D489" s="50">
        <v>1</v>
      </c>
      <c r="E489" s="50" t="s">
        <v>541</v>
      </c>
      <c r="F489" s="50" t="s">
        <v>542</v>
      </c>
      <c r="G489" s="50" t="s">
        <v>256</v>
      </c>
      <c r="H489" s="50">
        <v>50</v>
      </c>
      <c r="M489" t="str">
        <f>IF(COUNTIF($A:$A,E489)=0,"Not Exists","Exists")</f>
        <v>Exists</v>
      </c>
      <c r="N489" t="str">
        <f t="shared" si="26"/>
        <v>Exists</v>
      </c>
      <c r="O489" t="str">
        <f t="shared" si="24"/>
        <v>Exists</v>
      </c>
      <c r="P489" t="str">
        <f t="shared" si="25"/>
        <v>Exists</v>
      </c>
    </row>
    <row r="490" spans="1:16">
      <c r="A490" s="50" t="s">
        <v>544</v>
      </c>
      <c r="B490" s="50" t="s">
        <v>480</v>
      </c>
      <c r="C490" s="50" t="s">
        <v>256</v>
      </c>
      <c r="D490" s="50">
        <v>5</v>
      </c>
      <c r="E490" s="50" t="s">
        <v>541</v>
      </c>
      <c r="F490" s="50" t="s">
        <v>460</v>
      </c>
      <c r="G490" s="50" t="s">
        <v>461</v>
      </c>
      <c r="H490" s="50">
        <v>11</v>
      </c>
      <c r="M490" t="str">
        <f>IF(COUNTIF($A:$A,E490)=0,"Not Exists","Exists")</f>
        <v>Exists</v>
      </c>
      <c r="N490" t="str">
        <f t="shared" si="26"/>
        <v>Exists</v>
      </c>
      <c r="O490" t="str">
        <f t="shared" si="24"/>
        <v>Exists</v>
      </c>
      <c r="P490" t="str">
        <f t="shared" si="25"/>
        <v>Exists</v>
      </c>
    </row>
    <row r="491" spans="1:16">
      <c r="A491" s="50" t="s">
        <v>544</v>
      </c>
      <c r="B491" s="50" t="s">
        <v>549</v>
      </c>
      <c r="C491" s="50" t="s">
        <v>254</v>
      </c>
      <c r="D491" s="50">
        <v>22</v>
      </c>
      <c r="E491" s="50" t="s">
        <v>541</v>
      </c>
      <c r="F491" s="50" t="s">
        <v>480</v>
      </c>
      <c r="G491" s="50" t="s">
        <v>461</v>
      </c>
      <c r="H491" s="50">
        <v>11</v>
      </c>
      <c r="M491" t="str">
        <f>IF(COUNTIF($A:$A,E491)=0,"Not Exists","Exists")</f>
        <v>Exists</v>
      </c>
      <c r="N491" t="str">
        <f t="shared" si="26"/>
        <v>Exists</v>
      </c>
      <c r="O491" t="str">
        <f t="shared" si="24"/>
        <v>Exists</v>
      </c>
      <c r="P491" t="str">
        <f t="shared" si="25"/>
        <v>Exists</v>
      </c>
    </row>
    <row r="492" spans="1:16">
      <c r="A492" s="50" t="s">
        <v>544</v>
      </c>
      <c r="B492" s="50" t="s">
        <v>317</v>
      </c>
      <c r="C492" s="50" t="s">
        <v>251</v>
      </c>
      <c r="D492" s="50">
        <v>17</v>
      </c>
      <c r="E492" s="50" t="s">
        <v>541</v>
      </c>
      <c r="F492" s="50" t="s">
        <v>543</v>
      </c>
      <c r="G492" s="50" t="s">
        <v>461</v>
      </c>
      <c r="H492" s="50">
        <v>11</v>
      </c>
      <c r="M492" t="str">
        <f>IF(COUNTIF($A:$A,E492)=0,"Not Exists","Exists")</f>
        <v>Exists</v>
      </c>
      <c r="N492" t="str">
        <f t="shared" si="26"/>
        <v>Exists</v>
      </c>
      <c r="O492" t="str">
        <f t="shared" si="24"/>
        <v>Exists</v>
      </c>
      <c r="P492" t="str">
        <f t="shared" si="25"/>
        <v>Exists</v>
      </c>
    </row>
    <row r="493" spans="1:16">
      <c r="A493" s="50" t="s">
        <v>544</v>
      </c>
      <c r="B493" s="50" t="s">
        <v>315</v>
      </c>
      <c r="C493" s="50" t="s">
        <v>251</v>
      </c>
      <c r="D493" s="50">
        <v>17</v>
      </c>
      <c r="E493" s="50" t="s">
        <v>541</v>
      </c>
      <c r="F493" s="50" t="s">
        <v>512</v>
      </c>
      <c r="G493" s="50" t="s">
        <v>254</v>
      </c>
      <c r="H493" s="50">
        <v>22</v>
      </c>
      <c r="M493" t="str">
        <f>IF(COUNTIF($A:$A,E493)=0,"Not Exists","Exists")</f>
        <v>Exists</v>
      </c>
      <c r="N493" t="str">
        <f t="shared" si="26"/>
        <v>Exists</v>
      </c>
      <c r="O493" t="str">
        <f t="shared" si="24"/>
        <v>Exists</v>
      </c>
      <c r="P493" t="str">
        <f t="shared" si="25"/>
        <v>Exists</v>
      </c>
    </row>
    <row r="494" spans="1:16">
      <c r="A494" s="50" t="s">
        <v>544</v>
      </c>
      <c r="B494" s="50" t="s">
        <v>316</v>
      </c>
      <c r="C494" s="50" t="s">
        <v>256</v>
      </c>
      <c r="D494" s="50">
        <v>50</v>
      </c>
      <c r="E494" s="50" t="s">
        <v>541</v>
      </c>
      <c r="F494" s="50" t="s">
        <v>462</v>
      </c>
      <c r="G494" s="50" t="s">
        <v>256</v>
      </c>
      <c r="H494" s="50">
        <v>8</v>
      </c>
      <c r="M494" t="str">
        <f>IF(COUNTIF($A:$A,E494)=0,"Not Exists","Exists")</f>
        <v>Exists</v>
      </c>
      <c r="N494" t="str">
        <f t="shared" si="26"/>
        <v>Exists</v>
      </c>
      <c r="O494" t="str">
        <f t="shared" si="24"/>
        <v>Exists</v>
      </c>
      <c r="P494" t="str">
        <f t="shared" si="25"/>
        <v>Exists</v>
      </c>
    </row>
    <row r="495" spans="1:16">
      <c r="A495" s="50" t="s">
        <v>544</v>
      </c>
      <c r="B495" s="50" t="s">
        <v>318</v>
      </c>
      <c r="C495" s="50" t="s">
        <v>256</v>
      </c>
      <c r="D495" s="50">
        <v>50</v>
      </c>
      <c r="E495" s="50" t="s">
        <v>541</v>
      </c>
      <c r="F495" s="50" t="s">
        <v>456</v>
      </c>
      <c r="G495" s="50" t="s">
        <v>254</v>
      </c>
      <c r="H495" s="50">
        <v>22</v>
      </c>
      <c r="M495" t="str">
        <f>IF(COUNTIF($A:$A,E495)=0,"Not Exists","Exists")</f>
        <v>Exists</v>
      </c>
      <c r="N495" t="str">
        <f t="shared" si="26"/>
        <v>Exists</v>
      </c>
      <c r="O495" t="str">
        <f t="shared" si="24"/>
        <v>Exists</v>
      </c>
      <c r="P495" t="str">
        <f t="shared" si="25"/>
        <v>Exists</v>
      </c>
    </row>
    <row r="496" spans="1:16">
      <c r="A496" s="50" t="s">
        <v>544</v>
      </c>
      <c r="B496" s="50" t="s">
        <v>436</v>
      </c>
      <c r="C496" s="50" t="s">
        <v>256</v>
      </c>
      <c r="D496" s="50">
        <v>50</v>
      </c>
      <c r="E496" s="50" t="s">
        <v>541</v>
      </c>
      <c r="F496" s="50" t="s">
        <v>315</v>
      </c>
      <c r="G496" s="50" t="s">
        <v>251</v>
      </c>
      <c r="H496" s="50">
        <v>17</v>
      </c>
      <c r="M496" t="str">
        <f>IF(COUNTIF($A:$A,E496)=0,"Not Exists","Exists")</f>
        <v>Exists</v>
      </c>
      <c r="N496" t="str">
        <f t="shared" si="26"/>
        <v>Exists</v>
      </c>
      <c r="O496" t="str">
        <f t="shared" si="24"/>
        <v>Exists</v>
      </c>
      <c r="P496" t="str">
        <f t="shared" si="25"/>
        <v>Not Exists</v>
      </c>
    </row>
    <row r="497" spans="1:16">
      <c r="A497" s="50" t="s">
        <v>550</v>
      </c>
      <c r="B497" s="50" t="s">
        <v>447</v>
      </c>
      <c r="C497" s="50" t="s">
        <v>256</v>
      </c>
      <c r="D497" s="50">
        <v>50</v>
      </c>
      <c r="E497" s="50" t="s">
        <v>541</v>
      </c>
      <c r="F497" s="50" t="s">
        <v>317</v>
      </c>
      <c r="G497" s="50" t="s">
        <v>251</v>
      </c>
      <c r="H497" s="50">
        <v>17</v>
      </c>
      <c r="M497" t="str">
        <f>IF(COUNTIF($A:$A,E497)=0,"Not Exists","Exists")</f>
        <v>Exists</v>
      </c>
      <c r="N497" t="str">
        <f t="shared" si="26"/>
        <v>Exists</v>
      </c>
      <c r="O497" t="str">
        <f t="shared" si="24"/>
        <v>Exists</v>
      </c>
      <c r="P497" t="str">
        <f t="shared" si="25"/>
        <v>Exists</v>
      </c>
    </row>
    <row r="498" spans="1:16">
      <c r="A498" s="50" t="s">
        <v>550</v>
      </c>
      <c r="B498" s="50" t="s">
        <v>551</v>
      </c>
      <c r="C498" s="50" t="s">
        <v>254</v>
      </c>
      <c r="D498" s="50">
        <v>22</v>
      </c>
      <c r="E498" s="50" t="s">
        <v>541</v>
      </c>
      <c r="F498" s="50" t="s">
        <v>316</v>
      </c>
      <c r="G498" s="50" t="s">
        <v>256</v>
      </c>
      <c r="H498" s="50">
        <v>50</v>
      </c>
      <c r="M498" t="str">
        <f>IF(COUNTIF($A:$A,E498)=0,"Not Exists","Exists")</f>
        <v>Exists</v>
      </c>
      <c r="N498" t="str">
        <f t="shared" si="26"/>
        <v>Exists</v>
      </c>
      <c r="O498" t="str">
        <f t="shared" si="24"/>
        <v>Exists</v>
      </c>
      <c r="P498" t="str">
        <f t="shared" si="25"/>
        <v>Exists</v>
      </c>
    </row>
    <row r="499" spans="1:16">
      <c r="A499" s="50" t="s">
        <v>550</v>
      </c>
      <c r="B499" s="50" t="s">
        <v>552</v>
      </c>
      <c r="C499" s="50" t="s">
        <v>256</v>
      </c>
      <c r="D499" s="50">
        <v>50</v>
      </c>
      <c r="E499" s="50" t="s">
        <v>541</v>
      </c>
      <c r="F499" s="50" t="s">
        <v>318</v>
      </c>
      <c r="G499" s="50" t="s">
        <v>256</v>
      </c>
      <c r="H499" s="50">
        <v>50</v>
      </c>
      <c r="M499" t="str">
        <f>IF(COUNTIF($A:$A,E499)=0,"Not Exists","Exists")</f>
        <v>Exists</v>
      </c>
      <c r="N499" t="str">
        <f t="shared" si="26"/>
        <v>Exists</v>
      </c>
      <c r="O499" t="str">
        <f t="shared" si="24"/>
        <v>Exists</v>
      </c>
      <c r="P499" t="str">
        <f t="shared" si="25"/>
        <v>Exists</v>
      </c>
    </row>
    <row r="500" spans="1:16">
      <c r="A500" s="50" t="s">
        <v>550</v>
      </c>
      <c r="B500" s="50" t="s">
        <v>548</v>
      </c>
      <c r="C500" s="50" t="s">
        <v>251</v>
      </c>
      <c r="D500" s="50">
        <v>1</v>
      </c>
      <c r="E500" s="50" t="s">
        <v>544</v>
      </c>
      <c r="F500" s="50" t="s">
        <v>542</v>
      </c>
      <c r="G500" s="50" t="s">
        <v>256</v>
      </c>
      <c r="H500" s="50">
        <v>50</v>
      </c>
      <c r="M500" t="str">
        <f>IF(COUNTIF($A:$A,E500)=0,"Not Exists","Exists")</f>
        <v>Exists</v>
      </c>
      <c r="N500" t="str">
        <f t="shared" si="26"/>
        <v>Exists</v>
      </c>
      <c r="O500" t="str">
        <f t="shared" si="24"/>
        <v>Exists</v>
      </c>
      <c r="P500" t="str">
        <f t="shared" si="25"/>
        <v>Exists</v>
      </c>
    </row>
    <row r="501" spans="1:16">
      <c r="A501" s="50" t="s">
        <v>550</v>
      </c>
      <c r="B501" s="50" t="s">
        <v>315</v>
      </c>
      <c r="C501" s="50" t="s">
        <v>251</v>
      </c>
      <c r="D501" s="50">
        <v>17</v>
      </c>
      <c r="E501" s="50" t="s">
        <v>544</v>
      </c>
      <c r="F501" s="50" t="s">
        <v>545</v>
      </c>
      <c r="G501" s="50" t="s">
        <v>256</v>
      </c>
      <c r="H501" s="50">
        <v>500</v>
      </c>
      <c r="M501" t="str">
        <f>IF(COUNTIF($A:$A,E501)=0,"Not Exists","Exists")</f>
        <v>Exists</v>
      </c>
      <c r="N501" t="str">
        <f t="shared" si="26"/>
        <v>Exists</v>
      </c>
      <c r="O501" t="str">
        <f t="shared" si="24"/>
        <v>Exists</v>
      </c>
      <c r="P501" t="str">
        <f t="shared" si="25"/>
        <v>Exists</v>
      </c>
    </row>
    <row r="502" spans="1:16">
      <c r="A502" s="50" t="s">
        <v>550</v>
      </c>
      <c r="B502" s="50" t="s">
        <v>317</v>
      </c>
      <c r="C502" s="50" t="s">
        <v>251</v>
      </c>
      <c r="D502" s="50">
        <v>17</v>
      </c>
      <c r="E502" s="50" t="s">
        <v>544</v>
      </c>
      <c r="F502" s="50" t="s">
        <v>447</v>
      </c>
      <c r="G502" s="50" t="s">
        <v>256</v>
      </c>
      <c r="H502" s="50">
        <v>50</v>
      </c>
      <c r="M502" t="str">
        <f>IF(COUNTIF($A:$A,E502)=0,"Not Exists","Exists")</f>
        <v>Exists</v>
      </c>
      <c r="N502" t="str">
        <f t="shared" si="26"/>
        <v>Exists</v>
      </c>
      <c r="O502" t="str">
        <f t="shared" si="24"/>
        <v>Exists</v>
      </c>
      <c r="P502" t="str">
        <f t="shared" si="25"/>
        <v>Exists</v>
      </c>
    </row>
    <row r="503" spans="1:16">
      <c r="A503" s="50" t="s">
        <v>550</v>
      </c>
      <c r="B503" s="50" t="s">
        <v>316</v>
      </c>
      <c r="C503" s="50" t="s">
        <v>256</v>
      </c>
      <c r="D503" s="50">
        <v>50</v>
      </c>
      <c r="E503" s="50" t="s">
        <v>544</v>
      </c>
      <c r="F503" s="50" t="s">
        <v>546</v>
      </c>
      <c r="G503" s="50" t="s">
        <v>256</v>
      </c>
      <c r="H503" s="50">
        <v>50</v>
      </c>
      <c r="M503" t="str">
        <f>IF(COUNTIF($A:$A,E503)=0,"Not Exists","Exists")</f>
        <v>Exists</v>
      </c>
      <c r="N503" t="str">
        <f t="shared" si="26"/>
        <v>Exists</v>
      </c>
      <c r="O503" t="str">
        <f t="shared" si="24"/>
        <v>Exists</v>
      </c>
      <c r="P503" t="str">
        <f t="shared" si="25"/>
        <v>Exists</v>
      </c>
    </row>
    <row r="504" spans="1:16">
      <c r="A504" s="50" t="s">
        <v>550</v>
      </c>
      <c r="B504" s="50" t="s">
        <v>318</v>
      </c>
      <c r="C504" s="50" t="s">
        <v>256</v>
      </c>
      <c r="D504" s="50">
        <v>50</v>
      </c>
      <c r="E504" s="50" t="s">
        <v>544</v>
      </c>
      <c r="F504" s="50" t="s">
        <v>547</v>
      </c>
      <c r="G504" s="50" t="s">
        <v>256</v>
      </c>
      <c r="H504" s="50">
        <v>10</v>
      </c>
      <c r="M504" t="str">
        <f>IF(COUNTIF($A:$A,E504)=0,"Not Exists","Exists")</f>
        <v>Exists</v>
      </c>
      <c r="N504" t="str">
        <f t="shared" si="26"/>
        <v>Exists</v>
      </c>
      <c r="O504" t="str">
        <f t="shared" si="24"/>
        <v>Exists</v>
      </c>
      <c r="P504" t="str">
        <f t="shared" si="25"/>
        <v>Exists</v>
      </c>
    </row>
    <row r="505" spans="1:16">
      <c r="A505" s="50" t="s">
        <v>550</v>
      </c>
      <c r="B505" s="50" t="s">
        <v>436</v>
      </c>
      <c r="C505" s="50" t="s">
        <v>256</v>
      </c>
      <c r="D505" s="50">
        <v>50</v>
      </c>
      <c r="E505" s="50" t="s">
        <v>544</v>
      </c>
      <c r="F505" s="50" t="s">
        <v>548</v>
      </c>
      <c r="G505" s="50" t="s">
        <v>251</v>
      </c>
      <c r="H505" s="50">
        <v>1</v>
      </c>
      <c r="M505" t="str">
        <f>IF(COUNTIF($A:$A,E505)=0,"Not Exists","Exists")</f>
        <v>Exists</v>
      </c>
      <c r="N505" t="str">
        <f t="shared" si="26"/>
        <v>Exists</v>
      </c>
      <c r="O505" t="str">
        <f t="shared" si="24"/>
        <v>Exists</v>
      </c>
      <c r="P505" t="str">
        <f t="shared" si="25"/>
        <v>Not Exists</v>
      </c>
    </row>
    <row r="506" spans="1:16">
      <c r="A506" s="50" t="s">
        <v>553</v>
      </c>
      <c r="B506" s="50" t="s">
        <v>526</v>
      </c>
      <c r="C506" s="50" t="s">
        <v>256</v>
      </c>
      <c r="D506" s="50">
        <v>50</v>
      </c>
      <c r="E506" s="50" t="s">
        <v>544</v>
      </c>
      <c r="F506" s="50" t="s">
        <v>480</v>
      </c>
      <c r="G506" s="50" t="s">
        <v>256</v>
      </c>
      <c r="H506" s="50">
        <v>5</v>
      </c>
      <c r="M506" t="str">
        <f>IF(COUNTIF($A:$A,E506)=0,"Not Exists","Exists")</f>
        <v>Exists</v>
      </c>
      <c r="N506" t="str">
        <f t="shared" si="26"/>
        <v>Exists</v>
      </c>
      <c r="O506" t="str">
        <f t="shared" si="24"/>
        <v>Exists</v>
      </c>
      <c r="P506" t="str">
        <f t="shared" si="25"/>
        <v>Exists</v>
      </c>
    </row>
    <row r="507" spans="1:16">
      <c r="A507" s="50" t="s">
        <v>553</v>
      </c>
      <c r="B507" s="50" t="s">
        <v>554</v>
      </c>
      <c r="C507" s="50" t="s">
        <v>256</v>
      </c>
      <c r="D507" s="50">
        <v>450</v>
      </c>
      <c r="E507" s="50" t="s">
        <v>544</v>
      </c>
      <c r="F507" s="50" t="s">
        <v>549</v>
      </c>
      <c r="G507" s="50" t="s">
        <v>254</v>
      </c>
      <c r="H507" s="50">
        <v>22</v>
      </c>
      <c r="M507" t="str">
        <f>IF(COUNTIF($A:$A,E507)=0,"Not Exists","Exists")</f>
        <v>Exists</v>
      </c>
      <c r="N507" t="str">
        <f t="shared" si="26"/>
        <v>Exists</v>
      </c>
      <c r="O507" t="str">
        <f t="shared" si="24"/>
        <v>Exists</v>
      </c>
      <c r="P507" t="str">
        <f t="shared" si="25"/>
        <v>Exists</v>
      </c>
    </row>
    <row r="508" spans="1:16">
      <c r="A508" s="50" t="s">
        <v>553</v>
      </c>
      <c r="B508" s="50" t="s">
        <v>473</v>
      </c>
      <c r="C508" s="50" t="s">
        <v>254</v>
      </c>
      <c r="D508" s="50">
        <v>22</v>
      </c>
      <c r="E508" s="50" t="s">
        <v>544</v>
      </c>
      <c r="F508" s="50" t="s">
        <v>317</v>
      </c>
      <c r="G508" s="50" t="s">
        <v>251</v>
      </c>
      <c r="H508" s="50">
        <v>17</v>
      </c>
      <c r="M508" t="str">
        <f>IF(COUNTIF($A:$A,E508)=0,"Not Exists","Exists")</f>
        <v>Exists</v>
      </c>
      <c r="N508" t="str">
        <f t="shared" si="26"/>
        <v>Exists</v>
      </c>
      <c r="O508" t="str">
        <f t="shared" si="24"/>
        <v>Exists</v>
      </c>
      <c r="P508" t="str">
        <f t="shared" si="25"/>
        <v>Exists</v>
      </c>
    </row>
    <row r="509" spans="1:16">
      <c r="A509" s="50" t="s">
        <v>553</v>
      </c>
      <c r="B509" s="50" t="s">
        <v>555</v>
      </c>
      <c r="C509" s="50" t="s">
        <v>256</v>
      </c>
      <c r="D509" s="50">
        <v>450</v>
      </c>
      <c r="E509" s="50" t="s">
        <v>544</v>
      </c>
      <c r="F509" s="50" t="s">
        <v>315</v>
      </c>
      <c r="G509" s="50" t="s">
        <v>251</v>
      </c>
      <c r="H509" s="50">
        <v>17</v>
      </c>
      <c r="M509" t="str">
        <f>IF(COUNTIF($A:$A,E509)=0,"Not Exists","Exists")</f>
        <v>Exists</v>
      </c>
      <c r="N509" t="str">
        <f t="shared" si="26"/>
        <v>Exists</v>
      </c>
      <c r="O509" t="str">
        <f t="shared" si="24"/>
        <v>Exists</v>
      </c>
      <c r="P509" t="str">
        <f t="shared" si="25"/>
        <v>Exists</v>
      </c>
    </row>
    <row r="510" spans="1:16">
      <c r="A510" s="50" t="s">
        <v>553</v>
      </c>
      <c r="B510" s="50" t="s">
        <v>556</v>
      </c>
      <c r="C510" s="50" t="s">
        <v>256</v>
      </c>
      <c r="D510" s="50">
        <v>450</v>
      </c>
      <c r="E510" s="50" t="s">
        <v>544</v>
      </c>
      <c r="F510" s="50" t="s">
        <v>316</v>
      </c>
      <c r="G510" s="50" t="s">
        <v>256</v>
      </c>
      <c r="H510" s="50">
        <v>50</v>
      </c>
      <c r="M510" t="str">
        <f>IF(COUNTIF($A:$A,E510)=0,"Not Exists","Exists")</f>
        <v>Exists</v>
      </c>
      <c r="N510" t="str">
        <f t="shared" si="26"/>
        <v>Exists</v>
      </c>
      <c r="O510" t="str">
        <f t="shared" si="24"/>
        <v>Exists</v>
      </c>
      <c r="P510" t="str">
        <f t="shared" si="25"/>
        <v>Exists</v>
      </c>
    </row>
    <row r="511" spans="1:16">
      <c r="A511" s="50" t="s">
        <v>553</v>
      </c>
      <c r="B511" s="50" t="s">
        <v>540</v>
      </c>
      <c r="C511" s="50" t="s">
        <v>251</v>
      </c>
      <c r="D511" s="50">
        <v>1</v>
      </c>
      <c r="E511" s="50" t="s">
        <v>544</v>
      </c>
      <c r="F511" s="50" t="s">
        <v>318</v>
      </c>
      <c r="G511" s="50" t="s">
        <v>256</v>
      </c>
      <c r="H511" s="50">
        <v>50</v>
      </c>
      <c r="M511" t="str">
        <f>IF(COUNTIF($A:$A,E511)=0,"Not Exists","Exists")</f>
        <v>Exists</v>
      </c>
      <c r="N511" t="str">
        <f t="shared" si="26"/>
        <v>Exists</v>
      </c>
      <c r="O511" t="str">
        <f t="shared" si="24"/>
        <v>Exists</v>
      </c>
      <c r="P511" t="str">
        <f t="shared" si="25"/>
        <v>Exists</v>
      </c>
    </row>
    <row r="512" spans="1:16">
      <c r="A512" s="50" t="s">
        <v>553</v>
      </c>
      <c r="B512" s="50" t="s">
        <v>315</v>
      </c>
      <c r="C512" s="50" t="s">
        <v>251</v>
      </c>
      <c r="D512" s="50">
        <v>17</v>
      </c>
      <c r="E512" s="50" t="s">
        <v>550</v>
      </c>
      <c r="F512" s="50" t="s">
        <v>447</v>
      </c>
      <c r="G512" s="50" t="s">
        <v>256</v>
      </c>
      <c r="H512" s="50">
        <v>50</v>
      </c>
      <c r="M512" t="str">
        <f>IF(COUNTIF($A:$A,E512)=0,"Not Exists","Exists")</f>
        <v>Exists</v>
      </c>
      <c r="N512" t="str">
        <f t="shared" si="26"/>
        <v>Exists</v>
      </c>
      <c r="O512" t="str">
        <f t="shared" si="24"/>
        <v>Exists</v>
      </c>
      <c r="P512" t="str">
        <f t="shared" si="25"/>
        <v>Exists</v>
      </c>
    </row>
    <row r="513" spans="1:16">
      <c r="A513" s="50" t="s">
        <v>553</v>
      </c>
      <c r="B513" s="50" t="s">
        <v>316</v>
      </c>
      <c r="C513" s="50" t="s">
        <v>256</v>
      </c>
      <c r="D513" s="50">
        <v>50</v>
      </c>
      <c r="E513" s="50" t="s">
        <v>550</v>
      </c>
      <c r="F513" s="50" t="s">
        <v>551</v>
      </c>
      <c r="G513" s="50" t="s">
        <v>254</v>
      </c>
      <c r="H513" s="50">
        <v>22</v>
      </c>
      <c r="M513" t="str">
        <f>IF(COUNTIF($A:$A,E513)=0,"Not Exists","Exists")</f>
        <v>Exists</v>
      </c>
      <c r="N513" t="str">
        <f t="shared" si="26"/>
        <v>Exists</v>
      </c>
      <c r="O513" t="str">
        <f t="shared" si="24"/>
        <v>Exists</v>
      </c>
      <c r="P513" t="str">
        <f t="shared" si="25"/>
        <v>Exists</v>
      </c>
    </row>
    <row r="514" spans="1:16">
      <c r="A514" s="50" t="s">
        <v>553</v>
      </c>
      <c r="B514" s="50" t="s">
        <v>317</v>
      </c>
      <c r="C514" s="50" t="s">
        <v>251</v>
      </c>
      <c r="D514" s="50">
        <v>17</v>
      </c>
      <c r="E514" s="50" t="s">
        <v>550</v>
      </c>
      <c r="F514" s="50" t="s">
        <v>552</v>
      </c>
      <c r="G514" s="50" t="s">
        <v>256</v>
      </c>
      <c r="H514" s="50">
        <v>50</v>
      </c>
      <c r="M514" t="str">
        <f>IF(COUNTIF($A:$A,E514)=0,"Not Exists","Exists")</f>
        <v>Exists</v>
      </c>
      <c r="N514" t="str">
        <f t="shared" si="26"/>
        <v>Exists</v>
      </c>
      <c r="O514" t="str">
        <f t="shared" si="24"/>
        <v>Exists</v>
      </c>
      <c r="P514" t="str">
        <f t="shared" si="25"/>
        <v>Exists</v>
      </c>
    </row>
    <row r="515" spans="1:16">
      <c r="A515" s="50" t="s">
        <v>553</v>
      </c>
      <c r="B515" s="50" t="s">
        <v>318</v>
      </c>
      <c r="C515" s="50" t="s">
        <v>256</v>
      </c>
      <c r="D515" s="50">
        <v>50</v>
      </c>
      <c r="E515" s="50" t="s">
        <v>550</v>
      </c>
      <c r="F515" s="50" t="s">
        <v>548</v>
      </c>
      <c r="G515" s="50" t="s">
        <v>251</v>
      </c>
      <c r="H515" s="50">
        <v>1</v>
      </c>
      <c r="M515" t="str">
        <f>IF(COUNTIF($A:$A,E515)=0,"Not Exists","Exists")</f>
        <v>Exists</v>
      </c>
      <c r="N515" t="str">
        <f t="shared" si="26"/>
        <v>Exists</v>
      </c>
      <c r="O515" t="str">
        <f t="shared" si="24"/>
        <v>Exists</v>
      </c>
      <c r="P515" t="str">
        <f t="shared" si="25"/>
        <v>Exists</v>
      </c>
    </row>
    <row r="516" spans="1:16">
      <c r="A516" s="50" t="s">
        <v>553</v>
      </c>
      <c r="B516" s="50" t="s">
        <v>436</v>
      </c>
      <c r="C516" s="50" t="s">
        <v>256</v>
      </c>
      <c r="D516" s="50">
        <v>50</v>
      </c>
      <c r="E516" s="50" t="s">
        <v>550</v>
      </c>
      <c r="F516" s="50" t="s">
        <v>315</v>
      </c>
      <c r="G516" s="50" t="s">
        <v>251</v>
      </c>
      <c r="H516" s="50">
        <v>17</v>
      </c>
      <c r="M516" t="str">
        <f>IF(COUNTIF($A:$A,E516)=0,"Not Exists","Exists")</f>
        <v>Exists</v>
      </c>
      <c r="N516" t="str">
        <f t="shared" si="26"/>
        <v>Exists</v>
      </c>
      <c r="O516" t="str">
        <f t="shared" ref="O516:O579" si="27">IF(COUNTIF($E:$E,A516)=0,"Not Exists","Exists")</f>
        <v>Exists</v>
      </c>
      <c r="P516" t="str">
        <f t="shared" ref="P516:P579" si="28">IF(COUNTIF($F:$F,B516)=0,"Not Exists","Exists")</f>
        <v>Not Exists</v>
      </c>
    </row>
    <row r="517" spans="1:16">
      <c r="A517" s="50" t="s">
        <v>557</v>
      </c>
      <c r="B517" s="50" t="s">
        <v>447</v>
      </c>
      <c r="C517" s="50" t="s">
        <v>256</v>
      </c>
      <c r="D517" s="50">
        <v>50</v>
      </c>
      <c r="E517" s="50" t="s">
        <v>550</v>
      </c>
      <c r="F517" s="50" t="s">
        <v>317</v>
      </c>
      <c r="G517" s="50" t="s">
        <v>251</v>
      </c>
      <c r="H517" s="50">
        <v>17</v>
      </c>
      <c r="M517" t="str">
        <f>IF(COUNTIF($A:$A,E517)=0,"Not Exists","Exists")</f>
        <v>Exists</v>
      </c>
      <c r="N517" t="str">
        <f t="shared" si="26"/>
        <v>Exists</v>
      </c>
      <c r="O517" t="str">
        <f t="shared" si="27"/>
        <v>Exists</v>
      </c>
      <c r="P517" t="str">
        <f t="shared" si="28"/>
        <v>Exists</v>
      </c>
    </row>
    <row r="518" spans="1:16">
      <c r="A518" s="50" t="s">
        <v>557</v>
      </c>
      <c r="B518" s="50" t="s">
        <v>526</v>
      </c>
      <c r="C518" s="50" t="s">
        <v>256</v>
      </c>
      <c r="D518" s="50">
        <v>50</v>
      </c>
      <c r="E518" s="50" t="s">
        <v>550</v>
      </c>
      <c r="F518" s="50" t="s">
        <v>316</v>
      </c>
      <c r="G518" s="50" t="s">
        <v>256</v>
      </c>
      <c r="H518" s="50">
        <v>50</v>
      </c>
      <c r="M518" t="str">
        <f>IF(COUNTIF($A:$A,E518)=0,"Not Exists","Exists")</f>
        <v>Exists</v>
      </c>
      <c r="N518" t="str">
        <f t="shared" si="26"/>
        <v>Exists</v>
      </c>
      <c r="O518" t="str">
        <f t="shared" si="27"/>
        <v>Exists</v>
      </c>
      <c r="P518" t="str">
        <f t="shared" si="28"/>
        <v>Exists</v>
      </c>
    </row>
    <row r="519" spans="1:16">
      <c r="A519" s="50" t="s">
        <v>557</v>
      </c>
      <c r="B519" s="50" t="s">
        <v>527</v>
      </c>
      <c r="C519" s="50" t="s">
        <v>256</v>
      </c>
      <c r="D519" s="50">
        <v>50</v>
      </c>
      <c r="E519" s="50" t="s">
        <v>550</v>
      </c>
      <c r="F519" s="50" t="s">
        <v>318</v>
      </c>
      <c r="G519" s="50" t="s">
        <v>256</v>
      </c>
      <c r="H519" s="50">
        <v>50</v>
      </c>
      <c r="M519" t="str">
        <f>IF(COUNTIF($A:$A,E519)=0,"Not Exists","Exists")</f>
        <v>Exists</v>
      </c>
      <c r="N519" t="str">
        <f t="shared" si="26"/>
        <v>Exists</v>
      </c>
      <c r="O519" t="str">
        <f t="shared" si="27"/>
        <v>Exists</v>
      </c>
      <c r="P519" t="str">
        <f t="shared" si="28"/>
        <v>Exists</v>
      </c>
    </row>
    <row r="520" spans="1:16">
      <c r="A520" s="50" t="s">
        <v>557</v>
      </c>
      <c r="B520" s="50" t="s">
        <v>528</v>
      </c>
      <c r="C520" s="50" t="s">
        <v>256</v>
      </c>
      <c r="D520" s="50">
        <v>50</v>
      </c>
      <c r="E520" s="50" t="s">
        <v>553</v>
      </c>
      <c r="F520" s="50" t="s">
        <v>526</v>
      </c>
      <c r="G520" s="50" t="s">
        <v>256</v>
      </c>
      <c r="H520" s="50">
        <v>50</v>
      </c>
      <c r="M520" t="str">
        <f>IF(COUNTIF($A:$A,E520)=0,"Not Exists","Exists")</f>
        <v>Exists</v>
      </c>
      <c r="N520" t="str">
        <f t="shared" si="26"/>
        <v>Exists</v>
      </c>
      <c r="O520" t="str">
        <f t="shared" si="27"/>
        <v>Exists</v>
      </c>
      <c r="P520" t="str">
        <f t="shared" si="28"/>
        <v>Exists</v>
      </c>
    </row>
    <row r="521" spans="1:16">
      <c r="A521" s="50" t="s">
        <v>557</v>
      </c>
      <c r="B521" s="50" t="s">
        <v>558</v>
      </c>
      <c r="C521" s="50" t="s">
        <v>256</v>
      </c>
      <c r="D521" s="50">
        <v>500</v>
      </c>
      <c r="E521" s="50" t="s">
        <v>553</v>
      </c>
      <c r="F521" s="50" t="s">
        <v>554</v>
      </c>
      <c r="G521" s="50" t="s">
        <v>256</v>
      </c>
      <c r="H521" s="50">
        <v>450</v>
      </c>
      <c r="M521" t="str">
        <f>IF(COUNTIF($A:$A,E521)=0,"Not Exists","Exists")</f>
        <v>Exists</v>
      </c>
      <c r="N521" t="str">
        <f t="shared" si="26"/>
        <v>Exists</v>
      </c>
      <c r="O521" t="str">
        <f t="shared" si="27"/>
        <v>Exists</v>
      </c>
      <c r="P521" t="str">
        <f t="shared" si="28"/>
        <v>Exists</v>
      </c>
    </row>
    <row r="522" spans="1:16">
      <c r="A522" s="50" t="s">
        <v>557</v>
      </c>
      <c r="B522" s="50" t="s">
        <v>315</v>
      </c>
      <c r="C522" s="50" t="s">
        <v>251</v>
      </c>
      <c r="D522" s="50">
        <v>17</v>
      </c>
      <c r="E522" s="50" t="s">
        <v>553</v>
      </c>
      <c r="F522" s="50" t="s">
        <v>473</v>
      </c>
      <c r="G522" s="50" t="s">
        <v>254</v>
      </c>
      <c r="H522" s="50">
        <v>22</v>
      </c>
      <c r="M522" t="str">
        <f>IF(COUNTIF($A:$A,E522)=0,"Not Exists","Exists")</f>
        <v>Exists</v>
      </c>
      <c r="N522" t="str">
        <f t="shared" si="26"/>
        <v>Exists</v>
      </c>
      <c r="O522" t="str">
        <f t="shared" si="27"/>
        <v>Exists</v>
      </c>
      <c r="P522" t="str">
        <f t="shared" si="28"/>
        <v>Exists</v>
      </c>
    </row>
    <row r="523" spans="1:16">
      <c r="A523" s="50" t="s">
        <v>557</v>
      </c>
      <c r="B523" s="50" t="s">
        <v>316</v>
      </c>
      <c r="C523" s="50" t="s">
        <v>256</v>
      </c>
      <c r="D523" s="50">
        <v>50</v>
      </c>
      <c r="E523" s="50" t="s">
        <v>553</v>
      </c>
      <c r="F523" s="50" t="s">
        <v>555</v>
      </c>
      <c r="G523" s="50" t="s">
        <v>256</v>
      </c>
      <c r="H523" s="50">
        <v>450</v>
      </c>
      <c r="M523" t="str">
        <f>IF(COUNTIF($A:$A,E523)=0,"Not Exists","Exists")</f>
        <v>Exists</v>
      </c>
      <c r="N523" t="str">
        <f t="shared" si="26"/>
        <v>Exists</v>
      </c>
      <c r="O523" t="str">
        <f t="shared" si="27"/>
        <v>Exists</v>
      </c>
      <c r="P523" t="str">
        <f t="shared" si="28"/>
        <v>Exists</v>
      </c>
    </row>
    <row r="524" spans="1:16">
      <c r="A524" s="50" t="s">
        <v>557</v>
      </c>
      <c r="B524" s="50" t="s">
        <v>317</v>
      </c>
      <c r="C524" s="50" t="s">
        <v>251</v>
      </c>
      <c r="D524" s="50">
        <v>17</v>
      </c>
      <c r="E524" s="50" t="s">
        <v>553</v>
      </c>
      <c r="F524" s="50" t="s">
        <v>556</v>
      </c>
      <c r="G524" s="50" t="s">
        <v>256</v>
      </c>
      <c r="H524" s="50">
        <v>450</v>
      </c>
      <c r="M524" t="str">
        <f>IF(COUNTIF($A:$A,E524)=0,"Not Exists","Exists")</f>
        <v>Exists</v>
      </c>
      <c r="N524" t="str">
        <f t="shared" si="26"/>
        <v>Exists</v>
      </c>
      <c r="O524" t="str">
        <f t="shared" si="27"/>
        <v>Exists</v>
      </c>
      <c r="P524" t="str">
        <f t="shared" si="28"/>
        <v>Exists</v>
      </c>
    </row>
    <row r="525" spans="1:16">
      <c r="A525" s="50" t="s">
        <v>557</v>
      </c>
      <c r="B525" s="50" t="s">
        <v>318</v>
      </c>
      <c r="C525" s="50" t="s">
        <v>256</v>
      </c>
      <c r="D525" s="50">
        <v>50</v>
      </c>
      <c r="E525" s="50" t="s">
        <v>553</v>
      </c>
      <c r="F525" s="50" t="s">
        <v>540</v>
      </c>
      <c r="G525" s="50" t="s">
        <v>251</v>
      </c>
      <c r="H525" s="50">
        <v>1</v>
      </c>
      <c r="M525" t="str">
        <f>IF(COUNTIF($A:$A,E525)=0,"Not Exists","Exists")</f>
        <v>Exists</v>
      </c>
      <c r="N525" t="str">
        <f t="shared" si="26"/>
        <v>Exists</v>
      </c>
      <c r="O525" t="str">
        <f t="shared" si="27"/>
        <v>Exists</v>
      </c>
      <c r="P525" t="str">
        <f t="shared" si="28"/>
        <v>Exists</v>
      </c>
    </row>
    <row r="526" spans="1:16">
      <c r="A526" s="50" t="s">
        <v>557</v>
      </c>
      <c r="B526" s="50" t="s">
        <v>436</v>
      </c>
      <c r="C526" s="50" t="s">
        <v>256</v>
      </c>
      <c r="D526" s="50">
        <v>50</v>
      </c>
      <c r="E526" s="50" t="s">
        <v>553</v>
      </c>
      <c r="F526" s="50" t="s">
        <v>315</v>
      </c>
      <c r="G526" s="50" t="s">
        <v>251</v>
      </c>
      <c r="H526" s="50">
        <v>17</v>
      </c>
      <c r="M526" t="str">
        <f>IF(COUNTIF($A:$A,E526)=0,"Not Exists","Exists")</f>
        <v>Exists</v>
      </c>
      <c r="N526" t="str">
        <f t="shared" si="26"/>
        <v>Exists</v>
      </c>
      <c r="O526" t="str">
        <f t="shared" si="27"/>
        <v>Exists</v>
      </c>
      <c r="P526" t="str">
        <f t="shared" si="28"/>
        <v>Not Exists</v>
      </c>
    </row>
    <row r="527" spans="1:16">
      <c r="A527" s="50" t="s">
        <v>559</v>
      </c>
      <c r="B527" s="50" t="s">
        <v>527</v>
      </c>
      <c r="C527" s="50" t="s">
        <v>256</v>
      </c>
      <c r="D527" s="50">
        <v>50</v>
      </c>
      <c r="E527" s="50" t="s">
        <v>553</v>
      </c>
      <c r="F527" s="50" t="s">
        <v>316</v>
      </c>
      <c r="G527" s="50" t="s">
        <v>256</v>
      </c>
      <c r="H527" s="50">
        <v>50</v>
      </c>
      <c r="M527" t="str">
        <f>IF(COUNTIF($A:$A,E527)=0,"Not Exists","Exists")</f>
        <v>Exists</v>
      </c>
      <c r="N527" t="str">
        <f t="shared" si="26"/>
        <v>Exists</v>
      </c>
      <c r="O527" t="str">
        <f t="shared" si="27"/>
        <v>Exists</v>
      </c>
      <c r="P527" t="str">
        <f t="shared" si="28"/>
        <v>Exists</v>
      </c>
    </row>
    <row r="528" spans="1:16">
      <c r="A528" s="50" t="s">
        <v>559</v>
      </c>
      <c r="B528" s="50" t="s">
        <v>560</v>
      </c>
      <c r="C528" s="50" t="s">
        <v>256</v>
      </c>
      <c r="D528" s="50">
        <v>450</v>
      </c>
      <c r="E528" s="50" t="s">
        <v>553</v>
      </c>
      <c r="F528" s="50" t="s">
        <v>317</v>
      </c>
      <c r="G528" s="50" t="s">
        <v>251</v>
      </c>
      <c r="H528" s="50">
        <v>17</v>
      </c>
      <c r="M528" t="str">
        <f>IF(COUNTIF($A:$A,E528)=0,"Not Exists","Exists")</f>
        <v>Exists</v>
      </c>
      <c r="N528" t="str">
        <f t="shared" si="26"/>
        <v>Exists</v>
      </c>
      <c r="O528" t="str">
        <f t="shared" si="27"/>
        <v>Exists</v>
      </c>
      <c r="P528" t="str">
        <f t="shared" si="28"/>
        <v>Exists</v>
      </c>
    </row>
    <row r="529" spans="1:16">
      <c r="A529" s="50" t="s">
        <v>559</v>
      </c>
      <c r="B529" s="50" t="s">
        <v>540</v>
      </c>
      <c r="C529" s="50" t="s">
        <v>251</v>
      </c>
      <c r="D529" s="50">
        <v>1</v>
      </c>
      <c r="E529" s="50" t="s">
        <v>553</v>
      </c>
      <c r="F529" s="50" t="s">
        <v>318</v>
      </c>
      <c r="G529" s="50" t="s">
        <v>256</v>
      </c>
      <c r="H529" s="50">
        <v>50</v>
      </c>
      <c r="M529" t="str">
        <f>IF(COUNTIF($A:$A,E529)=0,"Not Exists","Exists")</f>
        <v>Exists</v>
      </c>
      <c r="N529" t="str">
        <f t="shared" si="26"/>
        <v>Exists</v>
      </c>
      <c r="O529" t="str">
        <f t="shared" si="27"/>
        <v>Exists</v>
      </c>
      <c r="P529" t="str">
        <f t="shared" si="28"/>
        <v>Exists</v>
      </c>
    </row>
    <row r="530" spans="1:16">
      <c r="A530" s="50" t="s">
        <v>559</v>
      </c>
      <c r="B530" s="50" t="s">
        <v>315</v>
      </c>
      <c r="C530" s="50" t="s">
        <v>251</v>
      </c>
      <c r="D530" s="50">
        <v>17</v>
      </c>
      <c r="E530" s="50" t="s">
        <v>557</v>
      </c>
      <c r="F530" s="50" t="s">
        <v>447</v>
      </c>
      <c r="G530" s="50" t="s">
        <v>256</v>
      </c>
      <c r="H530" s="50">
        <v>50</v>
      </c>
      <c r="M530" t="str">
        <f>IF(COUNTIF($A:$A,E530)=0,"Not Exists","Exists")</f>
        <v>Exists</v>
      </c>
      <c r="N530" t="str">
        <f t="shared" si="26"/>
        <v>Exists</v>
      </c>
      <c r="O530" t="str">
        <f t="shared" si="27"/>
        <v>Exists</v>
      </c>
      <c r="P530" t="str">
        <f t="shared" si="28"/>
        <v>Exists</v>
      </c>
    </row>
    <row r="531" spans="1:16">
      <c r="A531" s="50" t="s">
        <v>559</v>
      </c>
      <c r="B531" s="50" t="s">
        <v>316</v>
      </c>
      <c r="C531" s="50" t="s">
        <v>256</v>
      </c>
      <c r="D531" s="50">
        <v>50</v>
      </c>
      <c r="E531" s="50" t="s">
        <v>557</v>
      </c>
      <c r="F531" s="50" t="s">
        <v>526</v>
      </c>
      <c r="G531" s="50" t="s">
        <v>256</v>
      </c>
      <c r="H531" s="50">
        <v>50</v>
      </c>
      <c r="M531" t="str">
        <f>IF(COUNTIF($A:$A,E531)=0,"Not Exists","Exists")</f>
        <v>Exists</v>
      </c>
      <c r="N531" t="str">
        <f t="shared" si="26"/>
        <v>Exists</v>
      </c>
      <c r="O531" t="str">
        <f t="shared" si="27"/>
        <v>Exists</v>
      </c>
      <c r="P531" t="str">
        <f t="shared" si="28"/>
        <v>Exists</v>
      </c>
    </row>
    <row r="532" spans="1:16">
      <c r="A532" s="50" t="s">
        <v>559</v>
      </c>
      <c r="B532" s="50" t="s">
        <v>317</v>
      </c>
      <c r="C532" s="50" t="s">
        <v>251</v>
      </c>
      <c r="D532" s="50">
        <v>17</v>
      </c>
      <c r="E532" s="50" t="s">
        <v>557</v>
      </c>
      <c r="F532" s="50" t="s">
        <v>527</v>
      </c>
      <c r="G532" s="50" t="s">
        <v>256</v>
      </c>
      <c r="H532" s="50">
        <v>50</v>
      </c>
      <c r="M532" t="str">
        <f>IF(COUNTIF($A:$A,E532)=0,"Not Exists","Exists")</f>
        <v>Exists</v>
      </c>
      <c r="N532" t="str">
        <f t="shared" si="26"/>
        <v>Exists</v>
      </c>
      <c r="O532" t="str">
        <f t="shared" si="27"/>
        <v>Exists</v>
      </c>
      <c r="P532" t="str">
        <f t="shared" si="28"/>
        <v>Exists</v>
      </c>
    </row>
    <row r="533" spans="1:16">
      <c r="A533" s="50" t="s">
        <v>559</v>
      </c>
      <c r="B533" s="50" t="s">
        <v>318</v>
      </c>
      <c r="C533" s="50" t="s">
        <v>256</v>
      </c>
      <c r="D533" s="50">
        <v>50</v>
      </c>
      <c r="E533" s="50" t="s">
        <v>557</v>
      </c>
      <c r="F533" s="50" t="s">
        <v>528</v>
      </c>
      <c r="G533" s="50" t="s">
        <v>256</v>
      </c>
      <c r="H533" s="50">
        <v>50</v>
      </c>
      <c r="M533" t="str">
        <f>IF(COUNTIF($A:$A,E533)=0,"Not Exists","Exists")</f>
        <v>Exists</v>
      </c>
      <c r="N533" t="str">
        <f t="shared" si="26"/>
        <v>Exists</v>
      </c>
      <c r="O533" t="str">
        <f t="shared" si="27"/>
        <v>Exists</v>
      </c>
      <c r="P533" t="str">
        <f t="shared" si="28"/>
        <v>Exists</v>
      </c>
    </row>
    <row r="534" spans="1:16">
      <c r="A534" s="50" t="s">
        <v>559</v>
      </c>
      <c r="B534" s="50" t="s">
        <v>436</v>
      </c>
      <c r="C534" s="50" t="s">
        <v>256</v>
      </c>
      <c r="D534" s="50">
        <v>50</v>
      </c>
      <c r="E534" s="50" t="s">
        <v>557</v>
      </c>
      <c r="F534" s="50" t="s">
        <v>558</v>
      </c>
      <c r="G534" s="50" t="s">
        <v>256</v>
      </c>
      <c r="H534" s="50">
        <v>500</v>
      </c>
      <c r="M534" t="str">
        <f>IF(COUNTIF($A:$A,E534)=0,"Not Exists","Exists")</f>
        <v>Exists</v>
      </c>
      <c r="N534" t="str">
        <f t="shared" si="26"/>
        <v>Exists</v>
      </c>
      <c r="O534" t="str">
        <f t="shared" si="27"/>
        <v>Exists</v>
      </c>
      <c r="P534" t="str">
        <f t="shared" si="28"/>
        <v>Not Exists</v>
      </c>
    </row>
    <row r="535" spans="1:16">
      <c r="A535" s="50" t="s">
        <v>561</v>
      </c>
      <c r="B535" s="50" t="s">
        <v>447</v>
      </c>
      <c r="C535" s="50" t="s">
        <v>256</v>
      </c>
      <c r="D535" s="50">
        <v>50</v>
      </c>
      <c r="E535" s="50" t="s">
        <v>557</v>
      </c>
      <c r="F535" s="50" t="s">
        <v>315</v>
      </c>
      <c r="G535" s="50" t="s">
        <v>251</v>
      </c>
      <c r="H535" s="50">
        <v>17</v>
      </c>
      <c r="M535" t="str">
        <f>IF(COUNTIF($A:$A,E535)=0,"Not Exists","Exists")</f>
        <v>Exists</v>
      </c>
      <c r="N535" t="str">
        <f t="shared" si="26"/>
        <v>Exists</v>
      </c>
      <c r="O535" t="str">
        <f t="shared" si="27"/>
        <v>Exists</v>
      </c>
      <c r="P535" t="str">
        <f t="shared" si="28"/>
        <v>Exists</v>
      </c>
    </row>
    <row r="536" spans="1:16">
      <c r="A536" s="50" t="s">
        <v>561</v>
      </c>
      <c r="B536" s="50" t="s">
        <v>448</v>
      </c>
      <c r="C536" s="50" t="s">
        <v>256</v>
      </c>
      <c r="D536" s="50">
        <v>50</v>
      </c>
      <c r="E536" s="50" t="s">
        <v>557</v>
      </c>
      <c r="F536" s="50" t="s">
        <v>316</v>
      </c>
      <c r="G536" s="50" t="s">
        <v>256</v>
      </c>
      <c r="H536" s="50">
        <v>50</v>
      </c>
      <c r="M536" t="str">
        <f>IF(COUNTIF($A:$A,E536)=0,"Not Exists","Exists")</f>
        <v>Exists</v>
      </c>
      <c r="N536" t="str">
        <f t="shared" si="26"/>
        <v>Exists</v>
      </c>
      <c r="O536" t="str">
        <f t="shared" si="27"/>
        <v>Exists</v>
      </c>
      <c r="P536" t="str">
        <f t="shared" si="28"/>
        <v>Exists</v>
      </c>
    </row>
    <row r="537" spans="1:16">
      <c r="A537" s="50" t="s">
        <v>561</v>
      </c>
      <c r="B537" s="50" t="s">
        <v>562</v>
      </c>
      <c r="C537" s="50" t="s">
        <v>256</v>
      </c>
      <c r="D537" s="50">
        <v>50</v>
      </c>
      <c r="E537" s="50" t="s">
        <v>557</v>
      </c>
      <c r="F537" s="50" t="s">
        <v>317</v>
      </c>
      <c r="G537" s="50" t="s">
        <v>251</v>
      </c>
      <c r="H537" s="50">
        <v>17</v>
      </c>
      <c r="M537" t="str">
        <f>IF(COUNTIF($A:$A,E537)=0,"Not Exists","Exists")</f>
        <v>Exists</v>
      </c>
      <c r="N537" t="str">
        <f t="shared" si="26"/>
        <v>Exists</v>
      </c>
      <c r="O537" t="str">
        <f t="shared" si="27"/>
        <v>Exists</v>
      </c>
      <c r="P537" t="str">
        <f t="shared" si="28"/>
        <v>Exists</v>
      </c>
    </row>
    <row r="538" spans="1:16">
      <c r="A538" s="50" t="s">
        <v>561</v>
      </c>
      <c r="B538" s="50" t="s">
        <v>318</v>
      </c>
      <c r="C538" s="50" t="s">
        <v>256</v>
      </c>
      <c r="D538" s="50">
        <v>50</v>
      </c>
      <c r="E538" s="50" t="s">
        <v>557</v>
      </c>
      <c r="F538" s="50" t="s">
        <v>318</v>
      </c>
      <c r="G538" s="50" t="s">
        <v>256</v>
      </c>
      <c r="H538" s="50">
        <v>50</v>
      </c>
      <c r="M538" t="str">
        <f>IF(COUNTIF($A:$A,E538)=0,"Not Exists","Exists")</f>
        <v>Exists</v>
      </c>
      <c r="N538" t="str">
        <f t="shared" si="26"/>
        <v>Exists</v>
      </c>
      <c r="O538" t="str">
        <f t="shared" si="27"/>
        <v>Exists</v>
      </c>
      <c r="P538" t="str">
        <f t="shared" si="28"/>
        <v>Exists</v>
      </c>
    </row>
    <row r="539" spans="1:16">
      <c r="A539" s="50" t="s">
        <v>561</v>
      </c>
      <c r="B539" s="50" t="s">
        <v>317</v>
      </c>
      <c r="C539" s="50" t="s">
        <v>251</v>
      </c>
      <c r="D539" s="50">
        <v>17</v>
      </c>
      <c r="E539" s="50" t="s">
        <v>559</v>
      </c>
      <c r="F539" s="50" t="s">
        <v>527</v>
      </c>
      <c r="G539" s="50" t="s">
        <v>256</v>
      </c>
      <c r="H539" s="50">
        <v>50</v>
      </c>
      <c r="M539" t="str">
        <f>IF(COUNTIF($A:$A,E539)=0,"Not Exists","Exists")</f>
        <v>Exists</v>
      </c>
      <c r="N539" t="str">
        <f t="shared" si="26"/>
        <v>Exists</v>
      </c>
      <c r="O539" t="str">
        <f t="shared" si="27"/>
        <v>Exists</v>
      </c>
      <c r="P539" t="str">
        <f t="shared" si="28"/>
        <v>Exists</v>
      </c>
    </row>
    <row r="540" spans="1:16">
      <c r="A540" s="50" t="s">
        <v>561</v>
      </c>
      <c r="B540" s="50" t="s">
        <v>316</v>
      </c>
      <c r="C540" s="50" t="s">
        <v>256</v>
      </c>
      <c r="D540" s="50">
        <v>50</v>
      </c>
      <c r="E540" s="50" t="s">
        <v>559</v>
      </c>
      <c r="F540" s="50" t="s">
        <v>560</v>
      </c>
      <c r="G540" s="50" t="s">
        <v>256</v>
      </c>
      <c r="H540" s="50">
        <v>450</v>
      </c>
      <c r="M540" t="str">
        <f>IF(COUNTIF($A:$A,E540)=0,"Not Exists","Exists")</f>
        <v>Exists</v>
      </c>
      <c r="N540" t="str">
        <f t="shared" si="26"/>
        <v>Exists</v>
      </c>
      <c r="O540" t="str">
        <f t="shared" si="27"/>
        <v>Exists</v>
      </c>
      <c r="P540" t="str">
        <f t="shared" si="28"/>
        <v>Exists</v>
      </c>
    </row>
    <row r="541" spans="1:16">
      <c r="A541" s="50" t="s">
        <v>561</v>
      </c>
      <c r="B541" s="50" t="s">
        <v>315</v>
      </c>
      <c r="C541" s="50" t="s">
        <v>251</v>
      </c>
      <c r="D541" s="50">
        <v>17</v>
      </c>
      <c r="E541" s="50" t="s">
        <v>559</v>
      </c>
      <c r="F541" s="50" t="s">
        <v>540</v>
      </c>
      <c r="G541" s="50" t="s">
        <v>251</v>
      </c>
      <c r="H541" s="50">
        <v>1</v>
      </c>
      <c r="M541" t="str">
        <f>IF(COUNTIF($A:$A,E541)=0,"Not Exists","Exists")</f>
        <v>Exists</v>
      </c>
      <c r="N541" t="str">
        <f t="shared" ref="N541:N603" si="29">IF(COUNTIF($A:$B,F541)=0,"Not Exists","Exists")</f>
        <v>Exists</v>
      </c>
      <c r="O541" t="str">
        <f t="shared" si="27"/>
        <v>Exists</v>
      </c>
      <c r="P541" t="str">
        <f t="shared" si="28"/>
        <v>Exists</v>
      </c>
    </row>
    <row r="542" spans="1:16">
      <c r="A542" s="50" t="s">
        <v>561</v>
      </c>
      <c r="B542" s="50" t="s">
        <v>436</v>
      </c>
      <c r="C542" s="50" t="s">
        <v>256</v>
      </c>
      <c r="D542" s="50">
        <v>50</v>
      </c>
      <c r="E542" s="50" t="s">
        <v>559</v>
      </c>
      <c r="F542" s="50" t="s">
        <v>315</v>
      </c>
      <c r="G542" s="50" t="s">
        <v>251</v>
      </c>
      <c r="H542" s="50">
        <v>17</v>
      </c>
      <c r="M542" t="str">
        <f>IF(COUNTIF($A:$A,E542)=0,"Not Exists","Exists")</f>
        <v>Exists</v>
      </c>
      <c r="N542" t="str">
        <f t="shared" si="29"/>
        <v>Exists</v>
      </c>
      <c r="O542" t="str">
        <f t="shared" si="27"/>
        <v>Exists</v>
      </c>
      <c r="P542" t="str">
        <f t="shared" si="28"/>
        <v>Not Exists</v>
      </c>
    </row>
    <row r="543" spans="1:16">
      <c r="A543" s="50" t="s">
        <v>563</v>
      </c>
      <c r="B543" s="50" t="s">
        <v>447</v>
      </c>
      <c r="C543" s="50" t="s">
        <v>256</v>
      </c>
      <c r="D543" s="50">
        <v>50</v>
      </c>
      <c r="E543" s="50" t="s">
        <v>559</v>
      </c>
      <c r="F543" s="50" t="s">
        <v>316</v>
      </c>
      <c r="G543" s="50" t="s">
        <v>256</v>
      </c>
      <c r="H543" s="50">
        <v>50</v>
      </c>
      <c r="M543" t="str">
        <f>IF(COUNTIF($A:$A,E543)=0,"Not Exists","Exists")</f>
        <v>Exists</v>
      </c>
      <c r="N543" t="str">
        <f t="shared" si="29"/>
        <v>Exists</v>
      </c>
      <c r="O543" t="str">
        <f t="shared" si="27"/>
        <v>Exists</v>
      </c>
      <c r="P543" t="str">
        <f t="shared" si="28"/>
        <v>Exists</v>
      </c>
    </row>
    <row r="544" spans="1:16">
      <c r="A544" s="50" t="s">
        <v>563</v>
      </c>
      <c r="B544" s="50" t="s">
        <v>448</v>
      </c>
      <c r="C544" s="50" t="s">
        <v>256</v>
      </c>
      <c r="D544" s="50">
        <v>50</v>
      </c>
      <c r="E544" s="50" t="s">
        <v>559</v>
      </c>
      <c r="F544" s="50" t="s">
        <v>317</v>
      </c>
      <c r="G544" s="50" t="s">
        <v>251</v>
      </c>
      <c r="H544" s="50">
        <v>17</v>
      </c>
      <c r="M544" t="str">
        <f>IF(COUNTIF($A:$A,E544)=0,"Not Exists","Exists")</f>
        <v>Exists</v>
      </c>
      <c r="N544" t="str">
        <f t="shared" si="29"/>
        <v>Exists</v>
      </c>
      <c r="O544" t="str">
        <f t="shared" si="27"/>
        <v>Exists</v>
      </c>
      <c r="P544" t="str">
        <f t="shared" si="28"/>
        <v>Exists</v>
      </c>
    </row>
    <row r="545" spans="1:16">
      <c r="A545" s="50" t="s">
        <v>563</v>
      </c>
      <c r="B545" s="50" t="s">
        <v>485</v>
      </c>
      <c r="C545" s="50" t="s">
        <v>256</v>
      </c>
      <c r="D545" s="50">
        <v>50</v>
      </c>
      <c r="E545" s="50" t="s">
        <v>559</v>
      </c>
      <c r="F545" s="50" t="s">
        <v>318</v>
      </c>
      <c r="G545" s="50" t="s">
        <v>256</v>
      </c>
      <c r="H545" s="50">
        <v>50</v>
      </c>
      <c r="M545" t="str">
        <f>IF(COUNTIF($A:$A,E545)=0,"Not Exists","Exists")</f>
        <v>Exists</v>
      </c>
      <c r="N545" t="str">
        <f t="shared" si="29"/>
        <v>Exists</v>
      </c>
      <c r="O545" t="str">
        <f t="shared" si="27"/>
        <v>Exists</v>
      </c>
      <c r="P545" t="str">
        <f t="shared" si="28"/>
        <v>Exists</v>
      </c>
    </row>
    <row r="546" spans="1:16">
      <c r="A546" s="50" t="s">
        <v>563</v>
      </c>
      <c r="B546" s="50" t="s">
        <v>457</v>
      </c>
      <c r="C546" s="50" t="s">
        <v>254</v>
      </c>
      <c r="D546" s="50">
        <v>22</v>
      </c>
      <c r="E546" s="50" t="s">
        <v>561</v>
      </c>
      <c r="F546" s="50" t="s">
        <v>447</v>
      </c>
      <c r="G546" s="50" t="s">
        <v>256</v>
      </c>
      <c r="H546" s="50">
        <v>50</v>
      </c>
      <c r="M546" t="str">
        <f>IF(COUNTIF($A:$A,E546)=0,"Not Exists","Exists")</f>
        <v>Exists</v>
      </c>
      <c r="N546" t="str">
        <f t="shared" si="29"/>
        <v>Exists</v>
      </c>
      <c r="O546" t="str">
        <f t="shared" si="27"/>
        <v>Exists</v>
      </c>
      <c r="P546" t="str">
        <f t="shared" si="28"/>
        <v>Exists</v>
      </c>
    </row>
    <row r="547" spans="1:16">
      <c r="A547" s="50" t="s">
        <v>563</v>
      </c>
      <c r="B547" s="50" t="s">
        <v>564</v>
      </c>
      <c r="C547" s="50" t="s">
        <v>254</v>
      </c>
      <c r="D547" s="50">
        <v>22</v>
      </c>
      <c r="E547" s="50" t="s">
        <v>561</v>
      </c>
      <c r="F547" s="50" t="s">
        <v>448</v>
      </c>
      <c r="G547" s="50" t="s">
        <v>256</v>
      </c>
      <c r="H547" s="50">
        <v>50</v>
      </c>
      <c r="M547" t="str">
        <f>IF(COUNTIF($A:$A,E547)=0,"Not Exists","Exists")</f>
        <v>Exists</v>
      </c>
      <c r="N547" t="str">
        <f t="shared" si="29"/>
        <v>Exists</v>
      </c>
      <c r="O547" t="str">
        <f t="shared" si="27"/>
        <v>Exists</v>
      </c>
      <c r="P547" t="str">
        <f t="shared" si="28"/>
        <v>Exists</v>
      </c>
    </row>
    <row r="548" spans="1:16">
      <c r="A548" s="50" t="s">
        <v>563</v>
      </c>
      <c r="B548" s="50" t="s">
        <v>565</v>
      </c>
      <c r="C548" s="50" t="s">
        <v>254</v>
      </c>
      <c r="D548" s="50">
        <v>22</v>
      </c>
      <c r="E548" s="50" t="s">
        <v>561</v>
      </c>
      <c r="F548" s="50" t="s">
        <v>562</v>
      </c>
      <c r="G548" s="50" t="s">
        <v>256</v>
      </c>
      <c r="H548" s="50">
        <v>50</v>
      </c>
      <c r="M548" t="str">
        <f>IF(COUNTIF($A:$A,E548)=0,"Not Exists","Exists")</f>
        <v>Exists</v>
      </c>
      <c r="N548" t="str">
        <f t="shared" si="29"/>
        <v>Exists</v>
      </c>
      <c r="O548" t="str">
        <f t="shared" si="27"/>
        <v>Exists</v>
      </c>
      <c r="P548" t="str">
        <f t="shared" si="28"/>
        <v>Exists</v>
      </c>
    </row>
    <row r="549" spans="1:16">
      <c r="A549" s="50" t="s">
        <v>563</v>
      </c>
      <c r="B549" s="50" t="s">
        <v>477</v>
      </c>
      <c r="C549" s="50" t="s">
        <v>254</v>
      </c>
      <c r="D549" s="50">
        <v>22</v>
      </c>
      <c r="E549" s="50" t="s">
        <v>561</v>
      </c>
      <c r="F549" s="50" t="s">
        <v>316</v>
      </c>
      <c r="G549" s="50" t="s">
        <v>256</v>
      </c>
      <c r="H549" s="50">
        <v>50</v>
      </c>
      <c r="M549" t="str">
        <f>IF(COUNTIF($A:$A,E549)=0,"Not Exists","Exists")</f>
        <v>Exists</v>
      </c>
      <c r="N549" t="str">
        <f t="shared" si="29"/>
        <v>Exists</v>
      </c>
      <c r="O549" t="str">
        <f t="shared" si="27"/>
        <v>Exists</v>
      </c>
      <c r="P549" t="str">
        <f t="shared" si="28"/>
        <v>Exists</v>
      </c>
    </row>
    <row r="550" spans="1:16">
      <c r="A550" s="50" t="s">
        <v>563</v>
      </c>
      <c r="B550" s="50" t="s">
        <v>566</v>
      </c>
      <c r="C550" s="50" t="s">
        <v>256</v>
      </c>
      <c r="D550" s="50">
        <v>10</v>
      </c>
      <c r="E550" s="50" t="s">
        <v>561</v>
      </c>
      <c r="F550" s="50" t="s">
        <v>315</v>
      </c>
      <c r="G550" s="50" t="s">
        <v>251</v>
      </c>
      <c r="H550" s="50">
        <v>17</v>
      </c>
      <c r="M550" t="str">
        <f>IF(COUNTIF($A:$A,E550)=0,"Not Exists","Exists")</f>
        <v>Exists</v>
      </c>
      <c r="N550" t="str">
        <f t="shared" si="29"/>
        <v>Exists</v>
      </c>
      <c r="O550" t="str">
        <f t="shared" si="27"/>
        <v>Exists</v>
      </c>
      <c r="P550" t="str">
        <f t="shared" si="28"/>
        <v>Exists</v>
      </c>
    </row>
    <row r="551" spans="1:16">
      <c r="A551" s="50" t="s">
        <v>563</v>
      </c>
      <c r="B551" s="50" t="s">
        <v>567</v>
      </c>
      <c r="C551" s="50" t="s">
        <v>254</v>
      </c>
      <c r="D551" s="50">
        <v>22</v>
      </c>
      <c r="E551" s="50" t="s">
        <v>561</v>
      </c>
      <c r="F551" s="50" t="s">
        <v>318</v>
      </c>
      <c r="G551" s="50" t="s">
        <v>256</v>
      </c>
      <c r="H551" s="50">
        <v>50</v>
      </c>
      <c r="M551" t="str">
        <f>IF(COUNTIF($A:$A,E551)=0,"Not Exists","Exists")</f>
        <v>Exists</v>
      </c>
      <c r="N551" t="str">
        <f t="shared" si="29"/>
        <v>Exists</v>
      </c>
      <c r="O551" t="str">
        <f t="shared" si="27"/>
        <v>Exists</v>
      </c>
      <c r="P551" t="str">
        <f t="shared" si="28"/>
        <v>Exists</v>
      </c>
    </row>
    <row r="552" spans="1:16">
      <c r="A552" s="50" t="s">
        <v>563</v>
      </c>
      <c r="B552" s="50" t="s">
        <v>512</v>
      </c>
      <c r="C552" s="50" t="s">
        <v>254</v>
      </c>
      <c r="D552" s="50">
        <v>22</v>
      </c>
      <c r="E552" s="50" t="s">
        <v>561</v>
      </c>
      <c r="F552" s="50" t="s">
        <v>317</v>
      </c>
      <c r="G552" s="50" t="s">
        <v>251</v>
      </c>
      <c r="H552" s="50">
        <v>17</v>
      </c>
      <c r="M552" t="str">
        <f>IF(COUNTIF($A:$A,E552)=0,"Not Exists","Exists")</f>
        <v>Exists</v>
      </c>
      <c r="N552" t="str">
        <f t="shared" si="29"/>
        <v>Exists</v>
      </c>
      <c r="O552" t="str">
        <f t="shared" si="27"/>
        <v>Exists</v>
      </c>
      <c r="P552" t="str">
        <f t="shared" si="28"/>
        <v>Exists</v>
      </c>
    </row>
    <row r="553" spans="1:16">
      <c r="A553" s="50" t="s">
        <v>563</v>
      </c>
      <c r="B553" s="50" t="s">
        <v>515</v>
      </c>
      <c r="C553" s="50" t="s">
        <v>256</v>
      </c>
      <c r="D553" s="50">
        <v>1000</v>
      </c>
      <c r="E553" s="50" t="s">
        <v>563</v>
      </c>
      <c r="F553" s="50" t="s">
        <v>462</v>
      </c>
      <c r="G553" s="50" t="s">
        <v>256</v>
      </c>
      <c r="H553" s="50">
        <v>8</v>
      </c>
      <c r="M553" t="str">
        <f>IF(COUNTIF($A:$A,E553)=0,"Not Exists","Exists")</f>
        <v>Exists</v>
      </c>
      <c r="N553" t="str">
        <f t="shared" si="29"/>
        <v>Exists</v>
      </c>
      <c r="O553" t="str">
        <f t="shared" si="27"/>
        <v>Exists</v>
      </c>
      <c r="P553" t="str">
        <f t="shared" si="28"/>
        <v>Exists</v>
      </c>
    </row>
    <row r="554" spans="1:16">
      <c r="A554" s="50" t="s">
        <v>563</v>
      </c>
      <c r="B554" s="50" t="s">
        <v>460</v>
      </c>
      <c r="C554" s="50" t="s">
        <v>461</v>
      </c>
      <c r="D554" s="50">
        <v>11</v>
      </c>
      <c r="E554" s="50" t="s">
        <v>563</v>
      </c>
      <c r="F554" s="50" t="s">
        <v>447</v>
      </c>
      <c r="G554" s="50" t="s">
        <v>256</v>
      </c>
      <c r="H554" s="50">
        <v>50</v>
      </c>
      <c r="M554" t="str">
        <f>IF(COUNTIF($A:$A,E554)=0,"Not Exists","Exists")</f>
        <v>Exists</v>
      </c>
      <c r="N554" t="str">
        <f t="shared" si="29"/>
        <v>Exists</v>
      </c>
      <c r="O554" t="str">
        <f t="shared" si="27"/>
        <v>Exists</v>
      </c>
      <c r="P554" t="str">
        <f t="shared" si="28"/>
        <v>Exists</v>
      </c>
    </row>
    <row r="555" spans="1:16">
      <c r="A555" s="50" t="s">
        <v>563</v>
      </c>
      <c r="B555" s="50" t="s">
        <v>480</v>
      </c>
      <c r="C555" s="50" t="s">
        <v>461</v>
      </c>
      <c r="D555" s="50">
        <v>11</v>
      </c>
      <c r="E555" s="50" t="s">
        <v>563</v>
      </c>
      <c r="F555" s="50" t="s">
        <v>448</v>
      </c>
      <c r="G555" s="50" t="s">
        <v>256</v>
      </c>
      <c r="H555" s="50">
        <v>50</v>
      </c>
      <c r="M555" t="str">
        <f>IF(COUNTIF($A:$A,E555)=0,"Not Exists","Exists")</f>
        <v>Exists</v>
      </c>
      <c r="N555" t="str">
        <f t="shared" si="29"/>
        <v>Exists</v>
      </c>
      <c r="O555" t="str">
        <f t="shared" si="27"/>
        <v>Exists</v>
      </c>
      <c r="P555" t="str">
        <f t="shared" si="28"/>
        <v>Exists</v>
      </c>
    </row>
    <row r="556" spans="1:16">
      <c r="A556" s="50" t="s">
        <v>563</v>
      </c>
      <c r="B556" s="50" t="s">
        <v>568</v>
      </c>
      <c r="C556" s="50" t="s">
        <v>256</v>
      </c>
      <c r="D556" s="50">
        <v>4000</v>
      </c>
      <c r="E556" s="50" t="s">
        <v>563</v>
      </c>
      <c r="F556" s="50" t="s">
        <v>457</v>
      </c>
      <c r="G556" s="50" t="s">
        <v>254</v>
      </c>
      <c r="H556" s="50">
        <v>22</v>
      </c>
      <c r="M556" t="str">
        <f>IF(COUNTIF($A:$A,E556)=0,"Not Exists","Exists")</f>
        <v>Exists</v>
      </c>
      <c r="N556" t="str">
        <f t="shared" si="29"/>
        <v>Exists</v>
      </c>
      <c r="O556" t="str">
        <f t="shared" si="27"/>
        <v>Exists</v>
      </c>
      <c r="P556" t="str">
        <f t="shared" si="28"/>
        <v>Exists</v>
      </c>
    </row>
    <row r="557" spans="1:16">
      <c r="A557" s="50" t="s">
        <v>563</v>
      </c>
      <c r="B557" s="50" t="s">
        <v>569</v>
      </c>
      <c r="C557" s="50" t="s">
        <v>254</v>
      </c>
      <c r="D557" s="50">
        <v>22</v>
      </c>
      <c r="E557" s="50" t="s">
        <v>563</v>
      </c>
      <c r="F557" s="50" t="s">
        <v>318</v>
      </c>
      <c r="G557" s="50" t="s">
        <v>256</v>
      </c>
      <c r="H557" s="50">
        <v>50</v>
      </c>
      <c r="M557" t="str">
        <f>IF(COUNTIF($A:$A,E557)=0,"Not Exists","Exists")</f>
        <v>Exists</v>
      </c>
      <c r="N557" t="str">
        <f t="shared" si="29"/>
        <v>Exists</v>
      </c>
      <c r="O557" t="str">
        <f t="shared" si="27"/>
        <v>Exists</v>
      </c>
      <c r="P557" t="str">
        <f t="shared" si="28"/>
        <v>Exists</v>
      </c>
    </row>
    <row r="558" spans="1:16">
      <c r="A558" s="50" t="s">
        <v>563</v>
      </c>
      <c r="B558" s="50" t="s">
        <v>570</v>
      </c>
      <c r="C558" s="50" t="s">
        <v>256</v>
      </c>
      <c r="D558" s="50">
        <v>2</v>
      </c>
      <c r="E558" s="50" t="s">
        <v>563</v>
      </c>
      <c r="F558" s="50" t="s">
        <v>317</v>
      </c>
      <c r="G558" s="50" t="s">
        <v>251</v>
      </c>
      <c r="H558" s="50">
        <v>17</v>
      </c>
      <c r="M558" t="str">
        <f>IF(COUNTIF($A:$A,E558)=0,"Not Exists","Exists")</f>
        <v>Exists</v>
      </c>
      <c r="N558" t="str">
        <f t="shared" si="29"/>
        <v>Exists</v>
      </c>
      <c r="O558" t="str">
        <f t="shared" si="27"/>
        <v>Exists</v>
      </c>
      <c r="P558" t="str">
        <f t="shared" si="28"/>
        <v>Exists</v>
      </c>
    </row>
    <row r="559" spans="1:16">
      <c r="A559" s="50" t="s">
        <v>563</v>
      </c>
      <c r="B559" s="50" t="s">
        <v>462</v>
      </c>
      <c r="C559" s="50" t="s">
        <v>256</v>
      </c>
      <c r="D559" s="50">
        <v>8</v>
      </c>
      <c r="E559" s="50" t="s">
        <v>563</v>
      </c>
      <c r="F559" s="50" t="s">
        <v>316</v>
      </c>
      <c r="G559" s="50" t="s">
        <v>256</v>
      </c>
      <c r="H559" s="50">
        <v>50</v>
      </c>
      <c r="M559" t="str">
        <f>IF(COUNTIF($A:$A,E559)=0,"Not Exists","Exists")</f>
        <v>Exists</v>
      </c>
      <c r="N559" t="str">
        <f t="shared" si="29"/>
        <v>Exists</v>
      </c>
      <c r="O559" t="str">
        <f t="shared" si="27"/>
        <v>Exists</v>
      </c>
      <c r="P559" t="str">
        <f t="shared" si="28"/>
        <v>Exists</v>
      </c>
    </row>
    <row r="560" spans="1:16">
      <c r="A560" s="50" t="s">
        <v>563</v>
      </c>
      <c r="B560" s="50" t="s">
        <v>456</v>
      </c>
      <c r="C560" s="50" t="s">
        <v>254</v>
      </c>
      <c r="D560" s="50">
        <v>22</v>
      </c>
      <c r="E560" s="50" t="s">
        <v>563</v>
      </c>
      <c r="F560" s="50" t="s">
        <v>315</v>
      </c>
      <c r="G560" s="50" t="s">
        <v>251</v>
      </c>
      <c r="H560" s="50">
        <v>17</v>
      </c>
      <c r="M560" t="str">
        <f>IF(COUNTIF($A:$A,E560)=0,"Not Exists","Exists")</f>
        <v>Exists</v>
      </c>
      <c r="N560" t="str">
        <f t="shared" si="29"/>
        <v>Exists</v>
      </c>
      <c r="O560" t="str">
        <f t="shared" si="27"/>
        <v>Exists</v>
      </c>
      <c r="P560" t="str">
        <f t="shared" si="28"/>
        <v>Exists</v>
      </c>
    </row>
    <row r="561" spans="1:16">
      <c r="A561" s="50" t="s">
        <v>563</v>
      </c>
      <c r="B561" s="50" t="s">
        <v>481</v>
      </c>
      <c r="C561" s="50" t="s">
        <v>254</v>
      </c>
      <c r="D561" s="50">
        <v>22</v>
      </c>
      <c r="E561" s="50" t="s">
        <v>563</v>
      </c>
      <c r="F561" s="50" t="s">
        <v>485</v>
      </c>
      <c r="G561" s="50" t="s">
        <v>256</v>
      </c>
      <c r="H561" s="50">
        <v>50</v>
      </c>
      <c r="M561" t="str">
        <f>IF(COUNTIF($A:$A,E561)=0,"Not Exists","Exists")</f>
        <v>Exists</v>
      </c>
      <c r="N561" t="str">
        <f t="shared" si="29"/>
        <v>Exists</v>
      </c>
      <c r="O561" t="str">
        <f t="shared" si="27"/>
        <v>Exists</v>
      </c>
      <c r="P561" t="str">
        <f t="shared" si="28"/>
        <v>Exists</v>
      </c>
    </row>
    <row r="562" spans="1:16">
      <c r="A562" s="50" t="s">
        <v>563</v>
      </c>
      <c r="B562" s="50" t="s">
        <v>571</v>
      </c>
      <c r="C562" s="50" t="s">
        <v>256</v>
      </c>
      <c r="D562" s="50">
        <v>4000</v>
      </c>
      <c r="E562" s="50" t="s">
        <v>563</v>
      </c>
      <c r="F562" s="50" t="s">
        <v>564</v>
      </c>
      <c r="G562" s="50" t="s">
        <v>254</v>
      </c>
      <c r="H562" s="50">
        <v>22</v>
      </c>
      <c r="M562" t="str">
        <f>IF(COUNTIF($A:$A,E562)=0,"Not Exists","Exists")</f>
        <v>Exists</v>
      </c>
      <c r="N562" t="str">
        <f t="shared" si="29"/>
        <v>Exists</v>
      </c>
      <c r="O562" t="str">
        <f t="shared" si="27"/>
        <v>Exists</v>
      </c>
      <c r="P562" t="str">
        <f t="shared" si="28"/>
        <v>Exists</v>
      </c>
    </row>
    <row r="563" spans="1:16">
      <c r="A563" s="50" t="s">
        <v>563</v>
      </c>
      <c r="B563" s="50" t="s">
        <v>507</v>
      </c>
      <c r="C563" s="50" t="s">
        <v>256</v>
      </c>
      <c r="D563" s="50">
        <v>20</v>
      </c>
      <c r="E563" s="50" t="s">
        <v>563</v>
      </c>
      <c r="F563" s="50" t="s">
        <v>565</v>
      </c>
      <c r="G563" s="50" t="s">
        <v>254</v>
      </c>
      <c r="H563" s="50">
        <v>22</v>
      </c>
      <c r="M563" t="str">
        <f>IF(COUNTIF($A:$A,E563)=0,"Not Exists","Exists")</f>
        <v>Exists</v>
      </c>
      <c r="N563" t="str">
        <f t="shared" si="29"/>
        <v>Exists</v>
      </c>
      <c r="O563" t="str">
        <f t="shared" si="27"/>
        <v>Exists</v>
      </c>
      <c r="P563" t="str">
        <f t="shared" si="28"/>
        <v>Exists</v>
      </c>
    </row>
    <row r="564" spans="1:16">
      <c r="A564" s="50" t="s">
        <v>563</v>
      </c>
      <c r="B564" s="50" t="s">
        <v>508</v>
      </c>
      <c r="C564" s="50" t="s">
        <v>256</v>
      </c>
      <c r="D564" s="50">
        <v>1000</v>
      </c>
      <c r="E564" s="50" t="s">
        <v>563</v>
      </c>
      <c r="F564" s="50" t="s">
        <v>477</v>
      </c>
      <c r="G564" s="50" t="s">
        <v>254</v>
      </c>
      <c r="H564" s="50">
        <v>22</v>
      </c>
      <c r="M564" t="str">
        <f>IF(COUNTIF($A:$A,E564)=0,"Not Exists","Exists")</f>
        <v>Exists</v>
      </c>
      <c r="N564" t="str">
        <f t="shared" si="29"/>
        <v>Exists</v>
      </c>
      <c r="O564" t="str">
        <f t="shared" si="27"/>
        <v>Exists</v>
      </c>
      <c r="P564" t="str">
        <f t="shared" si="28"/>
        <v>Exists</v>
      </c>
    </row>
    <row r="565" spans="1:16">
      <c r="A565" s="50" t="s">
        <v>563</v>
      </c>
      <c r="B565" s="50" t="s">
        <v>509</v>
      </c>
      <c r="C565" s="50" t="s">
        <v>256</v>
      </c>
      <c r="D565" s="50">
        <v>4000</v>
      </c>
      <c r="E565" s="50" t="s">
        <v>563</v>
      </c>
      <c r="F565" s="50" t="s">
        <v>566</v>
      </c>
      <c r="G565" s="50" t="s">
        <v>256</v>
      </c>
      <c r="H565" s="50">
        <v>10</v>
      </c>
      <c r="M565" t="str">
        <f>IF(COUNTIF($A:$A,E565)=0,"Not Exists","Exists")</f>
        <v>Exists</v>
      </c>
      <c r="N565" t="str">
        <f t="shared" si="29"/>
        <v>Exists</v>
      </c>
      <c r="O565" t="str">
        <f t="shared" si="27"/>
        <v>Exists</v>
      </c>
      <c r="P565" t="str">
        <f t="shared" si="28"/>
        <v>Exists</v>
      </c>
    </row>
    <row r="566" spans="1:16">
      <c r="A566" s="50" t="s">
        <v>563</v>
      </c>
      <c r="B566" s="50" t="s">
        <v>572</v>
      </c>
      <c r="C566" s="50" t="s">
        <v>256</v>
      </c>
      <c r="D566" s="50">
        <v>10</v>
      </c>
      <c r="E566" s="50" t="s">
        <v>563</v>
      </c>
      <c r="F566" s="50" t="s">
        <v>567</v>
      </c>
      <c r="G566" s="50" t="s">
        <v>254</v>
      </c>
      <c r="H566" s="50">
        <v>22</v>
      </c>
      <c r="M566" t="str">
        <f>IF(COUNTIF($A:$A,E566)=0,"Not Exists","Exists")</f>
        <v>Exists</v>
      </c>
      <c r="N566" t="str">
        <f t="shared" si="29"/>
        <v>Exists</v>
      </c>
      <c r="O566" t="str">
        <f t="shared" si="27"/>
        <v>Exists</v>
      </c>
      <c r="P566" t="str">
        <f t="shared" si="28"/>
        <v>Exists</v>
      </c>
    </row>
    <row r="567" spans="1:16">
      <c r="A567" s="50" t="s">
        <v>563</v>
      </c>
      <c r="B567" s="50" t="s">
        <v>573</v>
      </c>
      <c r="C567" s="50" t="s">
        <v>256</v>
      </c>
      <c r="D567" s="50">
        <v>15</v>
      </c>
      <c r="E567" s="50" t="s">
        <v>563</v>
      </c>
      <c r="F567" s="50" t="s">
        <v>512</v>
      </c>
      <c r="G567" s="50" t="s">
        <v>254</v>
      </c>
      <c r="H567" s="50">
        <v>22</v>
      </c>
      <c r="M567" t="str">
        <f>IF(COUNTIF($A:$A,E567)=0,"Not Exists","Exists")</f>
        <v>Exists</v>
      </c>
      <c r="N567" t="str">
        <f t="shared" si="29"/>
        <v>Exists</v>
      </c>
      <c r="O567" t="str">
        <f t="shared" si="27"/>
        <v>Exists</v>
      </c>
      <c r="P567" t="str">
        <f t="shared" si="28"/>
        <v>Exists</v>
      </c>
    </row>
    <row r="568" spans="1:16">
      <c r="A568" s="50" t="s">
        <v>563</v>
      </c>
      <c r="B568" s="50" t="s">
        <v>318</v>
      </c>
      <c r="C568" s="50" t="s">
        <v>256</v>
      </c>
      <c r="D568" s="50">
        <v>50</v>
      </c>
      <c r="E568" s="50" t="s">
        <v>563</v>
      </c>
      <c r="F568" s="50" t="s">
        <v>515</v>
      </c>
      <c r="G568" s="50" t="s">
        <v>256</v>
      </c>
      <c r="H568" s="50">
        <v>1000</v>
      </c>
      <c r="M568" t="str">
        <f>IF(COUNTIF($A:$A,E568)=0,"Not Exists","Exists")</f>
        <v>Exists</v>
      </c>
      <c r="N568" t="str">
        <f t="shared" si="29"/>
        <v>Exists</v>
      </c>
      <c r="O568" t="str">
        <f t="shared" si="27"/>
        <v>Exists</v>
      </c>
      <c r="P568" t="str">
        <f t="shared" si="28"/>
        <v>Exists</v>
      </c>
    </row>
    <row r="569" spans="1:16">
      <c r="A569" s="50" t="s">
        <v>563</v>
      </c>
      <c r="B569" s="50" t="s">
        <v>317</v>
      </c>
      <c r="C569" s="50" t="s">
        <v>251</v>
      </c>
      <c r="D569" s="50">
        <v>17</v>
      </c>
      <c r="E569" s="50" t="s">
        <v>563</v>
      </c>
      <c r="F569" s="50" t="s">
        <v>460</v>
      </c>
      <c r="G569" s="50" t="s">
        <v>461</v>
      </c>
      <c r="H569" s="50">
        <v>11</v>
      </c>
      <c r="M569" t="str">
        <f>IF(COUNTIF($A:$A,E569)=0,"Not Exists","Exists")</f>
        <v>Exists</v>
      </c>
      <c r="N569" t="str">
        <f t="shared" si="29"/>
        <v>Exists</v>
      </c>
      <c r="O569" t="str">
        <f t="shared" si="27"/>
        <v>Exists</v>
      </c>
      <c r="P569" t="str">
        <f t="shared" si="28"/>
        <v>Exists</v>
      </c>
    </row>
    <row r="570" spans="1:16">
      <c r="A570" s="50" t="s">
        <v>563</v>
      </c>
      <c r="B570" s="50" t="s">
        <v>316</v>
      </c>
      <c r="C570" s="50" t="s">
        <v>256</v>
      </c>
      <c r="D570" s="50">
        <v>50</v>
      </c>
      <c r="E570" s="50" t="s">
        <v>563</v>
      </c>
      <c r="F570" s="50" t="s">
        <v>480</v>
      </c>
      <c r="G570" s="50" t="s">
        <v>461</v>
      </c>
      <c r="H570" s="50">
        <v>11</v>
      </c>
      <c r="M570" t="str">
        <f>IF(COUNTIF($A:$A,E570)=0,"Not Exists","Exists")</f>
        <v>Exists</v>
      </c>
      <c r="N570" t="str">
        <f t="shared" si="29"/>
        <v>Exists</v>
      </c>
      <c r="O570" t="str">
        <f t="shared" si="27"/>
        <v>Exists</v>
      </c>
      <c r="P570" t="str">
        <f t="shared" si="28"/>
        <v>Exists</v>
      </c>
    </row>
    <row r="571" spans="1:16">
      <c r="A571" s="50" t="s">
        <v>563</v>
      </c>
      <c r="B571" s="50" t="s">
        <v>315</v>
      </c>
      <c r="C571" s="50" t="s">
        <v>251</v>
      </c>
      <c r="D571" s="50">
        <v>17</v>
      </c>
      <c r="E571" s="50" t="s">
        <v>563</v>
      </c>
      <c r="F571" s="50" t="s">
        <v>568</v>
      </c>
      <c r="G571" s="50" t="s">
        <v>256</v>
      </c>
      <c r="H571" s="50">
        <v>4000</v>
      </c>
      <c r="M571" t="str">
        <f>IF(COUNTIF($A:$A,E571)=0,"Not Exists","Exists")</f>
        <v>Exists</v>
      </c>
      <c r="N571" t="str">
        <f t="shared" si="29"/>
        <v>Exists</v>
      </c>
      <c r="O571" t="str">
        <f t="shared" si="27"/>
        <v>Exists</v>
      </c>
      <c r="P571" t="str">
        <f t="shared" si="28"/>
        <v>Exists</v>
      </c>
    </row>
    <row r="572" spans="1:16">
      <c r="A572" s="50" t="s">
        <v>563</v>
      </c>
      <c r="B572" s="50" t="s">
        <v>436</v>
      </c>
      <c r="C572" s="50" t="s">
        <v>256</v>
      </c>
      <c r="D572" s="50">
        <v>50</v>
      </c>
      <c r="E572" s="50" t="s">
        <v>563</v>
      </c>
      <c r="F572" s="50" t="s">
        <v>569</v>
      </c>
      <c r="G572" s="50" t="s">
        <v>254</v>
      </c>
      <c r="H572" s="50">
        <v>22</v>
      </c>
      <c r="M572" t="str">
        <f>IF(COUNTIF($A:$A,E572)=0,"Not Exists","Exists")</f>
        <v>Exists</v>
      </c>
      <c r="N572" t="str">
        <f t="shared" si="29"/>
        <v>Exists</v>
      </c>
      <c r="O572" t="str">
        <f t="shared" si="27"/>
        <v>Exists</v>
      </c>
      <c r="P572" t="str">
        <f t="shared" si="28"/>
        <v>Not Exists</v>
      </c>
    </row>
    <row r="573" spans="1:16">
      <c r="A573" s="50" t="s">
        <v>563</v>
      </c>
      <c r="B573" s="50" t="s">
        <v>522</v>
      </c>
      <c r="C573" s="50" t="s">
        <v>254</v>
      </c>
      <c r="D573" s="50">
        <v>22</v>
      </c>
      <c r="E573" s="50" t="s">
        <v>563</v>
      </c>
      <c r="F573" s="50" t="s">
        <v>570</v>
      </c>
      <c r="G573" s="50" t="s">
        <v>256</v>
      </c>
      <c r="H573" s="50">
        <v>2</v>
      </c>
      <c r="M573" t="str">
        <f>IF(COUNTIF($A:$A,E573)=0,"Not Exists","Exists")</f>
        <v>Exists</v>
      </c>
      <c r="N573" t="str">
        <f t="shared" si="29"/>
        <v>Exists</v>
      </c>
      <c r="O573" t="str">
        <f t="shared" si="27"/>
        <v>Exists</v>
      </c>
      <c r="P573" t="str">
        <f t="shared" si="28"/>
        <v>Exists</v>
      </c>
    </row>
    <row r="574" spans="1:16">
      <c r="A574" s="50" t="s">
        <v>574</v>
      </c>
      <c r="B574" s="50" t="s">
        <v>447</v>
      </c>
      <c r="C574" s="50" t="s">
        <v>256</v>
      </c>
      <c r="D574" s="50">
        <v>50</v>
      </c>
      <c r="E574" s="50" t="s">
        <v>563</v>
      </c>
      <c r="F574" s="50" t="s">
        <v>456</v>
      </c>
      <c r="G574" s="50" t="s">
        <v>254</v>
      </c>
      <c r="H574" s="50">
        <v>22</v>
      </c>
      <c r="M574" t="str">
        <f>IF(COUNTIF($A:$A,E574)=0,"Not Exists","Exists")</f>
        <v>Exists</v>
      </c>
      <c r="N574" t="str">
        <f t="shared" si="29"/>
        <v>Exists</v>
      </c>
      <c r="O574" t="str">
        <f t="shared" si="27"/>
        <v>Exists</v>
      </c>
      <c r="P574" t="str">
        <f t="shared" si="28"/>
        <v>Exists</v>
      </c>
    </row>
    <row r="575" spans="1:16">
      <c r="A575" s="50" t="s">
        <v>574</v>
      </c>
      <c r="B575" s="50" t="s">
        <v>448</v>
      </c>
      <c r="C575" s="50" t="s">
        <v>256</v>
      </c>
      <c r="D575" s="50">
        <v>50</v>
      </c>
      <c r="E575" s="50" t="s">
        <v>563</v>
      </c>
      <c r="F575" s="50" t="s">
        <v>481</v>
      </c>
      <c r="G575" s="50" t="s">
        <v>254</v>
      </c>
      <c r="H575" s="50">
        <v>22</v>
      </c>
      <c r="M575" t="str">
        <f>IF(COUNTIF($A:$A,E575)=0,"Not Exists","Exists")</f>
        <v>Exists</v>
      </c>
      <c r="N575" t="str">
        <f t="shared" si="29"/>
        <v>Exists</v>
      </c>
      <c r="O575" t="str">
        <f t="shared" si="27"/>
        <v>Exists</v>
      </c>
      <c r="P575" t="str">
        <f t="shared" si="28"/>
        <v>Exists</v>
      </c>
    </row>
    <row r="576" spans="1:16">
      <c r="A576" s="50" t="s">
        <v>574</v>
      </c>
      <c r="B576" s="50" t="s">
        <v>575</v>
      </c>
      <c r="C576" s="50" t="s">
        <v>256</v>
      </c>
      <c r="D576" s="50">
        <v>500</v>
      </c>
      <c r="E576" s="50" t="s">
        <v>563</v>
      </c>
      <c r="F576" s="50" t="s">
        <v>571</v>
      </c>
      <c r="G576" s="50" t="s">
        <v>256</v>
      </c>
      <c r="H576" s="50">
        <v>4000</v>
      </c>
      <c r="M576" t="str">
        <f>IF(COUNTIF($A:$A,E576)=0,"Not Exists","Exists")</f>
        <v>Exists</v>
      </c>
      <c r="N576" t="str">
        <f t="shared" si="29"/>
        <v>Exists</v>
      </c>
      <c r="O576" t="str">
        <f t="shared" si="27"/>
        <v>Exists</v>
      </c>
      <c r="P576" t="str">
        <f t="shared" si="28"/>
        <v>Exists</v>
      </c>
    </row>
    <row r="577" spans="1:16">
      <c r="A577" s="50" t="s">
        <v>574</v>
      </c>
      <c r="B577" s="50" t="s">
        <v>576</v>
      </c>
      <c r="C577" s="50" t="s">
        <v>256</v>
      </c>
      <c r="D577" s="50">
        <v>500</v>
      </c>
      <c r="E577" s="50" t="s">
        <v>563</v>
      </c>
      <c r="F577" s="50" t="s">
        <v>507</v>
      </c>
      <c r="G577" s="50" t="s">
        <v>256</v>
      </c>
      <c r="H577" s="50">
        <v>20</v>
      </c>
      <c r="M577" t="str">
        <f>IF(COUNTIF($A:$A,E577)=0,"Not Exists","Exists")</f>
        <v>Exists</v>
      </c>
      <c r="N577" t="str">
        <f t="shared" si="29"/>
        <v>Exists</v>
      </c>
      <c r="O577" t="str">
        <f t="shared" si="27"/>
        <v>Exists</v>
      </c>
      <c r="P577" t="str">
        <f t="shared" si="28"/>
        <v>Exists</v>
      </c>
    </row>
    <row r="578" spans="1:16">
      <c r="A578" s="50" t="s">
        <v>574</v>
      </c>
      <c r="B578" s="50" t="s">
        <v>577</v>
      </c>
      <c r="C578" s="50" t="s">
        <v>256</v>
      </c>
      <c r="D578" s="50">
        <v>2</v>
      </c>
      <c r="E578" s="50" t="s">
        <v>563</v>
      </c>
      <c r="F578" s="50" t="s">
        <v>508</v>
      </c>
      <c r="G578" s="50" t="s">
        <v>256</v>
      </c>
      <c r="H578" s="50">
        <v>1000</v>
      </c>
      <c r="M578" t="str">
        <f>IF(COUNTIF($A:$A,E578)=0,"Not Exists","Exists")</f>
        <v>Exists</v>
      </c>
      <c r="N578" t="str">
        <f t="shared" si="29"/>
        <v>Exists</v>
      </c>
      <c r="O578" t="str">
        <f t="shared" si="27"/>
        <v>Exists</v>
      </c>
      <c r="P578" t="str">
        <f t="shared" si="28"/>
        <v>Exists</v>
      </c>
    </row>
    <row r="579" spans="1:16">
      <c r="A579" s="50" t="s">
        <v>574</v>
      </c>
      <c r="B579" s="50" t="s">
        <v>578</v>
      </c>
      <c r="C579" s="50" t="s">
        <v>256</v>
      </c>
      <c r="D579" s="50">
        <v>50</v>
      </c>
      <c r="E579" s="50" t="s">
        <v>563</v>
      </c>
      <c r="F579" s="50" t="s">
        <v>509</v>
      </c>
      <c r="G579" s="50" t="s">
        <v>256</v>
      </c>
      <c r="H579" s="50">
        <v>4000</v>
      </c>
      <c r="M579" t="str">
        <f>IF(COUNTIF($A:$A,E579)=0,"Not Exists","Exists")</f>
        <v>Exists</v>
      </c>
      <c r="N579" t="str">
        <f t="shared" si="29"/>
        <v>Exists</v>
      </c>
      <c r="O579" t="str">
        <f t="shared" si="27"/>
        <v>Exists</v>
      </c>
      <c r="P579" t="str">
        <f t="shared" si="28"/>
        <v>Exists</v>
      </c>
    </row>
    <row r="580" spans="1:16">
      <c r="A580" s="50" t="s">
        <v>574</v>
      </c>
      <c r="B580" s="50" t="s">
        <v>318</v>
      </c>
      <c r="C580" s="50" t="s">
        <v>256</v>
      </c>
      <c r="D580" s="50">
        <v>50</v>
      </c>
      <c r="E580" s="50" t="s">
        <v>563</v>
      </c>
      <c r="F580" s="50" t="s">
        <v>572</v>
      </c>
      <c r="G580" s="50" t="s">
        <v>256</v>
      </c>
      <c r="H580" s="50">
        <v>10</v>
      </c>
      <c r="M580" t="str">
        <f>IF(COUNTIF($A:$A,E580)=0,"Not Exists","Exists")</f>
        <v>Exists</v>
      </c>
      <c r="N580" t="str">
        <f t="shared" si="29"/>
        <v>Exists</v>
      </c>
      <c r="O580" t="str">
        <f t="shared" ref="O580:O643" si="30">IF(COUNTIF($E:$E,A580)=0,"Not Exists","Exists")</f>
        <v>Exists</v>
      </c>
      <c r="P580" t="str">
        <f t="shared" ref="P580:P643" si="31">IF(COUNTIF($F:$F,B580)=0,"Not Exists","Exists")</f>
        <v>Exists</v>
      </c>
    </row>
    <row r="581" spans="1:16">
      <c r="A581" s="50" t="s">
        <v>574</v>
      </c>
      <c r="B581" s="50" t="s">
        <v>317</v>
      </c>
      <c r="C581" s="50" t="s">
        <v>251</v>
      </c>
      <c r="D581" s="50">
        <v>17</v>
      </c>
      <c r="E581" s="50" t="s">
        <v>563</v>
      </c>
      <c r="F581" s="50" t="s">
        <v>573</v>
      </c>
      <c r="G581" s="50" t="s">
        <v>256</v>
      </c>
      <c r="H581" s="50">
        <v>15</v>
      </c>
      <c r="M581" t="str">
        <f>IF(COUNTIF($A:$A,E581)=0,"Not Exists","Exists")</f>
        <v>Exists</v>
      </c>
      <c r="N581" t="str">
        <f t="shared" si="29"/>
        <v>Exists</v>
      </c>
      <c r="O581" t="str">
        <f t="shared" si="30"/>
        <v>Exists</v>
      </c>
      <c r="P581" t="str">
        <f t="shared" si="31"/>
        <v>Exists</v>
      </c>
    </row>
    <row r="582" spans="1:16">
      <c r="A582" s="50" t="s">
        <v>574</v>
      </c>
      <c r="B582" s="50" t="s">
        <v>316</v>
      </c>
      <c r="C582" s="50" t="s">
        <v>256</v>
      </c>
      <c r="D582" s="50">
        <v>50</v>
      </c>
      <c r="E582" s="50" t="s">
        <v>563</v>
      </c>
      <c r="F582" s="50" t="s">
        <v>522</v>
      </c>
      <c r="G582" s="50" t="s">
        <v>254</v>
      </c>
      <c r="H582" s="50">
        <v>22</v>
      </c>
      <c r="M582" t="str">
        <f>IF(COUNTIF($A:$A,E582)=0,"Not Exists","Exists")</f>
        <v>Exists</v>
      </c>
      <c r="N582" t="str">
        <f t="shared" si="29"/>
        <v>Exists</v>
      </c>
      <c r="O582" t="str">
        <f t="shared" si="30"/>
        <v>Exists</v>
      </c>
      <c r="P582" t="str">
        <f t="shared" si="31"/>
        <v>Exists</v>
      </c>
    </row>
    <row r="583" spans="1:16">
      <c r="A583" s="50" t="s">
        <v>574</v>
      </c>
      <c r="B583" s="50" t="s">
        <v>315</v>
      </c>
      <c r="C583" s="50" t="s">
        <v>251</v>
      </c>
      <c r="D583" s="50">
        <v>17</v>
      </c>
      <c r="E583" s="50" t="s">
        <v>574</v>
      </c>
      <c r="F583" s="50" t="s">
        <v>447</v>
      </c>
      <c r="G583" s="50" t="s">
        <v>256</v>
      </c>
      <c r="H583" s="50">
        <v>50</v>
      </c>
      <c r="M583" t="str">
        <f>IF(COUNTIF($A:$A,E583)=0,"Not Exists","Exists")</f>
        <v>Exists</v>
      </c>
      <c r="N583" t="str">
        <f t="shared" si="29"/>
        <v>Exists</v>
      </c>
      <c r="O583" t="str">
        <f t="shared" si="30"/>
        <v>Exists</v>
      </c>
      <c r="P583" t="str">
        <f t="shared" si="31"/>
        <v>Exists</v>
      </c>
    </row>
    <row r="584" spans="1:16">
      <c r="A584" s="50" t="s">
        <v>574</v>
      </c>
      <c r="B584" s="50" t="s">
        <v>436</v>
      </c>
      <c r="C584" s="50" t="s">
        <v>256</v>
      </c>
      <c r="D584" s="50">
        <v>50</v>
      </c>
      <c r="E584" s="50" t="s">
        <v>574</v>
      </c>
      <c r="F584" s="50" t="s">
        <v>448</v>
      </c>
      <c r="G584" s="50" t="s">
        <v>256</v>
      </c>
      <c r="H584" s="50">
        <v>50</v>
      </c>
      <c r="M584" t="str">
        <f>IF(COUNTIF($A:$A,E584)=0,"Not Exists","Exists")</f>
        <v>Exists</v>
      </c>
      <c r="N584" t="str">
        <f t="shared" si="29"/>
        <v>Exists</v>
      </c>
      <c r="O584" t="str">
        <f t="shared" si="30"/>
        <v>Exists</v>
      </c>
      <c r="P584" t="str">
        <f t="shared" si="31"/>
        <v>Not Exists</v>
      </c>
    </row>
    <row r="585" spans="1:16">
      <c r="A585" s="50" t="s">
        <v>574</v>
      </c>
      <c r="B585" s="50" t="s">
        <v>579</v>
      </c>
      <c r="C585" s="50" t="s">
        <v>256</v>
      </c>
      <c r="D585" s="50">
        <v>1</v>
      </c>
      <c r="E585" s="50" t="s">
        <v>574</v>
      </c>
      <c r="F585" s="50" t="s">
        <v>575</v>
      </c>
      <c r="G585" s="50" t="s">
        <v>256</v>
      </c>
      <c r="H585" s="50">
        <v>500</v>
      </c>
      <c r="M585" t="str">
        <f>IF(COUNTIF($A:$A,E585)=0,"Not Exists","Exists")</f>
        <v>Exists</v>
      </c>
      <c r="N585" t="str">
        <f t="shared" si="29"/>
        <v>Exists</v>
      </c>
      <c r="O585" t="str">
        <f t="shared" si="30"/>
        <v>Exists</v>
      </c>
      <c r="P585" t="str">
        <f t="shared" si="31"/>
        <v>Exists</v>
      </c>
    </row>
    <row r="586" spans="1:16">
      <c r="A586" s="50" t="s">
        <v>574</v>
      </c>
      <c r="B586" s="50" t="s">
        <v>580</v>
      </c>
      <c r="C586" s="50" t="s">
        <v>256</v>
      </c>
      <c r="D586" s="50">
        <v>50</v>
      </c>
      <c r="E586" s="50" t="s">
        <v>574</v>
      </c>
      <c r="F586" s="50" t="s">
        <v>576</v>
      </c>
      <c r="G586" s="50" t="s">
        <v>256</v>
      </c>
      <c r="H586" s="50">
        <v>500</v>
      </c>
      <c r="M586" t="str">
        <f>IF(COUNTIF($A:$A,E586)=0,"Not Exists","Exists")</f>
        <v>Exists</v>
      </c>
      <c r="N586" t="str">
        <f t="shared" si="29"/>
        <v>Exists</v>
      </c>
      <c r="O586" t="str">
        <f t="shared" si="30"/>
        <v>Exists</v>
      </c>
      <c r="P586" t="str">
        <f t="shared" si="31"/>
        <v>Not Exists</v>
      </c>
    </row>
    <row r="587" spans="1:16">
      <c r="A587" s="50" t="s">
        <v>574</v>
      </c>
      <c r="B587" s="50" t="s">
        <v>581</v>
      </c>
      <c r="C587" s="50" t="s">
        <v>256</v>
      </c>
      <c r="D587" s="50">
        <v>50</v>
      </c>
      <c r="E587" s="50" t="s">
        <v>574</v>
      </c>
      <c r="F587" s="50" t="s">
        <v>577</v>
      </c>
      <c r="G587" s="50" t="s">
        <v>256</v>
      </c>
      <c r="H587" s="50">
        <v>2</v>
      </c>
      <c r="M587" t="str">
        <f>IF(COUNTIF($A:$A,E587)=0,"Not Exists","Exists")</f>
        <v>Exists</v>
      </c>
      <c r="N587" t="str">
        <f t="shared" si="29"/>
        <v>Exists</v>
      </c>
      <c r="O587" t="str">
        <f t="shared" si="30"/>
        <v>Exists</v>
      </c>
      <c r="P587" t="str">
        <f t="shared" si="31"/>
        <v>Not Exists</v>
      </c>
    </row>
    <row r="588" spans="1:16">
      <c r="A588" s="50" t="s">
        <v>582</v>
      </c>
      <c r="B588" s="50" t="s">
        <v>430</v>
      </c>
      <c r="C588" s="50" t="s">
        <v>256</v>
      </c>
      <c r="D588" s="50">
        <v>50</v>
      </c>
      <c r="E588" s="50" t="s">
        <v>574</v>
      </c>
      <c r="F588" s="50" t="s">
        <v>578</v>
      </c>
      <c r="G588" s="50" t="s">
        <v>256</v>
      </c>
      <c r="H588" s="50">
        <v>50</v>
      </c>
      <c r="M588" t="str">
        <f>IF(COUNTIF($A:$A,E588)=0,"Not Exists","Exists")</f>
        <v>Exists</v>
      </c>
      <c r="N588" t="str">
        <f t="shared" si="29"/>
        <v>Exists</v>
      </c>
      <c r="O588" t="str">
        <f t="shared" si="30"/>
        <v>Exists</v>
      </c>
      <c r="P588" t="str">
        <f t="shared" si="31"/>
        <v>Exists</v>
      </c>
    </row>
    <row r="589" spans="1:16">
      <c r="A589" s="50" t="s">
        <v>582</v>
      </c>
      <c r="B589" s="50" t="s">
        <v>583</v>
      </c>
      <c r="C589" s="50" t="s">
        <v>251</v>
      </c>
      <c r="D589" s="50">
        <v>1</v>
      </c>
      <c r="E589" s="50" t="s">
        <v>574</v>
      </c>
      <c r="F589" s="50" t="s">
        <v>579</v>
      </c>
      <c r="G589" s="50" t="s">
        <v>256</v>
      </c>
      <c r="H589" s="50">
        <v>1</v>
      </c>
      <c r="M589" t="str">
        <f>IF(COUNTIF($A:$A,E589)=0,"Not Exists","Exists")</f>
        <v>Exists</v>
      </c>
      <c r="N589" t="str">
        <f t="shared" si="29"/>
        <v>Exists</v>
      </c>
      <c r="O589" t="str">
        <f t="shared" si="30"/>
        <v>Exists</v>
      </c>
      <c r="P589" t="str">
        <f t="shared" si="31"/>
        <v>Exists</v>
      </c>
    </row>
    <row r="590" spans="1:16">
      <c r="A590" s="50" t="s">
        <v>582</v>
      </c>
      <c r="B590" s="50" t="s">
        <v>584</v>
      </c>
      <c r="C590" s="50" t="s">
        <v>251</v>
      </c>
      <c r="D590" s="50">
        <v>1</v>
      </c>
      <c r="E590" s="50" t="s">
        <v>574</v>
      </c>
      <c r="F590" s="50" t="s">
        <v>316</v>
      </c>
      <c r="G590" s="50" t="s">
        <v>256</v>
      </c>
      <c r="H590" s="50">
        <v>50</v>
      </c>
      <c r="M590" t="str">
        <f>IF(COUNTIF($A:$A,E590)=0,"Not Exists","Exists")</f>
        <v>Exists</v>
      </c>
      <c r="N590" t="str">
        <f t="shared" si="29"/>
        <v>Exists</v>
      </c>
      <c r="O590" t="str">
        <f t="shared" si="30"/>
        <v>Exists</v>
      </c>
      <c r="P590" t="str">
        <f t="shared" si="31"/>
        <v>Exists</v>
      </c>
    </row>
    <row r="591" spans="1:16">
      <c r="A591" s="50" t="s">
        <v>582</v>
      </c>
      <c r="B591" s="50" t="s">
        <v>585</v>
      </c>
      <c r="C591" s="50" t="s">
        <v>256</v>
      </c>
      <c r="D591" s="50">
        <v>450</v>
      </c>
      <c r="E591" s="50" t="s">
        <v>574</v>
      </c>
      <c r="F591" s="50" t="s">
        <v>315</v>
      </c>
      <c r="G591" s="50" t="s">
        <v>251</v>
      </c>
      <c r="H591" s="50">
        <v>17</v>
      </c>
      <c r="M591" t="str">
        <f>IF(COUNTIF($A:$A,E591)=0,"Not Exists","Exists")</f>
        <v>Exists</v>
      </c>
      <c r="N591" t="str">
        <f t="shared" si="29"/>
        <v>Exists</v>
      </c>
      <c r="O591" t="str">
        <f t="shared" si="30"/>
        <v>Exists</v>
      </c>
      <c r="P591" t="str">
        <f t="shared" si="31"/>
        <v>Exists</v>
      </c>
    </row>
    <row r="592" spans="1:16">
      <c r="A592" s="50" t="s">
        <v>582</v>
      </c>
      <c r="B592" s="50" t="s">
        <v>586</v>
      </c>
      <c r="C592" s="50" t="s">
        <v>256</v>
      </c>
      <c r="D592" s="50">
        <v>450</v>
      </c>
      <c r="E592" s="50" t="s">
        <v>574</v>
      </c>
      <c r="F592" s="50" t="s">
        <v>317</v>
      </c>
      <c r="G592" s="50" t="s">
        <v>251</v>
      </c>
      <c r="H592" s="50">
        <v>17</v>
      </c>
      <c r="M592" t="str">
        <f>IF(COUNTIF($A:$A,E592)=0,"Not Exists","Exists")</f>
        <v>Exists</v>
      </c>
      <c r="N592" t="str">
        <f t="shared" si="29"/>
        <v>Exists</v>
      </c>
      <c r="O592" t="str">
        <f t="shared" si="30"/>
        <v>Exists</v>
      </c>
      <c r="P592" t="str">
        <f t="shared" si="31"/>
        <v>Exists</v>
      </c>
    </row>
    <row r="593" spans="1:16">
      <c r="A593" s="50" t="s">
        <v>582</v>
      </c>
      <c r="B593" s="50" t="s">
        <v>587</v>
      </c>
      <c r="C593" s="50" t="s">
        <v>254</v>
      </c>
      <c r="D593" s="50">
        <v>22</v>
      </c>
      <c r="E593" s="50" t="s">
        <v>574</v>
      </c>
      <c r="F593" s="50" t="s">
        <v>318</v>
      </c>
      <c r="G593" s="50" t="s">
        <v>256</v>
      </c>
      <c r="H593" s="50">
        <v>50</v>
      </c>
      <c r="M593" t="str">
        <f>IF(COUNTIF($A:$A,E593)=0,"Not Exists","Exists")</f>
        <v>Exists</v>
      </c>
      <c r="N593" t="str">
        <f t="shared" si="29"/>
        <v>Exists</v>
      </c>
      <c r="O593" t="str">
        <f t="shared" si="30"/>
        <v>Exists</v>
      </c>
      <c r="P593" t="str">
        <f t="shared" si="31"/>
        <v>Exists</v>
      </c>
    </row>
    <row r="594" spans="1:16">
      <c r="A594" s="50" t="s">
        <v>582</v>
      </c>
      <c r="B594" s="50" t="s">
        <v>315</v>
      </c>
      <c r="C594" s="50" t="s">
        <v>251</v>
      </c>
      <c r="D594" s="50">
        <v>17</v>
      </c>
      <c r="E594" s="50" t="s">
        <v>582</v>
      </c>
      <c r="F594" s="50" t="s">
        <v>430</v>
      </c>
      <c r="G594" s="50" t="s">
        <v>256</v>
      </c>
      <c r="H594" s="50">
        <v>50</v>
      </c>
      <c r="M594" t="str">
        <f>IF(COUNTIF($A:$A,E594)=0,"Not Exists","Exists")</f>
        <v>Exists</v>
      </c>
      <c r="N594" t="str">
        <f t="shared" si="29"/>
        <v>Exists</v>
      </c>
      <c r="O594" t="str">
        <f t="shared" si="30"/>
        <v>Exists</v>
      </c>
      <c r="P594" t="str">
        <f t="shared" si="31"/>
        <v>Exists</v>
      </c>
    </row>
    <row r="595" spans="1:16">
      <c r="A595" s="50" t="s">
        <v>582</v>
      </c>
      <c r="B595" s="50" t="s">
        <v>316</v>
      </c>
      <c r="C595" s="50" t="s">
        <v>256</v>
      </c>
      <c r="D595" s="50">
        <v>50</v>
      </c>
      <c r="E595" s="50" t="s">
        <v>582</v>
      </c>
      <c r="F595" s="50" t="s">
        <v>583</v>
      </c>
      <c r="G595" s="50" t="s">
        <v>251</v>
      </c>
      <c r="H595" s="50">
        <v>1</v>
      </c>
      <c r="M595" t="str">
        <f>IF(COUNTIF($A:$A,E595)=0,"Not Exists","Exists")</f>
        <v>Exists</v>
      </c>
      <c r="N595" t="str">
        <f t="shared" si="29"/>
        <v>Exists</v>
      </c>
      <c r="O595" t="str">
        <f t="shared" si="30"/>
        <v>Exists</v>
      </c>
      <c r="P595" t="str">
        <f t="shared" si="31"/>
        <v>Exists</v>
      </c>
    </row>
    <row r="596" spans="1:16">
      <c r="A596" s="50" t="s">
        <v>582</v>
      </c>
      <c r="B596" s="50" t="s">
        <v>317</v>
      </c>
      <c r="C596" s="50" t="s">
        <v>251</v>
      </c>
      <c r="D596" s="50">
        <v>17</v>
      </c>
      <c r="E596" s="50" t="s">
        <v>582</v>
      </c>
      <c r="F596" s="50" t="s">
        <v>584</v>
      </c>
      <c r="G596" s="50" t="s">
        <v>251</v>
      </c>
      <c r="H596" s="50">
        <v>1</v>
      </c>
      <c r="M596" t="str">
        <f>IF(COUNTIF($A:$A,E596)=0,"Not Exists","Exists")</f>
        <v>Exists</v>
      </c>
      <c r="N596" t="str">
        <f t="shared" si="29"/>
        <v>Exists</v>
      </c>
      <c r="O596" t="str">
        <f t="shared" si="30"/>
        <v>Exists</v>
      </c>
      <c r="P596" t="str">
        <f t="shared" si="31"/>
        <v>Exists</v>
      </c>
    </row>
    <row r="597" spans="1:16">
      <c r="A597" s="50" t="s">
        <v>582</v>
      </c>
      <c r="B597" s="50" t="s">
        <v>318</v>
      </c>
      <c r="C597" s="50" t="s">
        <v>256</v>
      </c>
      <c r="D597" s="50">
        <v>50</v>
      </c>
      <c r="E597" s="50" t="s">
        <v>582</v>
      </c>
      <c r="F597" s="50" t="s">
        <v>585</v>
      </c>
      <c r="G597" s="50" t="s">
        <v>256</v>
      </c>
      <c r="H597" s="50">
        <v>450</v>
      </c>
      <c r="M597" t="str">
        <f>IF(COUNTIF($A:$A,E597)=0,"Not Exists","Exists")</f>
        <v>Exists</v>
      </c>
      <c r="N597" t="str">
        <f t="shared" si="29"/>
        <v>Exists</v>
      </c>
      <c r="O597" t="str">
        <f t="shared" si="30"/>
        <v>Exists</v>
      </c>
      <c r="P597" t="str">
        <f t="shared" si="31"/>
        <v>Exists</v>
      </c>
    </row>
    <row r="598" spans="1:16">
      <c r="A598" s="50" t="s">
        <v>582</v>
      </c>
      <c r="B598" s="50" t="s">
        <v>436</v>
      </c>
      <c r="C598" s="50" t="s">
        <v>256</v>
      </c>
      <c r="D598" s="50">
        <v>50</v>
      </c>
      <c r="E598" s="50" t="s">
        <v>582</v>
      </c>
      <c r="F598" s="50" t="s">
        <v>586</v>
      </c>
      <c r="G598" s="50" t="s">
        <v>256</v>
      </c>
      <c r="H598" s="50">
        <v>450</v>
      </c>
      <c r="M598" t="str">
        <f>IF(COUNTIF($A:$A,E598)=0,"Not Exists","Exists")</f>
        <v>Exists</v>
      </c>
      <c r="N598" t="str">
        <f t="shared" si="29"/>
        <v>Exists</v>
      </c>
      <c r="O598" t="str">
        <f t="shared" si="30"/>
        <v>Exists</v>
      </c>
      <c r="P598" t="str">
        <f t="shared" si="31"/>
        <v>Not Exists</v>
      </c>
    </row>
    <row r="599" spans="1:16">
      <c r="A599" s="50" t="s">
        <v>588</v>
      </c>
      <c r="B599" s="50" t="s">
        <v>434</v>
      </c>
      <c r="C599" s="50" t="s">
        <v>254</v>
      </c>
      <c r="D599" s="50">
        <v>22</v>
      </c>
      <c r="E599" s="50" t="s">
        <v>582</v>
      </c>
      <c r="F599" s="50" t="s">
        <v>587</v>
      </c>
      <c r="G599" s="50" t="s">
        <v>254</v>
      </c>
      <c r="H599" s="50">
        <v>22</v>
      </c>
      <c r="M599" t="str">
        <f>IF(COUNTIF($A:$A,E599)=0,"Not Exists","Exists")</f>
        <v>Exists</v>
      </c>
      <c r="N599" t="str">
        <f t="shared" si="29"/>
        <v>Exists</v>
      </c>
      <c r="O599" t="str">
        <f t="shared" si="30"/>
        <v>Not Exists</v>
      </c>
      <c r="P599" t="str">
        <f t="shared" si="31"/>
        <v>Exists</v>
      </c>
    </row>
    <row r="600" spans="1:16">
      <c r="A600" s="50" t="s">
        <v>588</v>
      </c>
      <c r="B600" s="50" t="s">
        <v>589</v>
      </c>
      <c r="C600" s="50" t="s">
        <v>256</v>
      </c>
      <c r="D600" s="50">
        <v>50</v>
      </c>
      <c r="E600" s="50" t="s">
        <v>582</v>
      </c>
      <c r="F600" s="50" t="s">
        <v>315</v>
      </c>
      <c r="G600" s="50" t="s">
        <v>251</v>
      </c>
      <c r="H600" s="50">
        <v>17</v>
      </c>
      <c r="M600" t="str">
        <f>IF(COUNTIF($A:$A,E600)=0,"Not Exists","Exists")</f>
        <v>Exists</v>
      </c>
      <c r="N600" t="str">
        <f t="shared" si="29"/>
        <v>Exists</v>
      </c>
      <c r="O600" t="str">
        <f t="shared" si="30"/>
        <v>Not Exists</v>
      </c>
      <c r="P600" t="str">
        <f t="shared" si="31"/>
        <v>Not Exists</v>
      </c>
    </row>
    <row r="601" spans="1:16">
      <c r="A601" s="50" t="s">
        <v>588</v>
      </c>
      <c r="B601" s="50" t="s">
        <v>590</v>
      </c>
      <c r="C601" s="50" t="s">
        <v>256</v>
      </c>
      <c r="D601" s="50">
        <v>10</v>
      </c>
      <c r="E601" s="50" t="s">
        <v>582</v>
      </c>
      <c r="F601" s="50" t="s">
        <v>316</v>
      </c>
      <c r="G601" s="50" t="s">
        <v>256</v>
      </c>
      <c r="H601" s="50">
        <v>50</v>
      </c>
      <c r="M601" t="str">
        <f>IF(COUNTIF($A:$A,E601)=0,"Not Exists","Exists")</f>
        <v>Exists</v>
      </c>
      <c r="N601" t="str">
        <f t="shared" si="29"/>
        <v>Exists</v>
      </c>
      <c r="O601" t="str">
        <f t="shared" si="30"/>
        <v>Not Exists</v>
      </c>
      <c r="P601" t="str">
        <f t="shared" si="31"/>
        <v>Not Exists</v>
      </c>
    </row>
    <row r="602" spans="1:16">
      <c r="A602" s="50" t="s">
        <v>588</v>
      </c>
      <c r="B602" s="50" t="s">
        <v>591</v>
      </c>
      <c r="C602" s="50" t="s">
        <v>256</v>
      </c>
      <c r="D602" s="50">
        <v>4000</v>
      </c>
      <c r="E602" s="50" t="s">
        <v>582</v>
      </c>
      <c r="F602" s="50" t="s">
        <v>317</v>
      </c>
      <c r="G602" s="50" t="s">
        <v>251</v>
      </c>
      <c r="H602" s="50">
        <v>17</v>
      </c>
      <c r="M602" t="str">
        <f>IF(COUNTIF($A:$A,E602)=0,"Not Exists","Exists")</f>
        <v>Exists</v>
      </c>
      <c r="N602" t="str">
        <f t="shared" si="29"/>
        <v>Exists</v>
      </c>
      <c r="O602" t="str">
        <f t="shared" si="30"/>
        <v>Not Exists</v>
      </c>
      <c r="P602" t="str">
        <f t="shared" si="31"/>
        <v>Not Exists</v>
      </c>
    </row>
    <row r="603" spans="1:16">
      <c r="A603" s="50" t="s">
        <v>588</v>
      </c>
      <c r="B603" s="50" t="s">
        <v>592</v>
      </c>
      <c r="C603" s="50" t="s">
        <v>256</v>
      </c>
      <c r="D603" s="50">
        <v>4000</v>
      </c>
      <c r="E603" s="50" t="s">
        <v>582</v>
      </c>
      <c r="F603" s="50" t="s">
        <v>318</v>
      </c>
      <c r="G603" s="50" t="s">
        <v>256</v>
      </c>
      <c r="H603" s="50">
        <v>50</v>
      </c>
      <c r="M603" t="str">
        <f>IF(COUNTIF($A:$A,E603)=0,"Not Exists","Exists")</f>
        <v>Exists</v>
      </c>
      <c r="N603" t="str">
        <f t="shared" si="29"/>
        <v>Exists</v>
      </c>
      <c r="O603" t="str">
        <f t="shared" si="30"/>
        <v>Not Exists</v>
      </c>
      <c r="P603" t="str">
        <f t="shared" si="31"/>
        <v>Not Exists</v>
      </c>
    </row>
    <row r="604" spans="1:16">
      <c r="A604" s="50" t="s">
        <v>588</v>
      </c>
      <c r="B604" s="50" t="s">
        <v>593</v>
      </c>
      <c r="C604" s="50" t="s">
        <v>254</v>
      </c>
      <c r="D604" s="50">
        <v>22</v>
      </c>
      <c r="E604" s="50" t="s">
        <v>594</v>
      </c>
      <c r="F604" s="50" t="s">
        <v>595</v>
      </c>
      <c r="G604" s="50" t="s">
        <v>256</v>
      </c>
      <c r="H604" s="50">
        <v>7</v>
      </c>
      <c r="M604" t="str">
        <f>IF(COUNTIF($A:$A,E604)=0,"Not Exists","Exists")</f>
        <v>Not Exists</v>
      </c>
      <c r="N604" t="str">
        <f t="shared" ref="N604:N667" si="32">IF(COUNTIF($A:$B,F604)=0,"Not Exists","Exists")</f>
        <v>Not Exists</v>
      </c>
      <c r="O604" t="str">
        <f t="shared" si="30"/>
        <v>Not Exists</v>
      </c>
      <c r="P604" t="str">
        <f t="shared" si="31"/>
        <v>Not Exists</v>
      </c>
    </row>
    <row r="605" spans="1:16">
      <c r="A605" s="50" t="s">
        <v>588</v>
      </c>
      <c r="B605" s="50" t="s">
        <v>596</v>
      </c>
      <c r="C605" s="50" t="s">
        <v>254</v>
      </c>
      <c r="D605" s="50">
        <v>22</v>
      </c>
      <c r="E605" s="50" t="s">
        <v>594</v>
      </c>
      <c r="F605" s="50" t="s">
        <v>597</v>
      </c>
      <c r="G605" s="50" t="s">
        <v>256</v>
      </c>
      <c r="H605" s="50">
        <v>4</v>
      </c>
      <c r="M605" t="str">
        <f>IF(COUNTIF($A:$A,E605)=0,"Not Exists","Exists")</f>
        <v>Not Exists</v>
      </c>
      <c r="N605" t="str">
        <f t="shared" si="32"/>
        <v>Not Exists</v>
      </c>
      <c r="O605" t="str">
        <f t="shared" si="30"/>
        <v>Not Exists</v>
      </c>
      <c r="P605" t="str">
        <f t="shared" si="31"/>
        <v>Not Exists</v>
      </c>
    </row>
    <row r="606" spans="1:16">
      <c r="A606" s="50" t="s">
        <v>588</v>
      </c>
      <c r="B606" s="50" t="s">
        <v>598</v>
      </c>
      <c r="C606" s="50" t="s">
        <v>256</v>
      </c>
      <c r="D606" s="50">
        <v>6</v>
      </c>
      <c r="E606" s="50" t="s">
        <v>594</v>
      </c>
      <c r="F606" s="50" t="s">
        <v>599</v>
      </c>
      <c r="G606" s="50" t="s">
        <v>256</v>
      </c>
      <c r="H606" s="50">
        <v>8</v>
      </c>
      <c r="M606" t="str">
        <f>IF(COUNTIF($A:$A,E606)=0,"Not Exists","Exists")</f>
        <v>Not Exists</v>
      </c>
      <c r="N606" t="str">
        <f t="shared" si="32"/>
        <v>Not Exists</v>
      </c>
      <c r="O606" t="str">
        <f t="shared" si="30"/>
        <v>Not Exists</v>
      </c>
      <c r="P606" t="str">
        <f t="shared" si="31"/>
        <v>Not Exists</v>
      </c>
    </row>
    <row r="607" spans="1:16">
      <c r="A607" s="50" t="s">
        <v>588</v>
      </c>
      <c r="B607" s="50" t="s">
        <v>600</v>
      </c>
      <c r="C607" s="50" t="s">
        <v>254</v>
      </c>
      <c r="D607" s="50">
        <v>22</v>
      </c>
      <c r="E607" s="50" t="s">
        <v>594</v>
      </c>
      <c r="F607" s="50" t="s">
        <v>601</v>
      </c>
      <c r="G607" s="50" t="s">
        <v>256</v>
      </c>
      <c r="H607" s="50">
        <v>8</v>
      </c>
      <c r="M607" t="str">
        <f>IF(COUNTIF($A:$A,E607)=0,"Not Exists","Exists")</f>
        <v>Not Exists</v>
      </c>
      <c r="N607" t="str">
        <f t="shared" si="32"/>
        <v>Not Exists</v>
      </c>
      <c r="O607" t="str">
        <f t="shared" si="30"/>
        <v>Not Exists</v>
      </c>
      <c r="P607" t="str">
        <f t="shared" si="31"/>
        <v>Not Exists</v>
      </c>
    </row>
    <row r="608" spans="1:16">
      <c r="A608" s="50" t="s">
        <v>588</v>
      </c>
      <c r="B608" s="50" t="s">
        <v>602</v>
      </c>
      <c r="C608" s="50" t="s">
        <v>254</v>
      </c>
      <c r="D608" s="50">
        <v>22</v>
      </c>
      <c r="E608" s="50" t="s">
        <v>594</v>
      </c>
      <c r="F608" s="50" t="s">
        <v>603</v>
      </c>
      <c r="G608" s="50" t="s">
        <v>256</v>
      </c>
      <c r="H608" s="50">
        <v>8</v>
      </c>
      <c r="M608" t="str">
        <f>IF(COUNTIF($A:$A,E608)=0,"Not Exists","Exists")</f>
        <v>Not Exists</v>
      </c>
      <c r="N608" t="str">
        <f t="shared" si="32"/>
        <v>Not Exists</v>
      </c>
      <c r="O608" t="str">
        <f t="shared" si="30"/>
        <v>Not Exists</v>
      </c>
      <c r="P608" t="str">
        <f t="shared" si="31"/>
        <v>Not Exists</v>
      </c>
    </row>
    <row r="609" spans="1:16">
      <c r="A609" s="50" t="s">
        <v>588</v>
      </c>
      <c r="B609" s="50" t="s">
        <v>604</v>
      </c>
      <c r="C609" s="50" t="s">
        <v>256</v>
      </c>
      <c r="D609" s="50">
        <v>8</v>
      </c>
      <c r="E609" s="50" t="s">
        <v>594</v>
      </c>
      <c r="F609" s="50" t="s">
        <v>605</v>
      </c>
      <c r="G609" s="50" t="s">
        <v>256</v>
      </c>
      <c r="H609" s="50">
        <v>8</v>
      </c>
      <c r="M609" t="str">
        <f>IF(COUNTIF($A:$A,E609)=0,"Not Exists","Exists")</f>
        <v>Not Exists</v>
      </c>
      <c r="N609" t="str">
        <f t="shared" si="32"/>
        <v>Not Exists</v>
      </c>
      <c r="O609" t="str">
        <f t="shared" si="30"/>
        <v>Not Exists</v>
      </c>
      <c r="P609" t="str">
        <f t="shared" si="31"/>
        <v>Not Exists</v>
      </c>
    </row>
    <row r="610" spans="1:16">
      <c r="A610" s="50" t="s">
        <v>588</v>
      </c>
      <c r="B610" s="50" t="s">
        <v>315</v>
      </c>
      <c r="C610" s="50" t="s">
        <v>251</v>
      </c>
      <c r="D610" s="50">
        <v>17</v>
      </c>
      <c r="E610" s="50" t="s">
        <v>594</v>
      </c>
      <c r="F610" s="50" t="s">
        <v>606</v>
      </c>
      <c r="G610" s="50" t="s">
        <v>256</v>
      </c>
      <c r="H610" s="50">
        <v>8</v>
      </c>
      <c r="M610" t="str">
        <f>IF(COUNTIF($A:$A,E610)=0,"Not Exists","Exists")</f>
        <v>Not Exists</v>
      </c>
      <c r="N610" t="str">
        <f t="shared" si="32"/>
        <v>Not Exists</v>
      </c>
      <c r="O610" t="str">
        <f t="shared" si="30"/>
        <v>Not Exists</v>
      </c>
      <c r="P610" t="str">
        <f t="shared" si="31"/>
        <v>Exists</v>
      </c>
    </row>
    <row r="611" spans="1:16">
      <c r="A611" s="50" t="s">
        <v>588</v>
      </c>
      <c r="B611" s="50" t="s">
        <v>317</v>
      </c>
      <c r="C611" s="50" t="s">
        <v>251</v>
      </c>
      <c r="D611" s="50">
        <v>17</v>
      </c>
      <c r="E611" s="50" t="s">
        <v>594</v>
      </c>
      <c r="F611" s="50" t="s">
        <v>607</v>
      </c>
      <c r="G611" s="50" t="s">
        <v>256</v>
      </c>
      <c r="H611" s="50">
        <v>8</v>
      </c>
      <c r="M611" t="str">
        <f>IF(COUNTIF($A:$A,E611)=0,"Not Exists","Exists")</f>
        <v>Not Exists</v>
      </c>
      <c r="N611" t="str">
        <f t="shared" si="32"/>
        <v>Not Exists</v>
      </c>
      <c r="O611" t="str">
        <f t="shared" si="30"/>
        <v>Not Exists</v>
      </c>
      <c r="P611" t="str">
        <f t="shared" si="31"/>
        <v>Exists</v>
      </c>
    </row>
    <row r="612" spans="1:16">
      <c r="A612" s="50" t="s">
        <v>588</v>
      </c>
      <c r="B612" s="50" t="s">
        <v>316</v>
      </c>
      <c r="C612" s="50" t="s">
        <v>256</v>
      </c>
      <c r="D612" s="50">
        <v>50</v>
      </c>
      <c r="E612" s="50" t="s">
        <v>594</v>
      </c>
      <c r="F612" s="50" t="s">
        <v>608</v>
      </c>
      <c r="G612" s="50" t="s">
        <v>256</v>
      </c>
      <c r="H612" s="50">
        <v>8</v>
      </c>
      <c r="M612" t="str">
        <f>IF(COUNTIF($A:$A,E612)=0,"Not Exists","Exists")</f>
        <v>Not Exists</v>
      </c>
      <c r="N612" t="str">
        <f t="shared" si="32"/>
        <v>Not Exists</v>
      </c>
      <c r="O612" t="str">
        <f t="shared" si="30"/>
        <v>Not Exists</v>
      </c>
      <c r="P612" t="str">
        <f t="shared" si="31"/>
        <v>Exists</v>
      </c>
    </row>
    <row r="613" spans="1:16">
      <c r="A613" s="50" t="s">
        <v>588</v>
      </c>
      <c r="B613" s="50" t="s">
        <v>318</v>
      </c>
      <c r="C613" s="50" t="s">
        <v>256</v>
      </c>
      <c r="D613" s="50">
        <v>50</v>
      </c>
      <c r="E613" s="50" t="s">
        <v>594</v>
      </c>
      <c r="F613" s="50" t="s">
        <v>609</v>
      </c>
      <c r="G613" s="50" t="s">
        <v>256</v>
      </c>
      <c r="H613" s="50">
        <v>8</v>
      </c>
      <c r="M613" t="str">
        <f>IF(COUNTIF($A:$A,E613)=0,"Not Exists","Exists")</f>
        <v>Not Exists</v>
      </c>
      <c r="N613" t="str">
        <f t="shared" si="32"/>
        <v>Not Exists</v>
      </c>
      <c r="O613" t="str">
        <f t="shared" si="30"/>
        <v>Not Exists</v>
      </c>
      <c r="P613" t="str">
        <f t="shared" si="31"/>
        <v>Exists</v>
      </c>
    </row>
    <row r="614" spans="1:16">
      <c r="A614" s="50" t="s">
        <v>588</v>
      </c>
      <c r="B614" s="50" t="s">
        <v>436</v>
      </c>
      <c r="C614" s="50" t="s">
        <v>256</v>
      </c>
      <c r="D614" s="50">
        <v>50</v>
      </c>
      <c r="E614" s="50" t="s">
        <v>594</v>
      </c>
      <c r="F614" s="50" t="s">
        <v>610</v>
      </c>
      <c r="G614" s="50" t="s">
        <v>256</v>
      </c>
      <c r="H614" s="50">
        <v>8</v>
      </c>
      <c r="M614" t="str">
        <f>IF(COUNTIF($A:$A,E614)=0,"Not Exists","Exists")</f>
        <v>Not Exists</v>
      </c>
      <c r="N614" t="str">
        <f t="shared" si="32"/>
        <v>Not Exists</v>
      </c>
      <c r="O614" t="str">
        <f t="shared" si="30"/>
        <v>Not Exists</v>
      </c>
      <c r="P614" t="str">
        <f t="shared" si="31"/>
        <v>Not Exists</v>
      </c>
    </row>
    <row r="615" spans="1:16">
      <c r="A615" s="50" t="s">
        <v>588</v>
      </c>
      <c r="B615" s="50" t="s">
        <v>373</v>
      </c>
      <c r="C615" s="50" t="s">
        <v>256</v>
      </c>
      <c r="D615" s="50">
        <v>2</v>
      </c>
      <c r="E615" s="50" t="s">
        <v>594</v>
      </c>
      <c r="F615" s="50" t="s">
        <v>611</v>
      </c>
      <c r="G615" s="50" t="s">
        <v>256</v>
      </c>
      <c r="H615" s="50">
        <v>8</v>
      </c>
      <c r="M615" t="str">
        <f>IF(COUNTIF($A:$A,E615)=0,"Not Exists","Exists")</f>
        <v>Not Exists</v>
      </c>
      <c r="N615" t="str">
        <f t="shared" si="32"/>
        <v>Not Exists</v>
      </c>
      <c r="O615" t="str">
        <f t="shared" si="30"/>
        <v>Not Exists</v>
      </c>
      <c r="P615" t="str">
        <f t="shared" si="31"/>
        <v>Exists</v>
      </c>
    </row>
    <row r="616" spans="1:16">
      <c r="A616" s="50" t="s">
        <v>588</v>
      </c>
      <c r="B616" s="50" t="s">
        <v>612</v>
      </c>
      <c r="C616" s="50" t="s">
        <v>256</v>
      </c>
      <c r="D616" s="50">
        <v>50</v>
      </c>
      <c r="E616" s="50" t="s">
        <v>594</v>
      </c>
      <c r="F616" s="50" t="s">
        <v>613</v>
      </c>
      <c r="G616" s="50" t="s">
        <v>256</v>
      </c>
      <c r="H616" s="50">
        <v>8</v>
      </c>
      <c r="M616" t="str">
        <f>IF(COUNTIF($A:$A,E616)=0,"Not Exists","Exists")</f>
        <v>Not Exists</v>
      </c>
      <c r="N616" t="str">
        <f t="shared" si="32"/>
        <v>Not Exists</v>
      </c>
      <c r="O616" t="str">
        <f t="shared" si="30"/>
        <v>Not Exists</v>
      </c>
      <c r="P616" t="str">
        <f t="shared" si="31"/>
        <v>Exists</v>
      </c>
    </row>
    <row r="617" spans="1:16">
      <c r="A617" s="50" t="s">
        <v>588</v>
      </c>
      <c r="B617" s="50" t="s">
        <v>355</v>
      </c>
      <c r="C617" s="50" t="s">
        <v>256</v>
      </c>
      <c r="D617" s="50">
        <v>50</v>
      </c>
      <c r="E617" s="50" t="s">
        <v>594</v>
      </c>
      <c r="F617" s="50" t="s">
        <v>614</v>
      </c>
      <c r="G617" s="50" t="s">
        <v>256</v>
      </c>
      <c r="H617" s="50">
        <v>8</v>
      </c>
      <c r="M617" t="str">
        <f>IF(COUNTIF($A:$A,E617)=0,"Not Exists","Exists")</f>
        <v>Not Exists</v>
      </c>
      <c r="N617" t="str">
        <f t="shared" si="32"/>
        <v>Not Exists</v>
      </c>
      <c r="O617" t="str">
        <f t="shared" si="30"/>
        <v>Not Exists</v>
      </c>
      <c r="P617" t="str">
        <f t="shared" si="31"/>
        <v>Exists</v>
      </c>
    </row>
    <row r="618" spans="1:16">
      <c r="A618" s="50" t="s">
        <v>588</v>
      </c>
      <c r="B618" s="50" t="s">
        <v>357</v>
      </c>
      <c r="C618" s="50" t="s">
        <v>256</v>
      </c>
      <c r="D618" s="50">
        <v>50</v>
      </c>
      <c r="E618" s="50" t="s">
        <v>594</v>
      </c>
      <c r="F618" s="50" t="s">
        <v>615</v>
      </c>
      <c r="G618" s="50" t="s">
        <v>256</v>
      </c>
      <c r="H618" s="50">
        <v>8</v>
      </c>
      <c r="M618" t="str">
        <f>IF(COUNTIF($A:$A,E618)=0,"Not Exists","Exists")</f>
        <v>Not Exists</v>
      </c>
      <c r="N618" t="str">
        <f t="shared" si="32"/>
        <v>Not Exists</v>
      </c>
      <c r="O618" t="str">
        <f t="shared" si="30"/>
        <v>Not Exists</v>
      </c>
      <c r="P618" t="str">
        <f t="shared" si="31"/>
        <v>Exists</v>
      </c>
    </row>
    <row r="619" spans="1:16">
      <c r="A619" s="50" t="s">
        <v>588</v>
      </c>
      <c r="B619" s="50" t="s">
        <v>616</v>
      </c>
      <c r="C619" s="50" t="s">
        <v>251</v>
      </c>
      <c r="D619" s="50">
        <v>17</v>
      </c>
      <c r="E619" s="50" t="s">
        <v>594</v>
      </c>
      <c r="F619" s="50" t="s">
        <v>617</v>
      </c>
      <c r="G619" s="50" t="s">
        <v>256</v>
      </c>
      <c r="H619" s="50">
        <v>8</v>
      </c>
      <c r="M619" t="str">
        <f>IF(COUNTIF($A:$A,E619)=0,"Not Exists","Exists")</f>
        <v>Not Exists</v>
      </c>
      <c r="N619" t="str">
        <f t="shared" si="32"/>
        <v>Not Exists</v>
      </c>
      <c r="O619" t="str">
        <f t="shared" si="30"/>
        <v>Not Exists</v>
      </c>
      <c r="P619" t="str">
        <f t="shared" si="31"/>
        <v>Exists</v>
      </c>
    </row>
    <row r="620" spans="1:16">
      <c r="A620" s="50" t="s">
        <v>588</v>
      </c>
      <c r="B620" s="50" t="s">
        <v>618</v>
      </c>
      <c r="C620" s="50" t="s">
        <v>251</v>
      </c>
      <c r="D620" s="50">
        <v>17</v>
      </c>
      <c r="E620" s="50" t="s">
        <v>594</v>
      </c>
      <c r="F620" s="50" t="s">
        <v>619</v>
      </c>
      <c r="G620" s="50" t="s">
        <v>256</v>
      </c>
      <c r="H620" s="50">
        <v>8</v>
      </c>
      <c r="M620" t="str">
        <f>IF(COUNTIF($A:$A,E620)=0,"Not Exists","Exists")</f>
        <v>Not Exists</v>
      </c>
      <c r="N620" t="str">
        <f t="shared" si="32"/>
        <v>Not Exists</v>
      </c>
      <c r="O620" t="str">
        <f t="shared" si="30"/>
        <v>Not Exists</v>
      </c>
      <c r="P620" t="str">
        <f t="shared" si="31"/>
        <v>Exists</v>
      </c>
    </row>
    <row r="621" spans="1:16">
      <c r="A621" s="50" t="s">
        <v>588</v>
      </c>
      <c r="B621" s="50" t="s">
        <v>620</v>
      </c>
      <c r="C621" s="50" t="s">
        <v>256</v>
      </c>
      <c r="D621" s="50">
        <v>10</v>
      </c>
      <c r="E621" s="50" t="s">
        <v>594</v>
      </c>
      <c r="F621" s="50" t="s">
        <v>621</v>
      </c>
      <c r="G621" s="50" t="s">
        <v>256</v>
      </c>
      <c r="H621" s="50">
        <v>8</v>
      </c>
      <c r="M621" t="str">
        <f>IF(COUNTIF($A:$A,E621)=0,"Not Exists","Exists")</f>
        <v>Not Exists</v>
      </c>
      <c r="N621" t="str">
        <f t="shared" si="32"/>
        <v>Not Exists</v>
      </c>
      <c r="O621" t="str">
        <f t="shared" si="30"/>
        <v>Not Exists</v>
      </c>
      <c r="P621" t="str">
        <f t="shared" si="31"/>
        <v>Exists</v>
      </c>
    </row>
    <row r="622" spans="1:16">
      <c r="A622" s="50" t="s">
        <v>588</v>
      </c>
      <c r="B622" s="50" t="s">
        <v>622</v>
      </c>
      <c r="C622" s="50" t="s">
        <v>256</v>
      </c>
      <c r="D622" s="50">
        <v>10</v>
      </c>
      <c r="E622" s="50" t="s">
        <v>594</v>
      </c>
      <c r="F622" s="50" t="s">
        <v>623</v>
      </c>
      <c r="G622" s="50" t="s">
        <v>256</v>
      </c>
      <c r="H622" s="50">
        <v>8</v>
      </c>
      <c r="M622" t="str">
        <f>IF(COUNTIF($A:$A,E622)=0,"Not Exists","Exists")</f>
        <v>Not Exists</v>
      </c>
      <c r="N622" t="str">
        <f t="shared" si="32"/>
        <v>Not Exists</v>
      </c>
      <c r="O622" t="str">
        <f t="shared" si="30"/>
        <v>Not Exists</v>
      </c>
      <c r="P622" t="str">
        <f t="shared" si="31"/>
        <v>Exists</v>
      </c>
    </row>
    <row r="623" spans="1:16">
      <c r="A623" s="50" t="s">
        <v>624</v>
      </c>
      <c r="B623" s="50" t="s">
        <v>625</v>
      </c>
      <c r="C623" s="50" t="s">
        <v>256</v>
      </c>
      <c r="D623" s="50">
        <v>50</v>
      </c>
      <c r="E623" s="50" t="s">
        <v>594</v>
      </c>
      <c r="F623" s="50" t="s">
        <v>626</v>
      </c>
      <c r="G623" s="50" t="s">
        <v>256</v>
      </c>
      <c r="H623" s="50">
        <v>8</v>
      </c>
      <c r="M623" t="str">
        <f>IF(COUNTIF($A:$A,E623)=0,"Not Exists","Exists")</f>
        <v>Not Exists</v>
      </c>
      <c r="N623" t="str">
        <f t="shared" si="32"/>
        <v>Not Exists</v>
      </c>
      <c r="O623" t="str">
        <f t="shared" si="30"/>
        <v>Not Exists</v>
      </c>
      <c r="P623" t="str">
        <f t="shared" si="31"/>
        <v>Exists</v>
      </c>
    </row>
    <row r="624" spans="1:16">
      <c r="A624" s="50" t="s">
        <v>624</v>
      </c>
      <c r="B624" s="50" t="s">
        <v>627</v>
      </c>
      <c r="C624" s="50" t="s">
        <v>251</v>
      </c>
      <c r="D624" s="50">
        <v>17</v>
      </c>
      <c r="E624" s="50" t="s">
        <v>594</v>
      </c>
      <c r="F624" s="50" t="s">
        <v>628</v>
      </c>
      <c r="G624" s="50" t="s">
        <v>256</v>
      </c>
      <c r="H624" s="50">
        <v>1</v>
      </c>
      <c r="M624" t="str">
        <f>IF(COUNTIF($A:$A,E624)=0,"Not Exists","Exists")</f>
        <v>Not Exists</v>
      </c>
      <c r="N624" t="str">
        <f t="shared" si="32"/>
        <v>Not Exists</v>
      </c>
      <c r="O624" t="str">
        <f t="shared" si="30"/>
        <v>Not Exists</v>
      </c>
      <c r="P624" t="str">
        <f t="shared" si="31"/>
        <v>Not Exists</v>
      </c>
    </row>
    <row r="625" spans="1:16">
      <c r="A625" s="50" t="s">
        <v>624</v>
      </c>
      <c r="B625" s="50" t="s">
        <v>629</v>
      </c>
      <c r="C625" s="50" t="s">
        <v>254</v>
      </c>
      <c r="D625" s="50">
        <v>22</v>
      </c>
      <c r="E625" s="50" t="s">
        <v>594</v>
      </c>
      <c r="F625" s="50" t="s">
        <v>630</v>
      </c>
      <c r="G625" s="50" t="s">
        <v>256</v>
      </c>
      <c r="H625" s="50">
        <v>1</v>
      </c>
      <c r="M625" t="str">
        <f>IF(COUNTIF($A:$A,E625)=0,"Not Exists","Exists")</f>
        <v>Not Exists</v>
      </c>
      <c r="N625" t="str">
        <f t="shared" si="32"/>
        <v>Not Exists</v>
      </c>
      <c r="O625" t="str">
        <f t="shared" si="30"/>
        <v>Not Exists</v>
      </c>
      <c r="P625" t="str">
        <f t="shared" si="31"/>
        <v>Not Exists</v>
      </c>
    </row>
    <row r="626" spans="1:16">
      <c r="A626" s="50" t="s">
        <v>624</v>
      </c>
      <c r="B626" s="50" t="s">
        <v>631</v>
      </c>
      <c r="C626" s="50" t="s">
        <v>254</v>
      </c>
      <c r="D626" s="50">
        <v>22</v>
      </c>
      <c r="E626" s="50" t="s">
        <v>594</v>
      </c>
      <c r="F626" s="50" t="s">
        <v>632</v>
      </c>
      <c r="G626" s="50" t="s">
        <v>256</v>
      </c>
      <c r="H626" s="50">
        <v>1</v>
      </c>
      <c r="M626" t="str">
        <f>IF(COUNTIF($A:$A,E626)=0,"Not Exists","Exists")</f>
        <v>Not Exists</v>
      </c>
      <c r="N626" t="str">
        <f t="shared" si="32"/>
        <v>Not Exists</v>
      </c>
      <c r="O626" t="str">
        <f t="shared" si="30"/>
        <v>Not Exists</v>
      </c>
      <c r="P626" t="str">
        <f t="shared" si="31"/>
        <v>Not Exists</v>
      </c>
    </row>
    <row r="627" spans="1:16">
      <c r="A627" s="50" t="s">
        <v>624</v>
      </c>
      <c r="B627" s="50" t="s">
        <v>633</v>
      </c>
      <c r="C627" s="50" t="s">
        <v>254</v>
      </c>
      <c r="D627" s="50">
        <v>22</v>
      </c>
      <c r="E627" s="50" t="s">
        <v>634</v>
      </c>
      <c r="F627" s="50" t="s">
        <v>635</v>
      </c>
      <c r="G627" s="50" t="s">
        <v>256</v>
      </c>
      <c r="H627" s="50">
        <v>2</v>
      </c>
      <c r="M627" t="str">
        <f>IF(COUNTIF($A:$A,E627)=0,"Not Exists","Exists")</f>
        <v>Not Exists</v>
      </c>
      <c r="N627" t="str">
        <f t="shared" si="32"/>
        <v>Not Exists</v>
      </c>
      <c r="O627" t="str">
        <f t="shared" si="30"/>
        <v>Not Exists</v>
      </c>
      <c r="P627" t="str">
        <f t="shared" si="31"/>
        <v>Not Exists</v>
      </c>
    </row>
    <row r="628" spans="1:16">
      <c r="A628" s="50" t="s">
        <v>624</v>
      </c>
      <c r="B628" s="50" t="s">
        <v>636</v>
      </c>
      <c r="C628" s="50" t="s">
        <v>256</v>
      </c>
      <c r="D628" s="50">
        <v>50</v>
      </c>
      <c r="E628" s="50" t="s">
        <v>634</v>
      </c>
      <c r="F628" s="50" t="s">
        <v>625</v>
      </c>
      <c r="G628" s="50" t="s">
        <v>256</v>
      </c>
      <c r="H628" s="50">
        <v>50</v>
      </c>
      <c r="M628" t="str">
        <f>IF(COUNTIF($A:$A,E628)=0,"Not Exists","Exists")</f>
        <v>Not Exists</v>
      </c>
      <c r="N628" t="str">
        <f t="shared" si="32"/>
        <v>Exists</v>
      </c>
      <c r="O628" t="str">
        <f t="shared" si="30"/>
        <v>Not Exists</v>
      </c>
      <c r="P628" t="str">
        <f t="shared" si="31"/>
        <v>Not Exists</v>
      </c>
    </row>
    <row r="629" spans="1:16">
      <c r="A629" s="50" t="s">
        <v>624</v>
      </c>
      <c r="B629" s="50" t="s">
        <v>637</v>
      </c>
      <c r="C629" s="50" t="s">
        <v>256</v>
      </c>
      <c r="D629" s="50">
        <v>50</v>
      </c>
      <c r="E629" s="50" t="s">
        <v>634</v>
      </c>
      <c r="F629" s="50" t="s">
        <v>638</v>
      </c>
      <c r="G629" s="50" t="s">
        <v>256</v>
      </c>
      <c r="H629" s="50">
        <v>8</v>
      </c>
      <c r="M629" t="str">
        <f>IF(COUNTIF($A:$A,E629)=0,"Not Exists","Exists")</f>
        <v>Not Exists</v>
      </c>
      <c r="N629" t="str">
        <f t="shared" si="32"/>
        <v>Exists</v>
      </c>
      <c r="O629" t="str">
        <f t="shared" si="30"/>
        <v>Not Exists</v>
      </c>
      <c r="P629" t="str">
        <f t="shared" si="31"/>
        <v>Exists</v>
      </c>
    </row>
    <row r="630" spans="1:16">
      <c r="A630" s="50" t="s">
        <v>624</v>
      </c>
      <c r="B630" s="50" t="s">
        <v>639</v>
      </c>
      <c r="C630" s="50" t="s">
        <v>256</v>
      </c>
      <c r="D630" s="50">
        <v>50</v>
      </c>
      <c r="E630" s="50" t="s">
        <v>634</v>
      </c>
      <c r="F630" s="50" t="s">
        <v>640</v>
      </c>
      <c r="G630" s="50" t="s">
        <v>256</v>
      </c>
      <c r="H630" s="50">
        <v>100</v>
      </c>
      <c r="M630" t="str">
        <f>IF(COUNTIF($A:$A,E630)=0,"Not Exists","Exists")</f>
        <v>Not Exists</v>
      </c>
      <c r="N630" t="str">
        <f t="shared" si="32"/>
        <v>Exists</v>
      </c>
      <c r="O630" t="str">
        <f t="shared" si="30"/>
        <v>Not Exists</v>
      </c>
      <c r="P630" t="str">
        <f t="shared" si="31"/>
        <v>Not Exists</v>
      </c>
    </row>
    <row r="631" spans="1:16">
      <c r="A631" s="50" t="s">
        <v>624</v>
      </c>
      <c r="B631" s="50" t="s">
        <v>641</v>
      </c>
      <c r="C631" s="50" t="s">
        <v>256</v>
      </c>
      <c r="D631" s="50">
        <v>50</v>
      </c>
      <c r="E631" s="50" t="s">
        <v>634</v>
      </c>
      <c r="F631" s="50" t="s">
        <v>642</v>
      </c>
      <c r="G631" s="50" t="s">
        <v>254</v>
      </c>
      <c r="H631" s="50">
        <v>22</v>
      </c>
      <c r="M631" t="str">
        <f>IF(COUNTIF($A:$A,E631)=0,"Not Exists","Exists")</f>
        <v>Not Exists</v>
      </c>
      <c r="N631" t="str">
        <f t="shared" si="32"/>
        <v>Exists</v>
      </c>
      <c r="O631" t="str">
        <f t="shared" si="30"/>
        <v>Not Exists</v>
      </c>
      <c r="P631" t="str">
        <f t="shared" si="31"/>
        <v>Not Exists</v>
      </c>
    </row>
    <row r="632" spans="1:16">
      <c r="A632" s="50" t="s">
        <v>624</v>
      </c>
      <c r="B632" s="50" t="s">
        <v>643</v>
      </c>
      <c r="C632" s="50" t="s">
        <v>256</v>
      </c>
      <c r="D632" s="50">
        <v>50</v>
      </c>
      <c r="E632" s="50" t="s">
        <v>634</v>
      </c>
      <c r="F632" s="50" t="s">
        <v>644</v>
      </c>
      <c r="G632" s="50" t="s">
        <v>254</v>
      </c>
      <c r="H632" s="50">
        <v>22</v>
      </c>
      <c r="M632" t="str">
        <f>IF(COUNTIF($A:$A,E632)=0,"Not Exists","Exists")</f>
        <v>Not Exists</v>
      </c>
      <c r="N632" t="str">
        <f t="shared" si="32"/>
        <v>Exists</v>
      </c>
      <c r="O632" t="str">
        <f t="shared" si="30"/>
        <v>Not Exists</v>
      </c>
      <c r="P632" t="str">
        <f t="shared" si="31"/>
        <v>Not Exists</v>
      </c>
    </row>
    <row r="633" spans="1:16">
      <c r="A633" s="50" t="s">
        <v>624</v>
      </c>
      <c r="B633" s="50" t="s">
        <v>645</v>
      </c>
      <c r="C633" s="50" t="s">
        <v>256</v>
      </c>
      <c r="D633" s="50">
        <v>50</v>
      </c>
      <c r="E633" s="50" t="s">
        <v>634</v>
      </c>
      <c r="F633" s="50" t="s">
        <v>646</v>
      </c>
      <c r="G633" s="50" t="s">
        <v>254</v>
      </c>
      <c r="H633" s="50">
        <v>22</v>
      </c>
      <c r="M633" t="str">
        <f>IF(COUNTIF($A:$A,E633)=0,"Not Exists","Exists")</f>
        <v>Not Exists</v>
      </c>
      <c r="N633" t="str">
        <f t="shared" si="32"/>
        <v>Not Exists</v>
      </c>
      <c r="O633" t="str">
        <f t="shared" si="30"/>
        <v>Not Exists</v>
      </c>
      <c r="P633" t="str">
        <f t="shared" si="31"/>
        <v>Not Exists</v>
      </c>
    </row>
    <row r="634" spans="1:16">
      <c r="A634" s="50" t="s">
        <v>624</v>
      </c>
      <c r="B634" s="50" t="s">
        <v>647</v>
      </c>
      <c r="C634" s="50" t="s">
        <v>256</v>
      </c>
      <c r="D634" s="50">
        <v>3000</v>
      </c>
      <c r="E634" s="50" t="s">
        <v>634</v>
      </c>
      <c r="F634" s="50" t="s">
        <v>637</v>
      </c>
      <c r="G634" s="50" t="s">
        <v>256</v>
      </c>
      <c r="H634" s="50">
        <v>50</v>
      </c>
      <c r="M634" t="str">
        <f>IF(COUNTIF($A:$A,E634)=0,"Not Exists","Exists")</f>
        <v>Not Exists</v>
      </c>
      <c r="N634" t="str">
        <f t="shared" si="32"/>
        <v>Exists</v>
      </c>
      <c r="O634" t="str">
        <f t="shared" si="30"/>
        <v>Not Exists</v>
      </c>
      <c r="P634" t="str">
        <f t="shared" si="31"/>
        <v>Not Exists</v>
      </c>
    </row>
    <row r="635" spans="1:16">
      <c r="A635" s="50" t="s">
        <v>624</v>
      </c>
      <c r="B635" s="50" t="s">
        <v>315</v>
      </c>
      <c r="C635" s="50" t="s">
        <v>251</v>
      </c>
      <c r="D635" s="50">
        <v>17</v>
      </c>
      <c r="E635" s="50" t="s">
        <v>634</v>
      </c>
      <c r="F635" s="50" t="s">
        <v>648</v>
      </c>
      <c r="G635" s="50" t="s">
        <v>256</v>
      </c>
      <c r="H635" s="50">
        <v>4000</v>
      </c>
      <c r="M635" t="str">
        <f>IF(COUNTIF($A:$A,E635)=0,"Not Exists","Exists")</f>
        <v>Not Exists</v>
      </c>
      <c r="N635" t="str">
        <f t="shared" si="32"/>
        <v>Not Exists</v>
      </c>
      <c r="O635" t="str">
        <f t="shared" si="30"/>
        <v>Not Exists</v>
      </c>
      <c r="P635" t="str">
        <f t="shared" si="31"/>
        <v>Exists</v>
      </c>
    </row>
    <row r="636" spans="1:16">
      <c r="A636" s="50" t="s">
        <v>624</v>
      </c>
      <c r="B636" s="50" t="s">
        <v>317</v>
      </c>
      <c r="C636" s="50" t="s">
        <v>251</v>
      </c>
      <c r="D636" s="50">
        <v>17</v>
      </c>
      <c r="E636" s="50" t="s">
        <v>634</v>
      </c>
      <c r="F636" s="50" t="s">
        <v>649</v>
      </c>
      <c r="G636" s="50" t="s">
        <v>256</v>
      </c>
      <c r="H636" s="50">
        <v>4000</v>
      </c>
      <c r="M636" t="str">
        <f>IF(COUNTIF($A:$A,E636)=0,"Not Exists","Exists")</f>
        <v>Not Exists</v>
      </c>
      <c r="N636" t="str">
        <f t="shared" si="32"/>
        <v>Not Exists</v>
      </c>
      <c r="O636" t="str">
        <f t="shared" si="30"/>
        <v>Not Exists</v>
      </c>
      <c r="P636" t="str">
        <f t="shared" si="31"/>
        <v>Exists</v>
      </c>
    </row>
    <row r="637" spans="1:16">
      <c r="A637" s="50" t="s">
        <v>624</v>
      </c>
      <c r="B637" s="50" t="s">
        <v>316</v>
      </c>
      <c r="C637" s="50" t="s">
        <v>256</v>
      </c>
      <c r="D637" s="50">
        <v>50</v>
      </c>
      <c r="E637" s="50" t="s">
        <v>634</v>
      </c>
      <c r="F637" s="50" t="s">
        <v>650</v>
      </c>
      <c r="G637" s="50" t="s">
        <v>427</v>
      </c>
      <c r="H637" s="50">
        <v>4000</v>
      </c>
      <c r="M637" t="str">
        <f>IF(COUNTIF($A:$A,E637)=0,"Not Exists","Exists")</f>
        <v>Not Exists</v>
      </c>
      <c r="N637" t="str">
        <f t="shared" si="32"/>
        <v>Not Exists</v>
      </c>
      <c r="O637" t="str">
        <f t="shared" si="30"/>
        <v>Not Exists</v>
      </c>
      <c r="P637" t="str">
        <f t="shared" si="31"/>
        <v>Exists</v>
      </c>
    </row>
    <row r="638" spans="1:16">
      <c r="A638" s="50" t="s">
        <v>624</v>
      </c>
      <c r="B638" s="50" t="s">
        <v>318</v>
      </c>
      <c r="C638" s="50" t="s">
        <v>256</v>
      </c>
      <c r="D638" s="50">
        <v>50</v>
      </c>
      <c r="E638" s="50" t="s">
        <v>634</v>
      </c>
      <c r="F638" s="50" t="s">
        <v>651</v>
      </c>
      <c r="G638" s="50" t="s">
        <v>256</v>
      </c>
      <c r="H638" s="50">
        <v>200</v>
      </c>
      <c r="M638" t="str">
        <f>IF(COUNTIF($A:$A,E638)=0,"Not Exists","Exists")</f>
        <v>Not Exists</v>
      </c>
      <c r="N638" t="str">
        <f t="shared" si="32"/>
        <v>Not Exists</v>
      </c>
      <c r="O638" t="str">
        <f t="shared" si="30"/>
        <v>Not Exists</v>
      </c>
      <c r="P638" t="str">
        <f t="shared" si="31"/>
        <v>Exists</v>
      </c>
    </row>
    <row r="639" spans="1:16">
      <c r="A639" s="50" t="s">
        <v>624</v>
      </c>
      <c r="B639" s="50" t="s">
        <v>436</v>
      </c>
      <c r="C639" s="50" t="s">
        <v>256</v>
      </c>
      <c r="D639" s="50">
        <v>50</v>
      </c>
      <c r="E639" s="50" t="s">
        <v>634</v>
      </c>
      <c r="F639" s="50" t="s">
        <v>652</v>
      </c>
      <c r="G639" s="50" t="s">
        <v>256</v>
      </c>
      <c r="H639" s="50">
        <v>100</v>
      </c>
      <c r="M639" t="str">
        <f>IF(COUNTIF($A:$A,E639)=0,"Not Exists","Exists")</f>
        <v>Not Exists</v>
      </c>
      <c r="N639" t="str">
        <f t="shared" si="32"/>
        <v>Not Exists</v>
      </c>
      <c r="O639" t="str">
        <f t="shared" si="30"/>
        <v>Not Exists</v>
      </c>
      <c r="P639" t="str">
        <f t="shared" si="31"/>
        <v>Not Exists</v>
      </c>
    </row>
    <row r="640" spans="1:16">
      <c r="A640" s="50" t="s">
        <v>653</v>
      </c>
      <c r="B640" s="50" t="s">
        <v>625</v>
      </c>
      <c r="C640" s="50" t="s">
        <v>256</v>
      </c>
      <c r="D640" s="50">
        <v>50</v>
      </c>
      <c r="E640" s="50" t="s">
        <v>634</v>
      </c>
      <c r="F640" s="50" t="s">
        <v>654</v>
      </c>
      <c r="G640" s="50" t="s">
        <v>254</v>
      </c>
      <c r="H640" s="50">
        <v>22</v>
      </c>
      <c r="M640" t="str">
        <f>IF(COUNTIF($A:$A,E640)=0,"Not Exists","Exists")</f>
        <v>Not Exists</v>
      </c>
      <c r="N640" t="str">
        <f t="shared" si="32"/>
        <v>Not Exists</v>
      </c>
      <c r="O640" t="str">
        <f t="shared" si="30"/>
        <v>Exists</v>
      </c>
      <c r="P640" t="str">
        <f t="shared" si="31"/>
        <v>Exists</v>
      </c>
    </row>
    <row r="641" spans="1:16">
      <c r="A641" s="50" t="s">
        <v>653</v>
      </c>
      <c r="B641" s="50" t="s">
        <v>627</v>
      </c>
      <c r="C641" s="50" t="s">
        <v>251</v>
      </c>
      <c r="D641" s="50">
        <v>17</v>
      </c>
      <c r="E641" s="50" t="s">
        <v>634</v>
      </c>
      <c r="F641" s="50" t="s">
        <v>655</v>
      </c>
      <c r="G641" s="50" t="s">
        <v>256</v>
      </c>
      <c r="H641" s="50">
        <v>4000</v>
      </c>
      <c r="M641" t="str">
        <f>IF(COUNTIF($A:$A,E641)=0,"Not Exists","Exists")</f>
        <v>Not Exists</v>
      </c>
      <c r="N641" t="str">
        <f t="shared" si="32"/>
        <v>Not Exists</v>
      </c>
      <c r="O641" t="str">
        <f t="shared" si="30"/>
        <v>Exists</v>
      </c>
      <c r="P641" t="str">
        <f t="shared" si="31"/>
        <v>Not Exists</v>
      </c>
    </row>
    <row r="642" spans="1:16">
      <c r="A642" s="50" t="s">
        <v>653</v>
      </c>
      <c r="B642" s="50" t="s">
        <v>629</v>
      </c>
      <c r="C642" s="50" t="s">
        <v>254</v>
      </c>
      <c r="D642" s="50">
        <v>22</v>
      </c>
      <c r="E642" s="50" t="s">
        <v>634</v>
      </c>
      <c r="F642" s="50" t="s">
        <v>656</v>
      </c>
      <c r="G642" s="50" t="s">
        <v>256</v>
      </c>
      <c r="H642" s="50">
        <v>50</v>
      </c>
      <c r="M642" t="str">
        <f>IF(COUNTIF($A:$A,E642)=0,"Not Exists","Exists")</f>
        <v>Not Exists</v>
      </c>
      <c r="N642" t="str">
        <f t="shared" si="32"/>
        <v>Not Exists</v>
      </c>
      <c r="O642" t="str">
        <f t="shared" si="30"/>
        <v>Exists</v>
      </c>
      <c r="P642" t="str">
        <f t="shared" si="31"/>
        <v>Not Exists</v>
      </c>
    </row>
    <row r="643" spans="1:16">
      <c r="A643" s="50" t="s">
        <v>653</v>
      </c>
      <c r="B643" s="50" t="s">
        <v>631</v>
      </c>
      <c r="C643" s="50" t="s">
        <v>254</v>
      </c>
      <c r="D643" s="50">
        <v>22</v>
      </c>
      <c r="E643" s="50" t="s">
        <v>634</v>
      </c>
      <c r="F643" s="50" t="s">
        <v>315</v>
      </c>
      <c r="G643" s="50" t="s">
        <v>256</v>
      </c>
      <c r="H643" s="50">
        <v>17</v>
      </c>
      <c r="M643" t="str">
        <f>IF(COUNTIF($A:$A,E643)=0,"Not Exists","Exists")</f>
        <v>Not Exists</v>
      </c>
      <c r="N643" t="str">
        <f t="shared" si="32"/>
        <v>Exists</v>
      </c>
      <c r="O643" t="str">
        <f t="shared" si="30"/>
        <v>Exists</v>
      </c>
      <c r="P643" t="str">
        <f t="shared" si="31"/>
        <v>Not Exists</v>
      </c>
    </row>
    <row r="644" spans="1:16">
      <c r="A644" s="50" t="s">
        <v>653</v>
      </c>
      <c r="B644" s="50" t="s">
        <v>633</v>
      </c>
      <c r="C644" s="50" t="s">
        <v>254</v>
      </c>
      <c r="D644" s="50">
        <v>22</v>
      </c>
      <c r="E644" s="50" t="s">
        <v>634</v>
      </c>
      <c r="F644" s="50" t="s">
        <v>317</v>
      </c>
      <c r="G644" s="50" t="s">
        <v>256</v>
      </c>
      <c r="H644" s="50">
        <v>17</v>
      </c>
      <c r="M644" t="str">
        <f>IF(COUNTIF($A:$A,E644)=0,"Not Exists","Exists")</f>
        <v>Not Exists</v>
      </c>
      <c r="N644" t="str">
        <f t="shared" si="32"/>
        <v>Exists</v>
      </c>
      <c r="O644" t="str">
        <f t="shared" ref="O644:O707" si="33">IF(COUNTIF($E:$E,A644)=0,"Not Exists","Exists")</f>
        <v>Exists</v>
      </c>
      <c r="P644" t="str">
        <f t="shared" ref="P644:P707" si="34">IF(COUNTIF($F:$F,B644)=0,"Not Exists","Exists")</f>
        <v>Not Exists</v>
      </c>
    </row>
    <row r="645" spans="1:16">
      <c r="A645" s="50" t="s">
        <v>653</v>
      </c>
      <c r="B645" s="50" t="s">
        <v>657</v>
      </c>
      <c r="C645" s="50" t="s">
        <v>254</v>
      </c>
      <c r="D645" s="50">
        <v>22</v>
      </c>
      <c r="E645" s="50" t="s">
        <v>634</v>
      </c>
      <c r="F645" s="50" t="s">
        <v>316</v>
      </c>
      <c r="G645" s="50" t="s">
        <v>256</v>
      </c>
      <c r="H645" s="50">
        <v>50</v>
      </c>
      <c r="M645" t="str">
        <f>IF(COUNTIF($A:$A,E645)=0,"Not Exists","Exists")</f>
        <v>Not Exists</v>
      </c>
      <c r="N645" t="str">
        <f t="shared" si="32"/>
        <v>Exists</v>
      </c>
      <c r="O645" t="str">
        <f t="shared" si="33"/>
        <v>Exists</v>
      </c>
      <c r="P645" t="str">
        <f t="shared" si="34"/>
        <v>Exists</v>
      </c>
    </row>
    <row r="646" spans="1:16">
      <c r="A646" s="50" t="s">
        <v>653</v>
      </c>
      <c r="B646" s="50" t="s">
        <v>658</v>
      </c>
      <c r="C646" s="50" t="s">
        <v>254</v>
      </c>
      <c r="D646" s="50">
        <v>22</v>
      </c>
      <c r="E646" s="50" t="s">
        <v>634</v>
      </c>
      <c r="F646" s="50" t="s">
        <v>318</v>
      </c>
      <c r="G646" s="50" t="s">
        <v>256</v>
      </c>
      <c r="H646" s="50">
        <v>50</v>
      </c>
      <c r="M646" t="str">
        <f>IF(COUNTIF($A:$A,E646)=0,"Not Exists","Exists")</f>
        <v>Not Exists</v>
      </c>
      <c r="N646" t="str">
        <f t="shared" si="32"/>
        <v>Exists</v>
      </c>
      <c r="O646" t="str">
        <f t="shared" si="33"/>
        <v>Exists</v>
      </c>
      <c r="P646" t="str">
        <f t="shared" si="34"/>
        <v>Not Exists</v>
      </c>
    </row>
    <row r="647" spans="1:16">
      <c r="A647" s="50" t="s">
        <v>653</v>
      </c>
      <c r="B647" s="50" t="s">
        <v>659</v>
      </c>
      <c r="C647" s="50" t="s">
        <v>256</v>
      </c>
      <c r="D647" s="50">
        <v>50</v>
      </c>
      <c r="E647" s="50" t="s">
        <v>660</v>
      </c>
      <c r="F647" s="50" t="s">
        <v>625</v>
      </c>
      <c r="G647" s="50" t="s">
        <v>256</v>
      </c>
      <c r="H647" s="50">
        <v>50</v>
      </c>
      <c r="M647" t="str">
        <f>IF(COUNTIF($A:$A,E647)=0,"Not Exists","Exists")</f>
        <v>Not Exists</v>
      </c>
      <c r="N647" t="str">
        <f t="shared" si="32"/>
        <v>Exists</v>
      </c>
      <c r="O647" t="str">
        <f t="shared" si="33"/>
        <v>Exists</v>
      </c>
      <c r="P647" t="str">
        <f t="shared" si="34"/>
        <v>Not Exists</v>
      </c>
    </row>
    <row r="648" spans="1:16">
      <c r="A648" s="50" t="s">
        <v>653</v>
      </c>
      <c r="B648" s="50" t="s">
        <v>661</v>
      </c>
      <c r="C648" s="50" t="s">
        <v>256</v>
      </c>
      <c r="D648" s="50">
        <v>50</v>
      </c>
      <c r="E648" s="50" t="s">
        <v>660</v>
      </c>
      <c r="F648" s="50" t="s">
        <v>638</v>
      </c>
      <c r="G648" s="50" t="s">
        <v>256</v>
      </c>
      <c r="H648" s="50">
        <v>8</v>
      </c>
      <c r="M648" t="str">
        <f>IF(COUNTIF($A:$A,E648)=0,"Not Exists","Exists")</f>
        <v>Not Exists</v>
      </c>
      <c r="N648" t="str">
        <f t="shared" si="32"/>
        <v>Exists</v>
      </c>
      <c r="O648" t="str">
        <f t="shared" si="33"/>
        <v>Exists</v>
      </c>
      <c r="P648" t="str">
        <f t="shared" si="34"/>
        <v>Not Exists</v>
      </c>
    </row>
    <row r="649" spans="1:16">
      <c r="A649" s="50" t="s">
        <v>653</v>
      </c>
      <c r="B649" s="50" t="s">
        <v>662</v>
      </c>
      <c r="C649" s="50" t="s">
        <v>254</v>
      </c>
      <c r="D649" s="50">
        <v>22</v>
      </c>
      <c r="E649" s="50" t="s">
        <v>660</v>
      </c>
      <c r="F649" s="50" t="s">
        <v>640</v>
      </c>
      <c r="G649" s="50" t="s">
        <v>256</v>
      </c>
      <c r="H649" s="50">
        <v>100</v>
      </c>
      <c r="M649" t="str">
        <f>IF(COUNTIF($A:$A,E649)=0,"Not Exists","Exists")</f>
        <v>Not Exists</v>
      </c>
      <c r="N649" t="str">
        <f t="shared" si="32"/>
        <v>Exists</v>
      </c>
      <c r="O649" t="str">
        <f t="shared" si="33"/>
        <v>Exists</v>
      </c>
      <c r="P649" t="str">
        <f t="shared" si="34"/>
        <v>Not Exists</v>
      </c>
    </row>
    <row r="650" spans="1:16">
      <c r="A650" s="50" t="s">
        <v>653</v>
      </c>
      <c r="B650" s="50" t="s">
        <v>663</v>
      </c>
      <c r="C650" s="50" t="s">
        <v>256</v>
      </c>
      <c r="D650" s="50">
        <v>50</v>
      </c>
      <c r="E650" s="50" t="s">
        <v>660</v>
      </c>
      <c r="F650" s="50" t="s">
        <v>642</v>
      </c>
      <c r="G650" s="50" t="s">
        <v>254</v>
      </c>
      <c r="H650" s="50">
        <v>22</v>
      </c>
      <c r="M650" t="str">
        <f>IF(COUNTIF($A:$A,E650)=0,"Not Exists","Exists")</f>
        <v>Not Exists</v>
      </c>
      <c r="N650" t="str">
        <f t="shared" si="32"/>
        <v>Exists</v>
      </c>
      <c r="O650" t="str">
        <f t="shared" si="33"/>
        <v>Exists</v>
      </c>
      <c r="P650" t="str">
        <f t="shared" si="34"/>
        <v>Not Exists</v>
      </c>
    </row>
    <row r="651" spans="1:16">
      <c r="A651" s="50" t="s">
        <v>653</v>
      </c>
      <c r="B651" s="50" t="s">
        <v>424</v>
      </c>
      <c r="C651" s="50" t="s">
        <v>256</v>
      </c>
      <c r="D651" s="50">
        <v>50</v>
      </c>
      <c r="E651" s="50" t="s">
        <v>660</v>
      </c>
      <c r="F651" s="50" t="s">
        <v>664</v>
      </c>
      <c r="G651" s="50" t="s">
        <v>256</v>
      </c>
      <c r="H651" s="50">
        <v>50</v>
      </c>
      <c r="M651" t="str">
        <f>IF(COUNTIF($A:$A,E651)=0,"Not Exists","Exists")</f>
        <v>Not Exists</v>
      </c>
      <c r="N651" t="str">
        <f t="shared" si="32"/>
        <v>Not Exists</v>
      </c>
      <c r="O651" t="str">
        <f t="shared" si="33"/>
        <v>Exists</v>
      </c>
      <c r="P651" t="str">
        <f t="shared" si="34"/>
        <v>Exists</v>
      </c>
    </row>
    <row r="652" spans="1:16">
      <c r="A652" s="50" t="s">
        <v>653</v>
      </c>
      <c r="B652" s="50" t="s">
        <v>665</v>
      </c>
      <c r="C652" s="50" t="s">
        <v>256</v>
      </c>
      <c r="D652" s="50">
        <v>50</v>
      </c>
      <c r="E652" s="50" t="s">
        <v>660</v>
      </c>
      <c r="F652" s="50" t="s">
        <v>666</v>
      </c>
      <c r="G652" s="50" t="s">
        <v>254</v>
      </c>
      <c r="H652" s="50">
        <v>22</v>
      </c>
      <c r="M652" t="str">
        <f>IF(COUNTIF($A:$A,E652)=0,"Not Exists","Exists")</f>
        <v>Not Exists</v>
      </c>
      <c r="N652" t="str">
        <f t="shared" si="32"/>
        <v>Not Exists</v>
      </c>
      <c r="O652" t="str">
        <f t="shared" si="33"/>
        <v>Exists</v>
      </c>
      <c r="P652" t="str">
        <f t="shared" si="34"/>
        <v>Exists</v>
      </c>
    </row>
    <row r="653" spans="1:16">
      <c r="A653" s="50" t="s">
        <v>653</v>
      </c>
      <c r="B653" s="50" t="s">
        <v>315</v>
      </c>
      <c r="C653" s="50" t="s">
        <v>251</v>
      </c>
      <c r="D653" s="50">
        <v>17</v>
      </c>
      <c r="E653" s="50" t="s">
        <v>660</v>
      </c>
      <c r="F653" s="50" t="s">
        <v>667</v>
      </c>
      <c r="G653" s="50" t="s">
        <v>254</v>
      </c>
      <c r="H653" s="50">
        <v>22</v>
      </c>
      <c r="M653" t="str">
        <f>IF(COUNTIF($A:$A,E653)=0,"Not Exists","Exists")</f>
        <v>Not Exists</v>
      </c>
      <c r="N653" t="str">
        <f t="shared" si="32"/>
        <v>Not Exists</v>
      </c>
      <c r="O653" t="str">
        <f t="shared" si="33"/>
        <v>Exists</v>
      </c>
      <c r="P653" t="str">
        <f t="shared" si="34"/>
        <v>Exists</v>
      </c>
    </row>
    <row r="654" spans="1:16">
      <c r="A654" s="50" t="s">
        <v>653</v>
      </c>
      <c r="B654" s="50" t="s">
        <v>317</v>
      </c>
      <c r="C654" s="50" t="s">
        <v>251</v>
      </c>
      <c r="D654" s="50">
        <v>17</v>
      </c>
      <c r="E654" s="50" t="s">
        <v>660</v>
      </c>
      <c r="F654" s="50" t="s">
        <v>668</v>
      </c>
      <c r="G654" s="50" t="s">
        <v>254</v>
      </c>
      <c r="H654" s="50">
        <v>22</v>
      </c>
      <c r="M654" t="str">
        <f>IF(COUNTIF($A:$A,E654)=0,"Not Exists","Exists")</f>
        <v>Not Exists</v>
      </c>
      <c r="N654" t="str">
        <f t="shared" si="32"/>
        <v>Exists</v>
      </c>
      <c r="O654" t="str">
        <f t="shared" si="33"/>
        <v>Exists</v>
      </c>
      <c r="P654" t="str">
        <f t="shared" si="34"/>
        <v>Exists</v>
      </c>
    </row>
    <row r="655" spans="1:16">
      <c r="A655" s="50" t="s">
        <v>653</v>
      </c>
      <c r="B655" s="50" t="s">
        <v>316</v>
      </c>
      <c r="C655" s="50" t="s">
        <v>256</v>
      </c>
      <c r="D655" s="50">
        <v>50</v>
      </c>
      <c r="E655" s="50" t="s">
        <v>660</v>
      </c>
      <c r="F655" s="50" t="s">
        <v>669</v>
      </c>
      <c r="G655" s="50" t="s">
        <v>254</v>
      </c>
      <c r="H655" s="50">
        <v>22</v>
      </c>
      <c r="M655" t="str">
        <f>IF(COUNTIF($A:$A,E655)=0,"Not Exists","Exists")</f>
        <v>Not Exists</v>
      </c>
      <c r="N655" t="str">
        <f t="shared" si="32"/>
        <v>Exists</v>
      </c>
      <c r="O655" t="str">
        <f t="shared" si="33"/>
        <v>Exists</v>
      </c>
      <c r="P655" t="str">
        <f t="shared" si="34"/>
        <v>Exists</v>
      </c>
    </row>
    <row r="656" spans="1:16">
      <c r="A656" s="50" t="s">
        <v>653</v>
      </c>
      <c r="B656" s="50" t="s">
        <v>318</v>
      </c>
      <c r="C656" s="50" t="s">
        <v>256</v>
      </c>
      <c r="D656" s="50">
        <v>50</v>
      </c>
      <c r="E656" s="50" t="s">
        <v>660</v>
      </c>
      <c r="F656" s="50" t="s">
        <v>315</v>
      </c>
      <c r="G656" s="50" t="s">
        <v>256</v>
      </c>
      <c r="H656" s="50">
        <v>17</v>
      </c>
      <c r="M656" t="str">
        <f>IF(COUNTIF($A:$A,E656)=0,"Not Exists","Exists")</f>
        <v>Not Exists</v>
      </c>
      <c r="N656" t="str">
        <f t="shared" si="32"/>
        <v>Exists</v>
      </c>
      <c r="O656" t="str">
        <f t="shared" si="33"/>
        <v>Exists</v>
      </c>
      <c r="P656" t="str">
        <f t="shared" si="34"/>
        <v>Exists</v>
      </c>
    </row>
    <row r="657" spans="1:16">
      <c r="A657" s="50" t="s">
        <v>653</v>
      </c>
      <c r="B657" s="50" t="s">
        <v>436</v>
      </c>
      <c r="C657" s="50" t="s">
        <v>256</v>
      </c>
      <c r="D657" s="50">
        <v>50</v>
      </c>
      <c r="E657" s="50" t="s">
        <v>660</v>
      </c>
      <c r="F657" s="50" t="s">
        <v>317</v>
      </c>
      <c r="G657" s="50" t="s">
        <v>256</v>
      </c>
      <c r="H657" s="50">
        <v>17</v>
      </c>
      <c r="M657" t="str">
        <f>IF(COUNTIF($A:$A,E657)=0,"Not Exists","Exists")</f>
        <v>Not Exists</v>
      </c>
      <c r="N657" t="str">
        <f t="shared" si="32"/>
        <v>Exists</v>
      </c>
      <c r="O657" t="str">
        <f t="shared" si="33"/>
        <v>Exists</v>
      </c>
      <c r="P657" t="str">
        <f t="shared" si="34"/>
        <v>Not Exists</v>
      </c>
    </row>
    <row r="658" spans="1:16">
      <c r="A658" s="50" t="s">
        <v>670</v>
      </c>
      <c r="B658" s="50" t="s">
        <v>625</v>
      </c>
      <c r="C658" s="50" t="s">
        <v>256</v>
      </c>
      <c r="D658" s="50">
        <v>50</v>
      </c>
      <c r="E658" s="50" t="s">
        <v>660</v>
      </c>
      <c r="F658" s="50" t="s">
        <v>316</v>
      </c>
      <c r="G658" s="50" t="s">
        <v>256</v>
      </c>
      <c r="H658" s="50">
        <v>50</v>
      </c>
      <c r="M658" t="str">
        <f>IF(COUNTIF($A:$A,E658)=0,"Not Exists","Exists")</f>
        <v>Not Exists</v>
      </c>
      <c r="N658" t="str">
        <f t="shared" si="32"/>
        <v>Exists</v>
      </c>
      <c r="O658" t="str">
        <f t="shared" si="33"/>
        <v>Exists</v>
      </c>
      <c r="P658" t="str">
        <f t="shared" si="34"/>
        <v>Exists</v>
      </c>
    </row>
    <row r="659" spans="1:16">
      <c r="A659" s="50" t="s">
        <v>670</v>
      </c>
      <c r="B659" s="50" t="s">
        <v>671</v>
      </c>
      <c r="C659" s="50" t="s">
        <v>256</v>
      </c>
      <c r="D659" s="50">
        <v>450</v>
      </c>
      <c r="E659" s="50" t="s">
        <v>660</v>
      </c>
      <c r="F659" s="50" t="s">
        <v>318</v>
      </c>
      <c r="G659" s="50" t="s">
        <v>256</v>
      </c>
      <c r="H659" s="50">
        <v>50</v>
      </c>
      <c r="M659" t="str">
        <f>IF(COUNTIF($A:$A,E659)=0,"Not Exists","Exists")</f>
        <v>Not Exists</v>
      </c>
      <c r="N659" t="str">
        <f t="shared" si="32"/>
        <v>Exists</v>
      </c>
      <c r="O659" t="str">
        <f t="shared" si="33"/>
        <v>Exists</v>
      </c>
      <c r="P659" t="str">
        <f t="shared" si="34"/>
        <v>Exists</v>
      </c>
    </row>
    <row r="660" spans="1:16">
      <c r="A660" s="50" t="s">
        <v>670</v>
      </c>
      <c r="B660" s="50" t="s">
        <v>430</v>
      </c>
      <c r="C660" s="50" t="s">
        <v>256</v>
      </c>
      <c r="D660" s="50">
        <v>50</v>
      </c>
      <c r="E660" s="50" t="s">
        <v>653</v>
      </c>
      <c r="F660" s="50" t="s">
        <v>635</v>
      </c>
      <c r="G660" s="50" t="s">
        <v>256</v>
      </c>
      <c r="H660" s="50">
        <v>2</v>
      </c>
      <c r="M660" t="str">
        <f>IF(COUNTIF($A:$A,E660)=0,"Not Exists","Exists")</f>
        <v>Exists</v>
      </c>
      <c r="N660" t="str">
        <f t="shared" si="32"/>
        <v>Not Exists</v>
      </c>
      <c r="O660" t="str">
        <f t="shared" si="33"/>
        <v>Exists</v>
      </c>
      <c r="P660" t="str">
        <f t="shared" si="34"/>
        <v>Exists</v>
      </c>
    </row>
    <row r="661" spans="1:16">
      <c r="A661" s="50" t="s">
        <v>670</v>
      </c>
      <c r="B661" s="50" t="s">
        <v>672</v>
      </c>
      <c r="C661" s="50" t="s">
        <v>256</v>
      </c>
      <c r="D661" s="50">
        <v>450</v>
      </c>
      <c r="E661" s="50" t="s">
        <v>653</v>
      </c>
      <c r="F661" s="50" t="s">
        <v>625</v>
      </c>
      <c r="G661" s="50" t="s">
        <v>256</v>
      </c>
      <c r="H661" s="50">
        <v>50</v>
      </c>
      <c r="M661" t="str">
        <f>IF(COUNTIF($A:$A,E661)=0,"Not Exists","Exists")</f>
        <v>Exists</v>
      </c>
      <c r="N661" t="str">
        <f t="shared" si="32"/>
        <v>Exists</v>
      </c>
      <c r="O661" t="str">
        <f t="shared" si="33"/>
        <v>Exists</v>
      </c>
      <c r="P661" t="str">
        <f t="shared" si="34"/>
        <v>Exists</v>
      </c>
    </row>
    <row r="662" spans="1:16">
      <c r="A662" s="50" t="s">
        <v>670</v>
      </c>
      <c r="B662" s="50" t="s">
        <v>673</v>
      </c>
      <c r="C662" s="50" t="s">
        <v>256</v>
      </c>
      <c r="D662" s="50">
        <v>1</v>
      </c>
      <c r="E662" s="50" t="s">
        <v>653</v>
      </c>
      <c r="F662" s="50" t="s">
        <v>638</v>
      </c>
      <c r="G662" s="50" t="s">
        <v>256</v>
      </c>
      <c r="H662" s="50">
        <v>8</v>
      </c>
      <c r="M662" t="str">
        <f>IF(COUNTIF($A:$A,E662)=0,"Not Exists","Exists")</f>
        <v>Exists</v>
      </c>
      <c r="N662" t="str">
        <f t="shared" si="32"/>
        <v>Exists</v>
      </c>
      <c r="O662" t="str">
        <f t="shared" si="33"/>
        <v>Exists</v>
      </c>
      <c r="P662" t="str">
        <f t="shared" si="34"/>
        <v>Exists</v>
      </c>
    </row>
    <row r="663" spans="1:16">
      <c r="A663" s="50" t="s">
        <v>670</v>
      </c>
      <c r="B663" s="50" t="s">
        <v>674</v>
      </c>
      <c r="C663" s="50" t="s">
        <v>254</v>
      </c>
      <c r="D663" s="50">
        <v>22</v>
      </c>
      <c r="E663" s="50" t="s">
        <v>653</v>
      </c>
      <c r="F663" s="50" t="s">
        <v>640</v>
      </c>
      <c r="G663" s="50" t="s">
        <v>256</v>
      </c>
      <c r="H663" s="50">
        <v>100</v>
      </c>
      <c r="M663" t="str">
        <f>IF(COUNTIF($A:$A,E663)=0,"Not Exists","Exists")</f>
        <v>Exists</v>
      </c>
      <c r="N663" t="str">
        <f t="shared" si="32"/>
        <v>Exists</v>
      </c>
      <c r="O663" t="str">
        <f t="shared" si="33"/>
        <v>Exists</v>
      </c>
      <c r="P663" t="str">
        <f t="shared" si="34"/>
        <v>Exists</v>
      </c>
    </row>
    <row r="664" spans="1:16">
      <c r="A664" s="50" t="s">
        <v>670</v>
      </c>
      <c r="B664" s="50" t="s">
        <v>675</v>
      </c>
      <c r="C664" s="50" t="s">
        <v>256</v>
      </c>
      <c r="D664" s="50">
        <v>450</v>
      </c>
      <c r="E664" s="50" t="s">
        <v>653</v>
      </c>
      <c r="F664" s="50" t="s">
        <v>642</v>
      </c>
      <c r="G664" s="50" t="s">
        <v>254</v>
      </c>
      <c r="H664" s="50">
        <v>22</v>
      </c>
      <c r="M664" t="str">
        <f>IF(COUNTIF($A:$A,E664)=0,"Not Exists","Exists")</f>
        <v>Exists</v>
      </c>
      <c r="N664" t="str">
        <f t="shared" si="32"/>
        <v>Exists</v>
      </c>
      <c r="O664" t="str">
        <f t="shared" si="33"/>
        <v>Exists</v>
      </c>
      <c r="P664" t="str">
        <f t="shared" si="34"/>
        <v>Exists</v>
      </c>
    </row>
    <row r="665" spans="1:16">
      <c r="A665" s="50" t="s">
        <v>670</v>
      </c>
      <c r="B665" s="50" t="s">
        <v>676</v>
      </c>
      <c r="C665" s="50" t="s">
        <v>251</v>
      </c>
      <c r="D665" s="50">
        <v>1</v>
      </c>
      <c r="E665" s="50" t="s">
        <v>653</v>
      </c>
      <c r="F665" s="50" t="s">
        <v>644</v>
      </c>
      <c r="G665" s="50" t="s">
        <v>254</v>
      </c>
      <c r="H665" s="50">
        <v>22</v>
      </c>
      <c r="M665" t="str">
        <f>IF(COUNTIF($A:$A,E665)=0,"Not Exists","Exists")</f>
        <v>Exists</v>
      </c>
      <c r="N665" t="str">
        <f t="shared" si="32"/>
        <v>Exists</v>
      </c>
      <c r="O665" t="str">
        <f t="shared" si="33"/>
        <v>Exists</v>
      </c>
      <c r="P665" t="str">
        <f t="shared" si="34"/>
        <v>Exists</v>
      </c>
    </row>
    <row r="666" spans="1:16">
      <c r="A666" s="50" t="s">
        <v>670</v>
      </c>
      <c r="B666" s="50" t="s">
        <v>677</v>
      </c>
      <c r="C666" s="50" t="s">
        <v>256</v>
      </c>
      <c r="D666" s="50">
        <v>50</v>
      </c>
      <c r="E666" s="50" t="s">
        <v>653</v>
      </c>
      <c r="F666" s="50" t="s">
        <v>678</v>
      </c>
      <c r="G666" s="50" t="s">
        <v>254</v>
      </c>
      <c r="H666" s="50">
        <v>22</v>
      </c>
      <c r="M666" t="str">
        <f>IF(COUNTIF($A:$A,E666)=0,"Not Exists","Exists")</f>
        <v>Exists</v>
      </c>
      <c r="N666" t="str">
        <f t="shared" si="32"/>
        <v>Not Exists</v>
      </c>
      <c r="O666" t="str">
        <f t="shared" si="33"/>
        <v>Exists</v>
      </c>
      <c r="P666" t="str">
        <f t="shared" si="34"/>
        <v>Not Exists</v>
      </c>
    </row>
    <row r="667" spans="1:16">
      <c r="A667" s="50" t="s">
        <v>670</v>
      </c>
      <c r="B667" s="50" t="s">
        <v>679</v>
      </c>
      <c r="C667" s="50" t="s">
        <v>251</v>
      </c>
      <c r="D667" s="50">
        <v>17</v>
      </c>
      <c r="E667" s="50" t="s">
        <v>653</v>
      </c>
      <c r="F667" s="50" t="s">
        <v>657</v>
      </c>
      <c r="G667" s="50" t="s">
        <v>254</v>
      </c>
      <c r="H667" s="50">
        <v>22</v>
      </c>
      <c r="M667" t="str">
        <f>IF(COUNTIF($A:$A,E667)=0,"Not Exists","Exists")</f>
        <v>Exists</v>
      </c>
      <c r="N667" t="str">
        <f t="shared" si="32"/>
        <v>Exists</v>
      </c>
      <c r="O667" t="str">
        <f t="shared" si="33"/>
        <v>Exists</v>
      </c>
      <c r="P667" t="str">
        <f t="shared" si="34"/>
        <v>Not Exists</v>
      </c>
    </row>
    <row r="668" spans="1:16">
      <c r="A668" s="50" t="s">
        <v>670</v>
      </c>
      <c r="B668" s="50" t="s">
        <v>680</v>
      </c>
      <c r="C668" s="50" t="s">
        <v>251</v>
      </c>
      <c r="D668" s="50">
        <v>17</v>
      </c>
      <c r="E668" s="50" t="s">
        <v>653</v>
      </c>
      <c r="F668" s="50" t="s">
        <v>681</v>
      </c>
      <c r="G668" s="50" t="s">
        <v>256</v>
      </c>
      <c r="H668" s="50">
        <v>1</v>
      </c>
      <c r="M668" t="str">
        <f>IF(COUNTIF($A:$A,E668)=0,"Not Exists","Exists")</f>
        <v>Exists</v>
      </c>
      <c r="N668" t="str">
        <f t="shared" ref="N668:N693" si="35">IF(COUNTIF($A:$B,F668)=0,"Not Exists","Exists")</f>
        <v>Not Exists</v>
      </c>
      <c r="O668" t="str">
        <f t="shared" si="33"/>
        <v>Exists</v>
      </c>
      <c r="P668" t="str">
        <f t="shared" si="34"/>
        <v>Not Exists</v>
      </c>
    </row>
    <row r="669" spans="1:16">
      <c r="A669" s="50" t="s">
        <v>670</v>
      </c>
      <c r="B669" s="50" t="s">
        <v>682</v>
      </c>
      <c r="C669" s="50" t="s">
        <v>254</v>
      </c>
      <c r="D669" s="50">
        <v>22</v>
      </c>
      <c r="E669" s="50" t="s">
        <v>653</v>
      </c>
      <c r="F669" s="50" t="s">
        <v>664</v>
      </c>
      <c r="G669" s="50" t="s">
        <v>256</v>
      </c>
      <c r="H669" s="50">
        <v>50</v>
      </c>
      <c r="M669" t="str">
        <f>IF(COUNTIF($A:$A,E669)=0,"Not Exists","Exists")</f>
        <v>Exists</v>
      </c>
      <c r="N669" t="str">
        <f t="shared" si="35"/>
        <v>Not Exists</v>
      </c>
      <c r="O669" t="str">
        <f t="shared" si="33"/>
        <v>Exists</v>
      </c>
      <c r="P669" t="str">
        <f t="shared" si="34"/>
        <v>Exists</v>
      </c>
    </row>
    <row r="670" spans="1:16">
      <c r="A670" s="50" t="s">
        <v>670</v>
      </c>
      <c r="B670" s="50" t="s">
        <v>683</v>
      </c>
      <c r="C670" s="50" t="s">
        <v>251</v>
      </c>
      <c r="D670" s="50">
        <v>1</v>
      </c>
      <c r="E670" s="50" t="s">
        <v>653</v>
      </c>
      <c r="F670" s="50" t="s">
        <v>684</v>
      </c>
      <c r="G670" s="50" t="s">
        <v>256</v>
      </c>
      <c r="H670" s="50">
        <v>4000</v>
      </c>
      <c r="M670" t="str">
        <f>IF(COUNTIF($A:$A,E670)=0,"Not Exists","Exists")</f>
        <v>Exists</v>
      </c>
      <c r="N670" t="str">
        <f t="shared" si="35"/>
        <v>Not Exists</v>
      </c>
      <c r="O670" t="str">
        <f t="shared" si="33"/>
        <v>Exists</v>
      </c>
      <c r="P670" t="str">
        <f t="shared" si="34"/>
        <v>Exists</v>
      </c>
    </row>
    <row r="671" spans="1:16">
      <c r="A671" s="50" t="s">
        <v>670</v>
      </c>
      <c r="B671" s="50" t="s">
        <v>685</v>
      </c>
      <c r="C671" s="50" t="s">
        <v>256</v>
      </c>
      <c r="D671" s="50">
        <v>50</v>
      </c>
      <c r="E671" s="50" t="s">
        <v>653</v>
      </c>
      <c r="F671" s="50" t="s">
        <v>686</v>
      </c>
      <c r="G671" s="50" t="s">
        <v>256</v>
      </c>
      <c r="H671" s="50">
        <v>100</v>
      </c>
      <c r="M671" t="str">
        <f>IF(COUNTIF($A:$A,E671)=0,"Not Exists","Exists")</f>
        <v>Exists</v>
      </c>
      <c r="N671" t="str">
        <f t="shared" si="35"/>
        <v>Not Exists</v>
      </c>
      <c r="O671" t="str">
        <f t="shared" si="33"/>
        <v>Exists</v>
      </c>
      <c r="P671" t="str">
        <f t="shared" si="34"/>
        <v>Not Exists</v>
      </c>
    </row>
    <row r="672" spans="1:16">
      <c r="A672" s="50" t="s">
        <v>670</v>
      </c>
      <c r="B672" s="50" t="s">
        <v>687</v>
      </c>
      <c r="C672" s="50" t="s">
        <v>256</v>
      </c>
      <c r="D672" s="50">
        <v>50</v>
      </c>
      <c r="E672" s="50" t="s">
        <v>653</v>
      </c>
      <c r="F672" s="50" t="s">
        <v>667</v>
      </c>
      <c r="G672" s="50" t="s">
        <v>254</v>
      </c>
      <c r="H672" s="50">
        <v>22</v>
      </c>
      <c r="M672" t="str">
        <f>IF(COUNTIF($A:$A,E672)=0,"Not Exists","Exists")</f>
        <v>Exists</v>
      </c>
      <c r="N672" t="str">
        <f t="shared" si="35"/>
        <v>Not Exists</v>
      </c>
      <c r="O672" t="str">
        <f t="shared" si="33"/>
        <v>Exists</v>
      </c>
      <c r="P672" t="str">
        <f t="shared" si="34"/>
        <v>Not Exists</v>
      </c>
    </row>
    <row r="673" spans="1:16">
      <c r="A673" s="50" t="s">
        <v>670</v>
      </c>
      <c r="B673" s="50" t="s">
        <v>688</v>
      </c>
      <c r="C673" s="50" t="s">
        <v>256</v>
      </c>
      <c r="D673" s="50">
        <v>50</v>
      </c>
      <c r="E673" s="50" t="s">
        <v>653</v>
      </c>
      <c r="F673" s="50" t="s">
        <v>689</v>
      </c>
      <c r="G673" s="50" t="s">
        <v>256</v>
      </c>
      <c r="H673" s="50">
        <v>50</v>
      </c>
      <c r="M673" t="str">
        <f>IF(COUNTIF($A:$A,E673)=0,"Not Exists","Exists")</f>
        <v>Exists</v>
      </c>
      <c r="N673" t="str">
        <f t="shared" si="35"/>
        <v>Not Exists</v>
      </c>
      <c r="O673" t="str">
        <f t="shared" si="33"/>
        <v>Exists</v>
      </c>
      <c r="P673" t="str">
        <f t="shared" si="34"/>
        <v>Not Exists</v>
      </c>
    </row>
    <row r="674" spans="1:16">
      <c r="A674" s="50" t="s">
        <v>670</v>
      </c>
      <c r="B674" s="50" t="s">
        <v>690</v>
      </c>
      <c r="C674" s="50" t="s">
        <v>256</v>
      </c>
      <c r="D674" s="50">
        <v>50</v>
      </c>
      <c r="E674" s="50" t="s">
        <v>653</v>
      </c>
      <c r="F674" s="50" t="s">
        <v>424</v>
      </c>
      <c r="G674" s="50" t="s">
        <v>256</v>
      </c>
      <c r="H674" s="50">
        <v>50</v>
      </c>
      <c r="M674" t="str">
        <f>IF(COUNTIF($A:$A,E674)=0,"Not Exists","Exists")</f>
        <v>Exists</v>
      </c>
      <c r="N674" t="str">
        <f t="shared" si="35"/>
        <v>Exists</v>
      </c>
      <c r="O674" t="str">
        <f t="shared" si="33"/>
        <v>Exists</v>
      </c>
      <c r="P674" t="str">
        <f t="shared" si="34"/>
        <v>Exists</v>
      </c>
    </row>
    <row r="675" spans="1:16">
      <c r="A675" s="50" t="s">
        <v>670</v>
      </c>
      <c r="B675" s="50" t="s">
        <v>691</v>
      </c>
      <c r="C675" s="50" t="s">
        <v>256</v>
      </c>
      <c r="D675" s="50">
        <v>50</v>
      </c>
      <c r="E675" s="50" t="s">
        <v>653</v>
      </c>
      <c r="F675" s="50" t="s">
        <v>692</v>
      </c>
      <c r="G675" s="50" t="s">
        <v>256</v>
      </c>
      <c r="H675" s="50">
        <v>4000</v>
      </c>
      <c r="M675" t="str">
        <f>IF(COUNTIF($A:$A,E675)=0,"Not Exists","Exists")</f>
        <v>Exists</v>
      </c>
      <c r="N675" t="str">
        <f t="shared" si="35"/>
        <v>Exists</v>
      </c>
      <c r="O675" t="str">
        <f t="shared" si="33"/>
        <v>Exists</v>
      </c>
      <c r="P675" t="str">
        <f t="shared" si="34"/>
        <v>Exists</v>
      </c>
    </row>
    <row r="676" spans="1:16">
      <c r="A676" s="50" t="s">
        <v>670</v>
      </c>
      <c r="B676" s="50" t="s">
        <v>693</v>
      </c>
      <c r="C676" s="50" t="s">
        <v>251</v>
      </c>
      <c r="D676" s="50">
        <v>1</v>
      </c>
      <c r="E676" s="50" t="s">
        <v>653</v>
      </c>
      <c r="F676" s="50" t="s">
        <v>694</v>
      </c>
      <c r="G676" s="50" t="s">
        <v>256</v>
      </c>
      <c r="H676" s="50">
        <v>4000</v>
      </c>
      <c r="M676" t="str">
        <f>IF(COUNTIF($A:$A,E676)=0,"Not Exists","Exists")</f>
        <v>Exists</v>
      </c>
      <c r="N676" t="str">
        <f t="shared" si="35"/>
        <v>Exists</v>
      </c>
      <c r="O676" t="str">
        <f t="shared" si="33"/>
        <v>Exists</v>
      </c>
      <c r="P676" t="str">
        <f t="shared" si="34"/>
        <v>Exists</v>
      </c>
    </row>
    <row r="677" spans="1:16">
      <c r="A677" s="50" t="s">
        <v>670</v>
      </c>
      <c r="B677" s="50" t="s">
        <v>695</v>
      </c>
      <c r="C677" s="50" t="s">
        <v>251</v>
      </c>
      <c r="D677" s="50">
        <v>1</v>
      </c>
      <c r="E677" s="50" t="s">
        <v>653</v>
      </c>
      <c r="F677" s="50" t="s">
        <v>696</v>
      </c>
      <c r="G677" s="50" t="s">
        <v>256</v>
      </c>
      <c r="H677" s="50">
        <v>4000</v>
      </c>
      <c r="M677" t="str">
        <f>IF(COUNTIF($A:$A,E677)=0,"Not Exists","Exists")</f>
        <v>Exists</v>
      </c>
      <c r="N677" t="str">
        <f t="shared" si="35"/>
        <v>Not Exists</v>
      </c>
      <c r="O677" t="str">
        <f t="shared" si="33"/>
        <v>Exists</v>
      </c>
      <c r="P677" t="str">
        <f t="shared" si="34"/>
        <v>Exists</v>
      </c>
    </row>
    <row r="678" spans="1:16">
      <c r="A678" s="50" t="s">
        <v>670</v>
      </c>
      <c r="B678" s="50" t="s">
        <v>697</v>
      </c>
      <c r="C678" s="50" t="s">
        <v>256</v>
      </c>
      <c r="D678" s="50">
        <v>50</v>
      </c>
      <c r="E678" s="50" t="s">
        <v>653</v>
      </c>
      <c r="F678" s="50" t="s">
        <v>698</v>
      </c>
      <c r="G678" s="50" t="s">
        <v>256</v>
      </c>
      <c r="H678" s="50">
        <v>4000</v>
      </c>
      <c r="M678" t="str">
        <f>IF(COUNTIF($A:$A,E678)=0,"Not Exists","Exists")</f>
        <v>Exists</v>
      </c>
      <c r="N678" t="str">
        <f t="shared" si="35"/>
        <v>Not Exists</v>
      </c>
      <c r="O678" t="str">
        <f t="shared" si="33"/>
        <v>Exists</v>
      </c>
      <c r="P678" t="str">
        <f t="shared" si="34"/>
        <v>Not Exists</v>
      </c>
    </row>
    <row r="679" spans="1:16">
      <c r="A679" s="50" t="s">
        <v>670</v>
      </c>
      <c r="B679" s="50" t="s">
        <v>699</v>
      </c>
      <c r="C679" s="50" t="s">
        <v>256</v>
      </c>
      <c r="D679" s="50">
        <v>50</v>
      </c>
      <c r="E679" s="50" t="s">
        <v>653</v>
      </c>
      <c r="F679" s="50" t="s">
        <v>700</v>
      </c>
      <c r="G679" s="50" t="s">
        <v>256</v>
      </c>
      <c r="H679" s="50">
        <v>4000</v>
      </c>
      <c r="M679" t="str">
        <f>IF(COUNTIF($A:$A,E679)=0,"Not Exists","Exists")</f>
        <v>Exists</v>
      </c>
      <c r="N679" t="str">
        <f t="shared" si="35"/>
        <v>Not Exists</v>
      </c>
      <c r="O679" t="str">
        <f t="shared" si="33"/>
        <v>Exists</v>
      </c>
      <c r="P679" t="str">
        <f t="shared" si="34"/>
        <v>Not Exists</v>
      </c>
    </row>
    <row r="680" spans="1:16">
      <c r="A680" s="50" t="s">
        <v>670</v>
      </c>
      <c r="B680" s="50" t="s">
        <v>701</v>
      </c>
      <c r="C680" s="50" t="s">
        <v>256</v>
      </c>
      <c r="D680" s="50">
        <v>50</v>
      </c>
      <c r="E680" s="50" t="s">
        <v>653</v>
      </c>
      <c r="F680" s="50" t="s">
        <v>665</v>
      </c>
      <c r="G680" s="50" t="s">
        <v>256</v>
      </c>
      <c r="H680" s="50">
        <v>3</v>
      </c>
      <c r="M680" t="str">
        <f>IF(COUNTIF($A:$A,E680)=0,"Not Exists","Exists")</f>
        <v>Exists</v>
      </c>
      <c r="N680" t="str">
        <f t="shared" si="35"/>
        <v>Exists</v>
      </c>
      <c r="O680" t="str">
        <f t="shared" si="33"/>
        <v>Exists</v>
      </c>
      <c r="P680" t="str">
        <f t="shared" si="34"/>
        <v>Exists</v>
      </c>
    </row>
    <row r="681" spans="1:16">
      <c r="A681" s="50" t="s">
        <v>670</v>
      </c>
      <c r="B681" s="50" t="s">
        <v>315</v>
      </c>
      <c r="C681" s="50" t="s">
        <v>251</v>
      </c>
      <c r="D681" s="50">
        <v>17</v>
      </c>
      <c r="E681" s="50" t="s">
        <v>653</v>
      </c>
      <c r="F681" s="50" t="s">
        <v>702</v>
      </c>
      <c r="G681" s="50" t="s">
        <v>256</v>
      </c>
      <c r="H681" s="50">
        <v>17</v>
      </c>
      <c r="M681" t="str">
        <f>IF(COUNTIF($A:$A,E681)=0,"Not Exists","Exists")</f>
        <v>Exists</v>
      </c>
      <c r="N681" t="str">
        <f t="shared" si="35"/>
        <v>Exists</v>
      </c>
      <c r="O681" t="str">
        <f t="shared" si="33"/>
        <v>Exists</v>
      </c>
      <c r="P681" t="str">
        <f t="shared" si="34"/>
        <v>Exists</v>
      </c>
    </row>
    <row r="682" spans="1:16">
      <c r="A682" s="50" t="s">
        <v>670</v>
      </c>
      <c r="B682" s="50" t="s">
        <v>317</v>
      </c>
      <c r="C682" s="50" t="s">
        <v>251</v>
      </c>
      <c r="D682" s="50">
        <v>17</v>
      </c>
      <c r="E682" s="50" t="s">
        <v>653</v>
      </c>
      <c r="F682" s="50" t="s">
        <v>703</v>
      </c>
      <c r="G682" s="50" t="s">
        <v>256</v>
      </c>
      <c r="H682" s="50">
        <v>17</v>
      </c>
      <c r="M682" t="str">
        <f>IF(COUNTIF($A:$A,E682)=0,"Not Exists","Exists")</f>
        <v>Exists</v>
      </c>
      <c r="N682" t="str">
        <f t="shared" si="35"/>
        <v>Exists</v>
      </c>
      <c r="O682" t="str">
        <f t="shared" si="33"/>
        <v>Exists</v>
      </c>
      <c r="P682" t="str">
        <f t="shared" si="34"/>
        <v>Exists</v>
      </c>
    </row>
    <row r="683" spans="1:16">
      <c r="A683" s="50" t="s">
        <v>670</v>
      </c>
      <c r="B683" s="50" t="s">
        <v>316</v>
      </c>
      <c r="C683" s="50" t="s">
        <v>256</v>
      </c>
      <c r="D683" s="50">
        <v>50</v>
      </c>
      <c r="E683" s="50" t="s">
        <v>653</v>
      </c>
      <c r="F683" s="50" t="s">
        <v>704</v>
      </c>
      <c r="G683" s="50" t="s">
        <v>256</v>
      </c>
      <c r="H683" s="50">
        <v>50</v>
      </c>
      <c r="M683" t="str">
        <f>IF(COUNTIF($A:$A,E683)=0,"Not Exists","Exists")</f>
        <v>Exists</v>
      </c>
      <c r="N683" t="str">
        <f t="shared" si="35"/>
        <v>Not Exists</v>
      </c>
      <c r="O683" t="str">
        <f t="shared" si="33"/>
        <v>Exists</v>
      </c>
      <c r="P683" t="str">
        <f t="shared" si="34"/>
        <v>Exists</v>
      </c>
    </row>
    <row r="684" spans="1:16">
      <c r="A684" s="50" t="s">
        <v>670</v>
      </c>
      <c r="B684" s="50" t="s">
        <v>318</v>
      </c>
      <c r="C684" s="50" t="s">
        <v>256</v>
      </c>
      <c r="D684" s="50">
        <v>50</v>
      </c>
      <c r="E684" s="50" t="s">
        <v>653</v>
      </c>
      <c r="F684" s="50" t="s">
        <v>705</v>
      </c>
      <c r="G684" s="50" t="s">
        <v>254</v>
      </c>
      <c r="H684" s="50">
        <v>22</v>
      </c>
      <c r="M684" t="str">
        <f>IF(COUNTIF($A:$A,E684)=0,"Not Exists","Exists")</f>
        <v>Exists</v>
      </c>
      <c r="N684" t="str">
        <f t="shared" si="35"/>
        <v>Not Exists</v>
      </c>
      <c r="O684" t="str">
        <f t="shared" si="33"/>
        <v>Exists</v>
      </c>
      <c r="P684" t="str">
        <f t="shared" si="34"/>
        <v>Exists</v>
      </c>
    </row>
    <row r="685" spans="1:16">
      <c r="A685" s="50" t="s">
        <v>670</v>
      </c>
      <c r="B685" s="50" t="s">
        <v>436</v>
      </c>
      <c r="C685" s="50" t="s">
        <v>256</v>
      </c>
      <c r="D685" s="50">
        <v>50</v>
      </c>
      <c r="E685" s="50" t="s">
        <v>653</v>
      </c>
      <c r="F685" s="50" t="s">
        <v>706</v>
      </c>
      <c r="G685" s="50" t="s">
        <v>254</v>
      </c>
      <c r="H685" s="50">
        <v>22</v>
      </c>
      <c r="M685" t="str">
        <f>IF(COUNTIF($A:$A,E685)=0,"Not Exists","Exists")</f>
        <v>Exists</v>
      </c>
      <c r="N685" t="str">
        <f t="shared" si="35"/>
        <v>Not Exists</v>
      </c>
      <c r="O685" t="str">
        <f t="shared" si="33"/>
        <v>Exists</v>
      </c>
      <c r="P685" t="str">
        <f t="shared" si="34"/>
        <v>Not Exists</v>
      </c>
    </row>
    <row r="686" spans="1:16">
      <c r="A686" s="50" t="s">
        <v>670</v>
      </c>
      <c r="B686" s="50" t="s">
        <v>707</v>
      </c>
      <c r="C686" s="50" t="s">
        <v>256</v>
      </c>
      <c r="D686" s="50">
        <v>10</v>
      </c>
      <c r="E686" s="50" t="s">
        <v>653</v>
      </c>
      <c r="F686" s="50" t="s">
        <v>708</v>
      </c>
      <c r="G686" s="50" t="s">
        <v>254</v>
      </c>
      <c r="H686" s="50">
        <v>22</v>
      </c>
      <c r="M686" t="str">
        <f>IF(COUNTIF($A:$A,E686)=0,"Not Exists","Exists")</f>
        <v>Exists</v>
      </c>
      <c r="N686" t="str">
        <f t="shared" si="35"/>
        <v>Not Exists</v>
      </c>
      <c r="O686" t="str">
        <f t="shared" si="33"/>
        <v>Exists</v>
      </c>
      <c r="P686" t="str">
        <f t="shared" si="34"/>
        <v>Exists</v>
      </c>
    </row>
    <row r="687" spans="1:16">
      <c r="A687" s="50" t="s">
        <v>670</v>
      </c>
      <c r="B687" s="50" t="s">
        <v>709</v>
      </c>
      <c r="C687" s="50" t="s">
        <v>256</v>
      </c>
      <c r="D687" s="50">
        <v>10</v>
      </c>
      <c r="E687" s="50" t="s">
        <v>653</v>
      </c>
      <c r="F687" s="50" t="s">
        <v>710</v>
      </c>
      <c r="G687" s="50" t="s">
        <v>254</v>
      </c>
      <c r="H687" s="50">
        <v>22</v>
      </c>
      <c r="M687" t="str">
        <f>IF(COUNTIF($A:$A,E687)=0,"Not Exists","Exists")</f>
        <v>Exists</v>
      </c>
      <c r="N687" t="str">
        <f t="shared" si="35"/>
        <v>Not Exists</v>
      </c>
      <c r="O687" t="str">
        <f t="shared" si="33"/>
        <v>Exists</v>
      </c>
      <c r="P687" t="str">
        <f t="shared" si="34"/>
        <v>Exists</v>
      </c>
    </row>
    <row r="688" spans="1:16">
      <c r="A688" s="50" t="s">
        <v>670</v>
      </c>
      <c r="B688" s="50" t="s">
        <v>711</v>
      </c>
      <c r="C688" s="50" t="s">
        <v>254</v>
      </c>
      <c r="D688" s="50">
        <v>22</v>
      </c>
      <c r="E688" s="50" t="s">
        <v>653</v>
      </c>
      <c r="F688" s="50" t="s">
        <v>712</v>
      </c>
      <c r="G688" s="50" t="s">
        <v>256</v>
      </c>
      <c r="H688" s="50">
        <v>50</v>
      </c>
      <c r="M688" t="str">
        <f>IF(COUNTIF($A:$A,E688)=0,"Not Exists","Exists")</f>
        <v>Exists</v>
      </c>
      <c r="N688" t="str">
        <f t="shared" si="35"/>
        <v>Exists</v>
      </c>
      <c r="O688" t="str">
        <f t="shared" si="33"/>
        <v>Exists</v>
      </c>
      <c r="P688" t="str">
        <f t="shared" si="34"/>
        <v>Exists</v>
      </c>
    </row>
    <row r="689" spans="1:16">
      <c r="A689" s="50" t="s">
        <v>670</v>
      </c>
      <c r="B689" s="50" t="s">
        <v>713</v>
      </c>
      <c r="C689" s="50" t="s">
        <v>256</v>
      </c>
      <c r="D689" s="50">
        <v>10</v>
      </c>
      <c r="E689" s="50" t="s">
        <v>653</v>
      </c>
      <c r="F689" s="50" t="s">
        <v>701</v>
      </c>
      <c r="G689" s="50" t="s">
        <v>256</v>
      </c>
      <c r="H689" s="50">
        <v>450</v>
      </c>
      <c r="M689" t="str">
        <f>IF(COUNTIF($A:$A,E689)=0,"Not Exists","Exists")</f>
        <v>Exists</v>
      </c>
      <c r="N689" t="str">
        <f t="shared" si="35"/>
        <v>Exists</v>
      </c>
      <c r="O689" t="str">
        <f t="shared" si="33"/>
        <v>Exists</v>
      </c>
      <c r="P689" t="str">
        <f t="shared" si="34"/>
        <v>Exists</v>
      </c>
    </row>
    <row r="690" spans="1:16">
      <c r="A690" s="50" t="s">
        <v>670</v>
      </c>
      <c r="B690" s="50" t="s">
        <v>714</v>
      </c>
      <c r="C690" s="50" t="s">
        <v>256</v>
      </c>
      <c r="D690" s="50">
        <v>10</v>
      </c>
      <c r="E690" s="50" t="s">
        <v>653</v>
      </c>
      <c r="F690" s="50" t="s">
        <v>315</v>
      </c>
      <c r="G690" s="50" t="s">
        <v>256</v>
      </c>
      <c r="H690" s="50">
        <v>17</v>
      </c>
      <c r="M690" t="str">
        <f>IF(COUNTIF($A:$A,E690)=0,"Not Exists","Exists")</f>
        <v>Exists</v>
      </c>
      <c r="N690" t="str">
        <f t="shared" si="35"/>
        <v>Exists</v>
      </c>
      <c r="O690" t="str">
        <f t="shared" si="33"/>
        <v>Exists</v>
      </c>
      <c r="P690" t="str">
        <f t="shared" si="34"/>
        <v>Exists</v>
      </c>
    </row>
    <row r="691" spans="1:16">
      <c r="A691" s="50" t="s">
        <v>670</v>
      </c>
      <c r="B691" s="50" t="s">
        <v>715</v>
      </c>
      <c r="C691" s="50" t="s">
        <v>251</v>
      </c>
      <c r="D691" s="50">
        <v>1</v>
      </c>
      <c r="E691" s="50" t="s">
        <v>653</v>
      </c>
      <c r="F691" s="50" t="s">
        <v>317</v>
      </c>
      <c r="G691" s="50" t="s">
        <v>256</v>
      </c>
      <c r="H691" s="50">
        <v>17</v>
      </c>
      <c r="M691" t="str">
        <f>IF(COUNTIF($A:$A,E691)=0,"Not Exists","Exists")</f>
        <v>Exists</v>
      </c>
      <c r="N691" t="str">
        <f t="shared" si="35"/>
        <v>Exists</v>
      </c>
      <c r="O691" t="str">
        <f t="shared" si="33"/>
        <v>Exists</v>
      </c>
      <c r="P691" t="str">
        <f t="shared" si="34"/>
        <v>Exists</v>
      </c>
    </row>
    <row r="692" spans="1:16">
      <c r="A692" s="50" t="s">
        <v>670</v>
      </c>
      <c r="B692" s="50" t="s">
        <v>716</v>
      </c>
      <c r="C692" s="50" t="s">
        <v>251</v>
      </c>
      <c r="D692" s="50">
        <v>1</v>
      </c>
      <c r="E692" s="50" t="s">
        <v>653</v>
      </c>
      <c r="F692" s="50" t="s">
        <v>316</v>
      </c>
      <c r="G692" s="50" t="s">
        <v>256</v>
      </c>
      <c r="H692" s="50">
        <v>50</v>
      </c>
      <c r="M692" t="str">
        <f>IF(COUNTIF($A:$A,E692)=0,"Not Exists","Exists")</f>
        <v>Exists</v>
      </c>
      <c r="N692" t="str">
        <f t="shared" si="35"/>
        <v>Exists</v>
      </c>
      <c r="O692" t="str">
        <f t="shared" si="33"/>
        <v>Exists</v>
      </c>
      <c r="P692" t="str">
        <f t="shared" si="34"/>
        <v>Exists</v>
      </c>
    </row>
    <row r="693" spans="1:16">
      <c r="A693" s="50" t="s">
        <v>670</v>
      </c>
      <c r="B693" s="50" t="s">
        <v>717</v>
      </c>
      <c r="C693" s="50" t="s">
        <v>251</v>
      </c>
      <c r="D693" s="50">
        <v>1</v>
      </c>
      <c r="E693" s="50" t="s">
        <v>653</v>
      </c>
      <c r="F693" s="50" t="s">
        <v>318</v>
      </c>
      <c r="G693" s="50" t="s">
        <v>256</v>
      </c>
      <c r="H693" s="50">
        <v>50</v>
      </c>
      <c r="M693" t="str">
        <f>IF(COUNTIF($A:$A,E693)=0,"Not Exists","Exists")</f>
        <v>Exists</v>
      </c>
      <c r="N693" t="str">
        <f t="shared" si="35"/>
        <v>Exists</v>
      </c>
      <c r="O693" t="str">
        <f t="shared" si="33"/>
        <v>Exists</v>
      </c>
      <c r="P693" t="str">
        <f t="shared" si="34"/>
        <v>Exists</v>
      </c>
    </row>
    <row r="694" spans="1:16">
      <c r="A694" s="50" t="s">
        <v>670</v>
      </c>
      <c r="B694" s="50" t="s">
        <v>718</v>
      </c>
      <c r="C694" s="50" t="s">
        <v>251</v>
      </c>
      <c r="D694" s="50">
        <v>1</v>
      </c>
      <c r="E694" s="50" t="s">
        <v>719</v>
      </c>
      <c r="F694" s="50" t="s">
        <v>625</v>
      </c>
      <c r="G694" s="50" t="s">
        <v>256</v>
      </c>
      <c r="H694" s="50">
        <v>50</v>
      </c>
      <c r="M694" t="str">
        <f>IF(COUNTIF($A:$A,E694)=0,"Not Exists","Exists")</f>
        <v>Not Exists</v>
      </c>
      <c r="N694" t="str">
        <f t="shared" ref="N694:N740" si="36">IF(COUNTIF($A:$B,F694)=0,"Not Exists","Exists")</f>
        <v>Exists</v>
      </c>
      <c r="O694" t="str">
        <f t="shared" si="33"/>
        <v>Exists</v>
      </c>
      <c r="P694" t="str">
        <f t="shared" si="34"/>
        <v>Exists</v>
      </c>
    </row>
    <row r="695" spans="1:16">
      <c r="A695" s="50" t="s">
        <v>720</v>
      </c>
      <c r="B695" s="50" t="s">
        <v>625</v>
      </c>
      <c r="C695" s="50" t="s">
        <v>256</v>
      </c>
      <c r="D695" s="50">
        <v>50</v>
      </c>
      <c r="E695" s="50" t="s">
        <v>719</v>
      </c>
      <c r="F695" s="50" t="s">
        <v>638</v>
      </c>
      <c r="G695" s="50" t="s">
        <v>256</v>
      </c>
      <c r="H695" s="50">
        <v>8</v>
      </c>
      <c r="M695" t="str">
        <f>IF(COUNTIF($A:$A,E695)=0,"Not Exists","Exists")</f>
        <v>Not Exists</v>
      </c>
      <c r="N695" t="str">
        <f t="shared" si="36"/>
        <v>Exists</v>
      </c>
      <c r="O695" t="str">
        <f t="shared" si="33"/>
        <v>Exists</v>
      </c>
      <c r="P695" t="str">
        <f t="shared" si="34"/>
        <v>Exists</v>
      </c>
    </row>
    <row r="696" spans="1:16">
      <c r="A696" s="50" t="s">
        <v>720</v>
      </c>
      <c r="B696" s="50" t="s">
        <v>627</v>
      </c>
      <c r="C696" s="50" t="s">
        <v>256</v>
      </c>
      <c r="D696" s="50">
        <v>17</v>
      </c>
      <c r="E696" s="50" t="s">
        <v>719</v>
      </c>
      <c r="F696" s="50" t="s">
        <v>640</v>
      </c>
      <c r="G696" s="50" t="s">
        <v>256</v>
      </c>
      <c r="H696" s="50">
        <v>100</v>
      </c>
      <c r="M696" t="str">
        <f>IF(COUNTIF($A:$A,E696)=0,"Not Exists","Exists")</f>
        <v>Not Exists</v>
      </c>
      <c r="N696" t="str">
        <f t="shared" si="36"/>
        <v>Exists</v>
      </c>
      <c r="O696" t="str">
        <f t="shared" si="33"/>
        <v>Exists</v>
      </c>
      <c r="P696" t="str">
        <f t="shared" si="34"/>
        <v>Not Exists</v>
      </c>
    </row>
    <row r="697" spans="1:16">
      <c r="A697" s="50" t="s">
        <v>720</v>
      </c>
      <c r="B697" s="50" t="s">
        <v>629</v>
      </c>
      <c r="C697" s="50" t="s">
        <v>254</v>
      </c>
      <c r="D697" s="50">
        <v>22</v>
      </c>
      <c r="E697" s="50" t="s">
        <v>719</v>
      </c>
      <c r="F697" s="50" t="s">
        <v>642</v>
      </c>
      <c r="G697" s="50" t="s">
        <v>254</v>
      </c>
      <c r="H697" s="50">
        <v>22</v>
      </c>
      <c r="M697" t="str">
        <f>IF(COUNTIF($A:$A,E697)=0,"Not Exists","Exists")</f>
        <v>Not Exists</v>
      </c>
      <c r="N697" t="str">
        <f t="shared" si="36"/>
        <v>Exists</v>
      </c>
      <c r="O697" t="str">
        <f t="shared" si="33"/>
        <v>Exists</v>
      </c>
      <c r="P697" t="str">
        <f t="shared" si="34"/>
        <v>Not Exists</v>
      </c>
    </row>
    <row r="698" spans="1:16">
      <c r="A698" s="50" t="s">
        <v>720</v>
      </c>
      <c r="B698" s="50" t="s">
        <v>631</v>
      </c>
      <c r="C698" s="50" t="s">
        <v>254</v>
      </c>
      <c r="D698" s="50">
        <v>22</v>
      </c>
      <c r="E698" s="50" t="s">
        <v>719</v>
      </c>
      <c r="F698" s="50" t="s">
        <v>447</v>
      </c>
      <c r="G698" s="50" t="s">
        <v>256</v>
      </c>
      <c r="H698" s="50">
        <v>50</v>
      </c>
      <c r="M698" t="str">
        <f>IF(COUNTIF($A:$A,E698)=0,"Not Exists","Exists")</f>
        <v>Not Exists</v>
      </c>
      <c r="N698" t="str">
        <f t="shared" si="36"/>
        <v>Exists</v>
      </c>
      <c r="O698" t="str">
        <f t="shared" si="33"/>
        <v>Exists</v>
      </c>
      <c r="P698" t="str">
        <f t="shared" si="34"/>
        <v>Not Exists</v>
      </c>
    </row>
    <row r="699" spans="1:16">
      <c r="A699" s="50" t="s">
        <v>720</v>
      </c>
      <c r="B699" s="50" t="s">
        <v>712</v>
      </c>
      <c r="C699" s="50" t="s">
        <v>256</v>
      </c>
      <c r="D699" s="50">
        <v>50</v>
      </c>
      <c r="E699" s="50" t="s">
        <v>719</v>
      </c>
      <c r="F699" s="50" t="s">
        <v>457</v>
      </c>
      <c r="G699" s="50" t="s">
        <v>254</v>
      </c>
      <c r="H699" s="50">
        <v>22</v>
      </c>
      <c r="M699" t="str">
        <f>IF(COUNTIF($A:$A,E699)=0,"Not Exists","Exists")</f>
        <v>Not Exists</v>
      </c>
      <c r="N699" t="str">
        <f t="shared" si="36"/>
        <v>Exists</v>
      </c>
      <c r="O699" t="str">
        <f t="shared" si="33"/>
        <v>Exists</v>
      </c>
      <c r="P699" t="str">
        <f t="shared" si="34"/>
        <v>Exists</v>
      </c>
    </row>
    <row r="700" spans="1:16">
      <c r="A700" s="50" t="s">
        <v>720</v>
      </c>
      <c r="B700" s="50" t="s">
        <v>701</v>
      </c>
      <c r="C700" s="50" t="s">
        <v>256</v>
      </c>
      <c r="D700" s="50">
        <v>450</v>
      </c>
      <c r="E700" s="50" t="s">
        <v>719</v>
      </c>
      <c r="F700" s="50" t="s">
        <v>456</v>
      </c>
      <c r="G700" s="50" t="s">
        <v>254</v>
      </c>
      <c r="H700" s="50">
        <v>22</v>
      </c>
      <c r="M700" t="str">
        <f>IF(COUNTIF($A:$A,E700)=0,"Not Exists","Exists")</f>
        <v>Not Exists</v>
      </c>
      <c r="N700" t="str">
        <f t="shared" si="36"/>
        <v>Exists</v>
      </c>
      <c r="O700" t="str">
        <f t="shared" si="33"/>
        <v>Exists</v>
      </c>
      <c r="P700" t="str">
        <f t="shared" si="34"/>
        <v>Exists</v>
      </c>
    </row>
    <row r="701" spans="1:16">
      <c r="A701" s="50" t="s">
        <v>720</v>
      </c>
      <c r="B701" s="50" t="s">
        <v>721</v>
      </c>
      <c r="C701" s="50" t="s">
        <v>256</v>
      </c>
      <c r="D701" s="50">
        <v>50</v>
      </c>
      <c r="E701" s="50" t="s">
        <v>719</v>
      </c>
      <c r="F701" s="50" t="s">
        <v>522</v>
      </c>
      <c r="G701" s="50" t="s">
        <v>254</v>
      </c>
      <c r="H701" s="50">
        <v>22</v>
      </c>
      <c r="M701" t="str">
        <f>IF(COUNTIF($A:$A,E701)=0,"Not Exists","Exists")</f>
        <v>Not Exists</v>
      </c>
      <c r="N701" t="str">
        <f t="shared" si="36"/>
        <v>Exists</v>
      </c>
      <c r="O701" t="str">
        <f t="shared" si="33"/>
        <v>Exists</v>
      </c>
      <c r="P701" t="str">
        <f t="shared" si="34"/>
        <v>Exists</v>
      </c>
    </row>
    <row r="702" spans="1:16">
      <c r="A702" s="50" t="s">
        <v>720</v>
      </c>
      <c r="B702" s="50" t="s">
        <v>668</v>
      </c>
      <c r="C702" s="50" t="s">
        <v>254</v>
      </c>
      <c r="D702" s="50">
        <v>22</v>
      </c>
      <c r="E702" s="50" t="s">
        <v>719</v>
      </c>
      <c r="F702" s="50" t="s">
        <v>512</v>
      </c>
      <c r="G702" s="50" t="s">
        <v>256</v>
      </c>
      <c r="H702" s="50">
        <v>50</v>
      </c>
      <c r="M702" t="str">
        <f>IF(COUNTIF($A:$A,E702)=0,"Not Exists","Exists")</f>
        <v>Not Exists</v>
      </c>
      <c r="N702" t="str">
        <f t="shared" si="36"/>
        <v>Exists</v>
      </c>
      <c r="O702" t="str">
        <f t="shared" si="33"/>
        <v>Exists</v>
      </c>
      <c r="P702" t="str">
        <f t="shared" si="34"/>
        <v>Exists</v>
      </c>
    </row>
    <row r="703" spans="1:16">
      <c r="A703" s="50" t="s">
        <v>720</v>
      </c>
      <c r="B703" s="50" t="s">
        <v>669</v>
      </c>
      <c r="C703" s="50" t="s">
        <v>254</v>
      </c>
      <c r="D703" s="50">
        <v>22</v>
      </c>
      <c r="E703" s="50" t="s">
        <v>719</v>
      </c>
      <c r="F703" s="50" t="s">
        <v>667</v>
      </c>
      <c r="G703" s="50" t="s">
        <v>254</v>
      </c>
      <c r="H703" s="50">
        <v>22</v>
      </c>
      <c r="M703" t="str">
        <f>IF(COUNTIF($A:$A,E703)=0,"Not Exists","Exists")</f>
        <v>Not Exists</v>
      </c>
      <c r="N703" t="str">
        <f t="shared" si="36"/>
        <v>Not Exists</v>
      </c>
      <c r="O703" t="str">
        <f t="shared" si="33"/>
        <v>Exists</v>
      </c>
      <c r="P703" t="str">
        <f t="shared" si="34"/>
        <v>Exists</v>
      </c>
    </row>
    <row r="704" spans="1:16">
      <c r="A704" s="50" t="s">
        <v>720</v>
      </c>
      <c r="B704" s="50" t="s">
        <v>633</v>
      </c>
      <c r="C704" s="50" t="s">
        <v>254</v>
      </c>
      <c r="D704" s="50">
        <v>22</v>
      </c>
      <c r="E704" s="50" t="s">
        <v>719</v>
      </c>
      <c r="F704" s="50" t="s">
        <v>722</v>
      </c>
      <c r="G704" s="50" t="s">
        <v>254</v>
      </c>
      <c r="H704" s="50">
        <v>22</v>
      </c>
      <c r="M704" t="str">
        <f>IF(COUNTIF($A:$A,E704)=0,"Not Exists","Exists")</f>
        <v>Not Exists</v>
      </c>
      <c r="N704" t="str">
        <f t="shared" si="36"/>
        <v>Not Exists</v>
      </c>
      <c r="O704" t="str">
        <f t="shared" si="33"/>
        <v>Exists</v>
      </c>
      <c r="P704" t="str">
        <f t="shared" si="34"/>
        <v>Not Exists</v>
      </c>
    </row>
    <row r="705" spans="1:16">
      <c r="A705" s="50" t="s">
        <v>720</v>
      </c>
      <c r="B705" s="50" t="s">
        <v>665</v>
      </c>
      <c r="C705" s="50" t="s">
        <v>256</v>
      </c>
      <c r="D705" s="50">
        <v>50</v>
      </c>
      <c r="E705" s="50" t="s">
        <v>719</v>
      </c>
      <c r="F705" s="50" t="s">
        <v>723</v>
      </c>
      <c r="G705" s="50" t="s">
        <v>254</v>
      </c>
      <c r="H705" s="50">
        <v>22</v>
      </c>
      <c r="M705" t="str">
        <f>IF(COUNTIF($A:$A,E705)=0,"Not Exists","Exists")</f>
        <v>Not Exists</v>
      </c>
      <c r="N705" t="str">
        <f t="shared" si="36"/>
        <v>Not Exists</v>
      </c>
      <c r="O705" t="str">
        <f t="shared" si="33"/>
        <v>Exists</v>
      </c>
      <c r="P705" t="str">
        <f t="shared" si="34"/>
        <v>Exists</v>
      </c>
    </row>
    <row r="706" spans="1:16">
      <c r="A706" s="50" t="s">
        <v>720</v>
      </c>
      <c r="B706" s="50" t="s">
        <v>724</v>
      </c>
      <c r="C706" s="50" t="s">
        <v>256</v>
      </c>
      <c r="D706" s="50">
        <v>17</v>
      </c>
      <c r="E706" s="50" t="s">
        <v>719</v>
      </c>
      <c r="F706" s="50" t="s">
        <v>725</v>
      </c>
      <c r="G706" s="50" t="s">
        <v>254</v>
      </c>
      <c r="H706" s="50">
        <v>22</v>
      </c>
      <c r="M706" t="str">
        <f>IF(COUNTIF($A:$A,E706)=0,"Not Exists","Exists")</f>
        <v>Not Exists</v>
      </c>
      <c r="N706" t="str">
        <f t="shared" si="36"/>
        <v>Not Exists</v>
      </c>
      <c r="O706" t="str">
        <f t="shared" si="33"/>
        <v>Exists</v>
      </c>
      <c r="P706" t="str">
        <f t="shared" si="34"/>
        <v>Exists</v>
      </c>
    </row>
    <row r="707" spans="1:16">
      <c r="A707" s="50" t="s">
        <v>720</v>
      </c>
      <c r="B707" s="50" t="s">
        <v>726</v>
      </c>
      <c r="C707" s="50" t="s">
        <v>256</v>
      </c>
      <c r="D707" s="50">
        <v>17</v>
      </c>
      <c r="E707" s="50" t="s">
        <v>719</v>
      </c>
      <c r="F707" s="50" t="s">
        <v>727</v>
      </c>
      <c r="G707" s="50" t="s">
        <v>254</v>
      </c>
      <c r="H707" s="50">
        <v>22</v>
      </c>
      <c r="M707" t="str">
        <f>IF(COUNTIF($A:$A,E707)=0,"Not Exists","Exists")</f>
        <v>Not Exists</v>
      </c>
      <c r="N707" t="str">
        <f t="shared" si="36"/>
        <v>Not Exists</v>
      </c>
      <c r="O707" t="str">
        <f t="shared" si="33"/>
        <v>Exists</v>
      </c>
      <c r="P707" t="str">
        <f t="shared" si="34"/>
        <v>Exists</v>
      </c>
    </row>
    <row r="708" spans="1:16">
      <c r="A708" s="50" t="s">
        <v>720</v>
      </c>
      <c r="B708" s="50" t="s">
        <v>728</v>
      </c>
      <c r="C708" s="50" t="s">
        <v>254</v>
      </c>
      <c r="D708" s="50">
        <v>22</v>
      </c>
      <c r="E708" s="50" t="s">
        <v>719</v>
      </c>
      <c r="F708" s="50" t="s">
        <v>317</v>
      </c>
      <c r="G708" s="50" t="s">
        <v>256</v>
      </c>
      <c r="H708" s="50">
        <v>17</v>
      </c>
      <c r="M708" t="str">
        <f>IF(COUNTIF($A:$A,E708)=0,"Not Exists","Exists")</f>
        <v>Not Exists</v>
      </c>
      <c r="N708" t="str">
        <f t="shared" si="36"/>
        <v>Exists</v>
      </c>
      <c r="O708" t="str">
        <f t="shared" ref="O708:O771" si="37">IF(COUNTIF($E:$E,A708)=0,"Not Exists","Exists")</f>
        <v>Exists</v>
      </c>
      <c r="P708" t="str">
        <f t="shared" ref="P708:P771" si="38">IF(COUNTIF($F:$F,B708)=0,"Not Exists","Exists")</f>
        <v>Exists</v>
      </c>
    </row>
    <row r="709" spans="1:16">
      <c r="A709" s="50" t="s">
        <v>720</v>
      </c>
      <c r="B709" s="50" t="s">
        <v>729</v>
      </c>
      <c r="C709" s="50" t="s">
        <v>254</v>
      </c>
      <c r="D709" s="50">
        <v>22</v>
      </c>
      <c r="E709" s="50" t="s">
        <v>719</v>
      </c>
      <c r="F709" s="50" t="s">
        <v>315</v>
      </c>
      <c r="G709" s="50" t="s">
        <v>256</v>
      </c>
      <c r="H709" s="50">
        <v>17</v>
      </c>
      <c r="M709" t="str">
        <f>IF(COUNTIF($A:$A,E709)=0,"Not Exists","Exists")</f>
        <v>Not Exists</v>
      </c>
      <c r="N709" t="str">
        <f t="shared" si="36"/>
        <v>Exists</v>
      </c>
      <c r="O709" t="str">
        <f t="shared" si="37"/>
        <v>Exists</v>
      </c>
      <c r="P709" t="str">
        <f t="shared" si="38"/>
        <v>Exists</v>
      </c>
    </row>
    <row r="710" spans="1:16">
      <c r="A710" s="50" t="s">
        <v>720</v>
      </c>
      <c r="B710" s="50" t="s">
        <v>730</v>
      </c>
      <c r="C710" s="50" t="s">
        <v>254</v>
      </c>
      <c r="D710" s="50">
        <v>22</v>
      </c>
      <c r="E710" s="50" t="s">
        <v>719</v>
      </c>
      <c r="F710" s="50" t="s">
        <v>318</v>
      </c>
      <c r="G710" s="50" t="s">
        <v>256</v>
      </c>
      <c r="H710" s="50">
        <v>50</v>
      </c>
      <c r="M710" t="str">
        <f>IF(COUNTIF($A:$A,E710)=0,"Not Exists","Exists")</f>
        <v>Not Exists</v>
      </c>
      <c r="N710" t="str">
        <f t="shared" si="36"/>
        <v>Exists</v>
      </c>
      <c r="O710" t="str">
        <f t="shared" si="37"/>
        <v>Exists</v>
      </c>
      <c r="P710" t="str">
        <f t="shared" si="38"/>
        <v>Exists</v>
      </c>
    </row>
    <row r="711" spans="1:16">
      <c r="A711" s="50" t="s">
        <v>720</v>
      </c>
      <c r="B711" s="50" t="s">
        <v>731</v>
      </c>
      <c r="C711" s="50" t="s">
        <v>254</v>
      </c>
      <c r="D711" s="50">
        <v>22</v>
      </c>
      <c r="E711" s="50" t="s">
        <v>719</v>
      </c>
      <c r="F711" s="50" t="s">
        <v>316</v>
      </c>
      <c r="G711" s="50" t="s">
        <v>256</v>
      </c>
      <c r="H711" s="50">
        <v>50</v>
      </c>
      <c r="M711" t="str">
        <f>IF(COUNTIF($A:$A,E711)=0,"Not Exists","Exists")</f>
        <v>Not Exists</v>
      </c>
      <c r="N711" t="str">
        <f t="shared" si="36"/>
        <v>Exists</v>
      </c>
      <c r="O711" t="str">
        <f t="shared" si="37"/>
        <v>Exists</v>
      </c>
      <c r="P711" t="str">
        <f t="shared" si="38"/>
        <v>Exists</v>
      </c>
    </row>
    <row r="712" spans="1:16">
      <c r="A712" s="50" t="s">
        <v>720</v>
      </c>
      <c r="B712" s="50" t="s">
        <v>732</v>
      </c>
      <c r="C712" s="50" t="s">
        <v>254</v>
      </c>
      <c r="D712" s="50">
        <v>22</v>
      </c>
      <c r="E712" s="50" t="s">
        <v>670</v>
      </c>
      <c r="F712" s="50" t="s">
        <v>625</v>
      </c>
      <c r="G712" s="50" t="s">
        <v>256</v>
      </c>
      <c r="H712" s="50">
        <v>50</v>
      </c>
      <c r="M712" t="str">
        <f>IF(COUNTIF($A:$A,E712)=0,"Not Exists","Exists")</f>
        <v>Exists</v>
      </c>
      <c r="N712" t="str">
        <f t="shared" si="36"/>
        <v>Exists</v>
      </c>
      <c r="O712" t="str">
        <f t="shared" si="37"/>
        <v>Exists</v>
      </c>
      <c r="P712" t="str">
        <f t="shared" si="38"/>
        <v>Not Exists</v>
      </c>
    </row>
    <row r="713" spans="1:16">
      <c r="A713" s="50" t="s">
        <v>720</v>
      </c>
      <c r="B713" s="50" t="s">
        <v>315</v>
      </c>
      <c r="C713" s="50" t="s">
        <v>251</v>
      </c>
      <c r="D713" s="50">
        <v>17</v>
      </c>
      <c r="E713" s="50" t="s">
        <v>670</v>
      </c>
      <c r="F713" s="50" t="s">
        <v>671</v>
      </c>
      <c r="G713" s="50" t="s">
        <v>256</v>
      </c>
      <c r="H713" s="50">
        <v>1000</v>
      </c>
      <c r="M713" t="str">
        <f>IF(COUNTIF($A:$A,E713)=0,"Not Exists","Exists")</f>
        <v>Exists</v>
      </c>
      <c r="N713" t="str">
        <f t="shared" si="36"/>
        <v>Exists</v>
      </c>
      <c r="O713" t="str">
        <f t="shared" si="37"/>
        <v>Exists</v>
      </c>
      <c r="P713" t="str">
        <f t="shared" si="38"/>
        <v>Exists</v>
      </c>
    </row>
    <row r="714" spans="1:16">
      <c r="A714" s="50" t="s">
        <v>720</v>
      </c>
      <c r="B714" s="50" t="s">
        <v>317</v>
      </c>
      <c r="C714" s="50" t="s">
        <v>251</v>
      </c>
      <c r="D714" s="50">
        <v>17</v>
      </c>
      <c r="E714" s="50" t="s">
        <v>670</v>
      </c>
      <c r="F714" s="50" t="s">
        <v>430</v>
      </c>
      <c r="G714" s="50" t="s">
        <v>256</v>
      </c>
      <c r="H714" s="50">
        <v>50</v>
      </c>
      <c r="M714" t="str">
        <f>IF(COUNTIF($A:$A,E714)=0,"Not Exists","Exists")</f>
        <v>Exists</v>
      </c>
      <c r="N714" t="str">
        <f t="shared" si="36"/>
        <v>Exists</v>
      </c>
      <c r="O714" t="str">
        <f t="shared" si="37"/>
        <v>Exists</v>
      </c>
      <c r="P714" t="str">
        <f t="shared" si="38"/>
        <v>Exists</v>
      </c>
    </row>
    <row r="715" spans="1:16">
      <c r="A715" s="50" t="s">
        <v>720</v>
      </c>
      <c r="B715" s="50" t="s">
        <v>316</v>
      </c>
      <c r="C715" s="50" t="s">
        <v>256</v>
      </c>
      <c r="D715" s="50">
        <v>50</v>
      </c>
      <c r="E715" s="50" t="s">
        <v>670</v>
      </c>
      <c r="F715" s="50" t="s">
        <v>673</v>
      </c>
      <c r="G715" s="50" t="s">
        <v>256</v>
      </c>
      <c r="H715" s="50">
        <v>1</v>
      </c>
      <c r="M715" t="str">
        <f>IF(COUNTIF($A:$A,E715)=0,"Not Exists","Exists")</f>
        <v>Exists</v>
      </c>
      <c r="N715" t="str">
        <f t="shared" si="36"/>
        <v>Exists</v>
      </c>
      <c r="O715" t="str">
        <f t="shared" si="37"/>
        <v>Exists</v>
      </c>
      <c r="P715" t="str">
        <f t="shared" si="38"/>
        <v>Exists</v>
      </c>
    </row>
    <row r="716" spans="1:16">
      <c r="A716" s="50" t="s">
        <v>720</v>
      </c>
      <c r="B716" s="50" t="s">
        <v>318</v>
      </c>
      <c r="C716" s="50" t="s">
        <v>256</v>
      </c>
      <c r="D716" s="50">
        <v>50</v>
      </c>
      <c r="E716" s="50" t="s">
        <v>670</v>
      </c>
      <c r="F716" s="50" t="s">
        <v>674</v>
      </c>
      <c r="G716" s="50" t="s">
        <v>254</v>
      </c>
      <c r="H716" s="50">
        <v>22</v>
      </c>
      <c r="M716" t="str">
        <f>IF(COUNTIF($A:$A,E716)=0,"Not Exists","Exists")</f>
        <v>Exists</v>
      </c>
      <c r="N716" t="str">
        <f t="shared" si="36"/>
        <v>Exists</v>
      </c>
      <c r="O716" t="str">
        <f t="shared" si="37"/>
        <v>Exists</v>
      </c>
      <c r="P716" t="str">
        <f t="shared" si="38"/>
        <v>Exists</v>
      </c>
    </row>
    <row r="717" spans="1:16">
      <c r="A717" s="50" t="s">
        <v>720</v>
      </c>
      <c r="B717" s="50" t="s">
        <v>436</v>
      </c>
      <c r="C717" s="50" t="s">
        <v>256</v>
      </c>
      <c r="D717" s="50">
        <v>50</v>
      </c>
      <c r="E717" s="50" t="s">
        <v>670</v>
      </c>
      <c r="F717" s="50" t="s">
        <v>675</v>
      </c>
      <c r="G717" s="50" t="s">
        <v>256</v>
      </c>
      <c r="H717" s="50">
        <v>450</v>
      </c>
      <c r="M717" t="str">
        <f>IF(COUNTIF($A:$A,E717)=0,"Not Exists","Exists")</f>
        <v>Exists</v>
      </c>
      <c r="N717" t="str">
        <f t="shared" si="36"/>
        <v>Exists</v>
      </c>
      <c r="O717" t="str">
        <f t="shared" si="37"/>
        <v>Exists</v>
      </c>
      <c r="P717" t="str">
        <f t="shared" si="38"/>
        <v>Not Exists</v>
      </c>
    </row>
    <row r="718" spans="1:16">
      <c r="A718" s="50" t="s">
        <v>720</v>
      </c>
      <c r="B718" s="50" t="s">
        <v>638</v>
      </c>
      <c r="C718" s="50" t="s">
        <v>256</v>
      </c>
      <c r="D718" s="50">
        <v>10</v>
      </c>
      <c r="E718" s="50" t="s">
        <v>670</v>
      </c>
      <c r="F718" s="50" t="s">
        <v>713</v>
      </c>
      <c r="G718" s="50" t="s">
        <v>256</v>
      </c>
      <c r="H718" s="50">
        <v>6</v>
      </c>
      <c r="M718" t="str">
        <f>IF(COUNTIF($A:$A,E718)=0,"Not Exists","Exists")</f>
        <v>Exists</v>
      </c>
      <c r="N718" t="str">
        <f t="shared" si="36"/>
        <v>Exists</v>
      </c>
      <c r="O718" t="str">
        <f t="shared" si="37"/>
        <v>Exists</v>
      </c>
      <c r="P718" t="str">
        <f t="shared" si="38"/>
        <v>Exists</v>
      </c>
    </row>
    <row r="719" spans="1:16">
      <c r="A719" s="50" t="s">
        <v>720</v>
      </c>
      <c r="B719" s="50" t="s">
        <v>640</v>
      </c>
      <c r="C719" s="50" t="s">
        <v>256</v>
      </c>
      <c r="D719" s="50">
        <v>50</v>
      </c>
      <c r="E719" s="50" t="s">
        <v>670</v>
      </c>
      <c r="F719" s="50" t="s">
        <v>714</v>
      </c>
      <c r="G719" s="50" t="s">
        <v>256</v>
      </c>
      <c r="H719" s="50">
        <v>6</v>
      </c>
      <c r="M719" t="str">
        <f>IF(COUNTIF($A:$A,E719)=0,"Not Exists","Exists")</f>
        <v>Exists</v>
      </c>
      <c r="N719" t="str">
        <f t="shared" si="36"/>
        <v>Exists</v>
      </c>
      <c r="O719" t="str">
        <f t="shared" si="37"/>
        <v>Exists</v>
      </c>
      <c r="P719" t="str">
        <f t="shared" si="38"/>
        <v>Exists</v>
      </c>
    </row>
    <row r="720" spans="1:16">
      <c r="A720" s="50" t="s">
        <v>720</v>
      </c>
      <c r="B720" s="50" t="s">
        <v>642</v>
      </c>
      <c r="C720" s="50" t="s">
        <v>256</v>
      </c>
      <c r="D720" s="50">
        <v>10</v>
      </c>
      <c r="E720" s="50" t="s">
        <v>670</v>
      </c>
      <c r="F720" s="50" t="s">
        <v>683</v>
      </c>
      <c r="G720" s="50" t="s">
        <v>256</v>
      </c>
      <c r="H720" s="50">
        <v>1</v>
      </c>
      <c r="M720" t="str">
        <f>IF(COUNTIF($A:$A,E720)=0,"Not Exists","Exists")</f>
        <v>Exists</v>
      </c>
      <c r="N720" t="str">
        <f t="shared" si="36"/>
        <v>Exists</v>
      </c>
      <c r="O720" t="str">
        <f t="shared" si="37"/>
        <v>Exists</v>
      </c>
      <c r="P720" t="str">
        <f t="shared" si="38"/>
        <v>Exists</v>
      </c>
    </row>
    <row r="721" spans="1:16">
      <c r="A721" s="50" t="s">
        <v>720</v>
      </c>
      <c r="B721" s="50" t="s">
        <v>733</v>
      </c>
      <c r="C721" s="50" t="s">
        <v>256</v>
      </c>
      <c r="D721" s="50">
        <v>450</v>
      </c>
      <c r="E721" s="50" t="s">
        <v>670</v>
      </c>
      <c r="F721" s="50" t="s">
        <v>690</v>
      </c>
      <c r="G721" s="50" t="s">
        <v>256</v>
      </c>
      <c r="H721" s="50">
        <v>50</v>
      </c>
      <c r="M721" t="str">
        <f>IF(COUNTIF($A:$A,E721)=0,"Not Exists","Exists")</f>
        <v>Exists</v>
      </c>
      <c r="N721" t="str">
        <f t="shared" si="36"/>
        <v>Exists</v>
      </c>
      <c r="O721" t="str">
        <f t="shared" si="37"/>
        <v>Exists</v>
      </c>
      <c r="P721" t="str">
        <f t="shared" si="38"/>
        <v>Not Exists</v>
      </c>
    </row>
    <row r="722" spans="1:16">
      <c r="A722" s="50" t="s">
        <v>720</v>
      </c>
      <c r="B722" s="50" t="s">
        <v>644</v>
      </c>
      <c r="C722" s="50" t="s">
        <v>256</v>
      </c>
      <c r="D722" s="50">
        <v>10</v>
      </c>
      <c r="E722" s="50" t="s">
        <v>670</v>
      </c>
      <c r="F722" s="50" t="s">
        <v>691</v>
      </c>
      <c r="G722" s="50" t="s">
        <v>256</v>
      </c>
      <c r="H722" s="50">
        <v>50</v>
      </c>
      <c r="M722" t="str">
        <f>IF(COUNTIF($A:$A,E722)=0,"Not Exists","Exists")</f>
        <v>Exists</v>
      </c>
      <c r="N722" t="str">
        <f t="shared" si="36"/>
        <v>Exists</v>
      </c>
      <c r="O722" t="str">
        <f t="shared" si="37"/>
        <v>Exists</v>
      </c>
      <c r="P722" t="str">
        <f t="shared" si="38"/>
        <v>Exists</v>
      </c>
    </row>
    <row r="723" spans="1:16">
      <c r="A723" s="50" t="s">
        <v>734</v>
      </c>
      <c r="B723" s="50" t="s">
        <v>735</v>
      </c>
      <c r="C723" s="50" t="s">
        <v>256</v>
      </c>
      <c r="D723" s="50">
        <v>50</v>
      </c>
      <c r="E723" s="50" t="s">
        <v>670</v>
      </c>
      <c r="F723" s="50" t="s">
        <v>693</v>
      </c>
      <c r="G723" s="50" t="s">
        <v>256</v>
      </c>
      <c r="H723" s="50">
        <v>1</v>
      </c>
      <c r="M723" t="str">
        <f>IF(COUNTIF($A:$A,E723)=0,"Not Exists","Exists")</f>
        <v>Exists</v>
      </c>
      <c r="N723" t="str">
        <f t="shared" si="36"/>
        <v>Exists</v>
      </c>
      <c r="O723" t="str">
        <f t="shared" si="37"/>
        <v>Not Exists</v>
      </c>
      <c r="P723" t="str">
        <f t="shared" si="38"/>
        <v>Not Exists</v>
      </c>
    </row>
    <row r="724" spans="1:16">
      <c r="A724" s="50" t="s">
        <v>734</v>
      </c>
      <c r="B724" s="50" t="s">
        <v>736</v>
      </c>
      <c r="C724" s="50" t="s">
        <v>254</v>
      </c>
      <c r="D724" s="50">
        <v>22</v>
      </c>
      <c r="E724" s="50" t="s">
        <v>670</v>
      </c>
      <c r="F724" s="50" t="s">
        <v>695</v>
      </c>
      <c r="G724" s="50" t="s">
        <v>256</v>
      </c>
      <c r="H724" s="50">
        <v>1</v>
      </c>
      <c r="M724" t="str">
        <f>IF(COUNTIF($A:$A,E724)=0,"Not Exists","Exists")</f>
        <v>Exists</v>
      </c>
      <c r="N724" t="str">
        <f t="shared" si="36"/>
        <v>Exists</v>
      </c>
      <c r="O724" t="str">
        <f t="shared" si="37"/>
        <v>Not Exists</v>
      </c>
      <c r="P724" t="str">
        <f t="shared" si="38"/>
        <v>Not Exists</v>
      </c>
    </row>
    <row r="725" spans="1:16">
      <c r="A725" s="50" t="s">
        <v>734</v>
      </c>
      <c r="B725" s="50" t="s">
        <v>737</v>
      </c>
      <c r="C725" s="50" t="s">
        <v>251</v>
      </c>
      <c r="D725" s="50">
        <v>1</v>
      </c>
      <c r="E725" s="50" t="s">
        <v>670</v>
      </c>
      <c r="F725" s="50" t="s">
        <v>715</v>
      </c>
      <c r="G725" s="50" t="s">
        <v>256</v>
      </c>
      <c r="H725" s="50">
        <v>1</v>
      </c>
      <c r="M725" t="str">
        <f>IF(COUNTIF($A:$A,E725)=0,"Not Exists","Exists")</f>
        <v>Exists</v>
      </c>
      <c r="N725" t="str">
        <f t="shared" si="36"/>
        <v>Exists</v>
      </c>
      <c r="O725" t="str">
        <f t="shared" si="37"/>
        <v>Not Exists</v>
      </c>
      <c r="P725" t="str">
        <f t="shared" si="38"/>
        <v>Not Exists</v>
      </c>
    </row>
    <row r="726" spans="1:16">
      <c r="A726" s="50" t="s">
        <v>734</v>
      </c>
      <c r="B726" s="50" t="s">
        <v>738</v>
      </c>
      <c r="C726" s="50" t="s">
        <v>256</v>
      </c>
      <c r="D726" s="50">
        <v>50</v>
      </c>
      <c r="E726" s="50" t="s">
        <v>670</v>
      </c>
      <c r="F726" s="50" t="s">
        <v>716</v>
      </c>
      <c r="G726" s="50" t="s">
        <v>256</v>
      </c>
      <c r="H726" s="50">
        <v>1</v>
      </c>
      <c r="M726" t="str">
        <f>IF(COUNTIF($A:$A,E726)=0,"Not Exists","Exists")</f>
        <v>Exists</v>
      </c>
      <c r="N726" t="str">
        <f t="shared" si="36"/>
        <v>Exists</v>
      </c>
      <c r="O726" t="str">
        <f t="shared" si="37"/>
        <v>Not Exists</v>
      </c>
      <c r="P726" t="str">
        <f t="shared" si="38"/>
        <v>Not Exists</v>
      </c>
    </row>
    <row r="727" spans="1:16">
      <c r="A727" s="50" t="s">
        <v>734</v>
      </c>
      <c r="B727" s="50" t="s">
        <v>739</v>
      </c>
      <c r="C727" s="50" t="s">
        <v>254</v>
      </c>
      <c r="D727" s="50">
        <v>22</v>
      </c>
      <c r="E727" s="50" t="s">
        <v>670</v>
      </c>
      <c r="F727" s="50" t="s">
        <v>717</v>
      </c>
      <c r="G727" s="50" t="s">
        <v>256</v>
      </c>
      <c r="H727" s="50">
        <v>1</v>
      </c>
      <c r="M727" t="str">
        <f>IF(COUNTIF($A:$A,E727)=0,"Not Exists","Exists")</f>
        <v>Exists</v>
      </c>
      <c r="N727" t="str">
        <f t="shared" si="36"/>
        <v>Exists</v>
      </c>
      <c r="O727" t="str">
        <f t="shared" si="37"/>
        <v>Not Exists</v>
      </c>
      <c r="P727" t="str">
        <f t="shared" si="38"/>
        <v>Not Exists</v>
      </c>
    </row>
    <row r="728" spans="1:16">
      <c r="A728" s="50" t="s">
        <v>734</v>
      </c>
      <c r="B728" s="50" t="s">
        <v>740</v>
      </c>
      <c r="C728" s="50" t="s">
        <v>251</v>
      </c>
      <c r="D728" s="50">
        <v>1</v>
      </c>
      <c r="E728" s="50" t="s">
        <v>670</v>
      </c>
      <c r="F728" s="50" t="s">
        <v>718</v>
      </c>
      <c r="G728" s="50" t="s">
        <v>256</v>
      </c>
      <c r="H728" s="50">
        <v>1</v>
      </c>
      <c r="M728" t="str">
        <f>IF(COUNTIF($A:$A,E728)=0,"Not Exists","Exists")</f>
        <v>Exists</v>
      </c>
      <c r="N728" t="str">
        <f t="shared" si="36"/>
        <v>Exists</v>
      </c>
      <c r="O728" t="str">
        <f t="shared" si="37"/>
        <v>Not Exists</v>
      </c>
      <c r="P728" t="str">
        <f t="shared" si="38"/>
        <v>Not Exists</v>
      </c>
    </row>
    <row r="729" spans="1:16">
      <c r="A729" s="50" t="s">
        <v>734</v>
      </c>
      <c r="B729" s="50" t="s">
        <v>741</v>
      </c>
      <c r="C729" s="50" t="s">
        <v>256</v>
      </c>
      <c r="D729" s="50">
        <v>450</v>
      </c>
      <c r="E729" s="50" t="s">
        <v>670</v>
      </c>
      <c r="F729" s="50" t="s">
        <v>707</v>
      </c>
      <c r="G729" s="50" t="s">
        <v>256</v>
      </c>
      <c r="H729" s="50">
        <v>4</v>
      </c>
      <c r="M729" t="str">
        <f>IF(COUNTIF($A:$A,E729)=0,"Not Exists","Exists")</f>
        <v>Exists</v>
      </c>
      <c r="N729" t="str">
        <f t="shared" si="36"/>
        <v>Exists</v>
      </c>
      <c r="O729" t="str">
        <f t="shared" si="37"/>
        <v>Not Exists</v>
      </c>
      <c r="P729" t="str">
        <f t="shared" si="38"/>
        <v>Not Exists</v>
      </c>
    </row>
    <row r="730" spans="1:16">
      <c r="A730" s="50" t="s">
        <v>734</v>
      </c>
      <c r="B730" s="50" t="s">
        <v>742</v>
      </c>
      <c r="C730" s="50" t="s">
        <v>254</v>
      </c>
      <c r="D730" s="50">
        <v>22</v>
      </c>
      <c r="E730" s="50" t="s">
        <v>670</v>
      </c>
      <c r="F730" s="50" t="s">
        <v>709</v>
      </c>
      <c r="G730" s="50" t="s">
        <v>256</v>
      </c>
      <c r="H730" s="50">
        <v>7</v>
      </c>
      <c r="M730" t="str">
        <f>IF(COUNTIF($A:$A,E730)=0,"Not Exists","Exists")</f>
        <v>Exists</v>
      </c>
      <c r="N730" t="str">
        <f t="shared" si="36"/>
        <v>Exists</v>
      </c>
      <c r="O730" t="str">
        <f t="shared" si="37"/>
        <v>Not Exists</v>
      </c>
      <c r="P730" t="str">
        <f t="shared" si="38"/>
        <v>Not Exists</v>
      </c>
    </row>
    <row r="731" spans="1:16">
      <c r="A731" s="50" t="s">
        <v>734</v>
      </c>
      <c r="B731" s="50" t="s">
        <v>743</v>
      </c>
      <c r="C731" s="50" t="s">
        <v>256</v>
      </c>
      <c r="D731" s="50">
        <v>3000</v>
      </c>
      <c r="E731" s="50" t="s">
        <v>670</v>
      </c>
      <c r="F731" s="50" t="s">
        <v>711</v>
      </c>
      <c r="G731" s="50" t="s">
        <v>254</v>
      </c>
      <c r="H731" s="50">
        <v>22</v>
      </c>
      <c r="M731" t="str">
        <f>IF(COUNTIF($A:$A,E731)=0,"Not Exists","Exists")</f>
        <v>Exists</v>
      </c>
      <c r="N731" t="str">
        <f t="shared" si="36"/>
        <v>Exists</v>
      </c>
      <c r="O731" t="str">
        <f t="shared" si="37"/>
        <v>Not Exists</v>
      </c>
      <c r="P731" t="str">
        <f t="shared" si="38"/>
        <v>Not Exists</v>
      </c>
    </row>
    <row r="732" spans="1:16">
      <c r="A732" s="50" t="s">
        <v>734</v>
      </c>
      <c r="B732" s="50" t="s">
        <v>315</v>
      </c>
      <c r="C732" s="50" t="s">
        <v>251</v>
      </c>
      <c r="D732" s="50">
        <v>17</v>
      </c>
      <c r="E732" s="50" t="s">
        <v>670</v>
      </c>
      <c r="F732" s="50" t="s">
        <v>744</v>
      </c>
      <c r="G732" s="50" t="s">
        <v>251</v>
      </c>
      <c r="H732" s="50">
        <v>1</v>
      </c>
      <c r="M732" t="str">
        <f>IF(COUNTIF($A:$A,E732)=0,"Not Exists","Exists")</f>
        <v>Exists</v>
      </c>
      <c r="N732" t="str">
        <f t="shared" si="36"/>
        <v>Not Exists</v>
      </c>
      <c r="O732" t="str">
        <f t="shared" si="37"/>
        <v>Not Exists</v>
      </c>
      <c r="P732" t="str">
        <f t="shared" si="38"/>
        <v>Exists</v>
      </c>
    </row>
    <row r="733" spans="1:16">
      <c r="A733" s="50" t="s">
        <v>734</v>
      </c>
      <c r="B733" s="50" t="s">
        <v>317</v>
      </c>
      <c r="C733" s="50" t="s">
        <v>251</v>
      </c>
      <c r="D733" s="50">
        <v>17</v>
      </c>
      <c r="E733" s="50" t="s">
        <v>670</v>
      </c>
      <c r="F733" s="50" t="s">
        <v>745</v>
      </c>
      <c r="G733" s="50" t="s">
        <v>251</v>
      </c>
      <c r="H733" s="50">
        <v>1</v>
      </c>
      <c r="M733" t="str">
        <f>IF(COUNTIF($A:$A,E733)=0,"Not Exists","Exists")</f>
        <v>Exists</v>
      </c>
      <c r="N733" t="str">
        <f t="shared" si="36"/>
        <v>Not Exists</v>
      </c>
      <c r="O733" t="str">
        <f t="shared" si="37"/>
        <v>Not Exists</v>
      </c>
      <c r="P733" t="str">
        <f t="shared" si="38"/>
        <v>Exists</v>
      </c>
    </row>
    <row r="734" spans="1:16">
      <c r="A734" s="50" t="s">
        <v>734</v>
      </c>
      <c r="B734" s="50" t="s">
        <v>316</v>
      </c>
      <c r="C734" s="50" t="s">
        <v>256</v>
      </c>
      <c r="D734" s="50">
        <v>50</v>
      </c>
      <c r="E734" s="50" t="s">
        <v>670</v>
      </c>
      <c r="F734" s="50" t="s">
        <v>746</v>
      </c>
      <c r="G734" s="50" t="s">
        <v>256</v>
      </c>
      <c r="H734" s="50">
        <v>50</v>
      </c>
      <c r="M734" t="str">
        <f>IF(COUNTIF($A:$A,E734)=0,"Not Exists","Exists")</f>
        <v>Exists</v>
      </c>
      <c r="N734" t="str">
        <f t="shared" si="36"/>
        <v>Exists</v>
      </c>
      <c r="O734" t="str">
        <f t="shared" si="37"/>
        <v>Not Exists</v>
      </c>
      <c r="P734" t="str">
        <f t="shared" si="38"/>
        <v>Exists</v>
      </c>
    </row>
    <row r="735" spans="1:16">
      <c r="A735" s="50" t="s">
        <v>734</v>
      </c>
      <c r="B735" s="50" t="s">
        <v>318</v>
      </c>
      <c r="C735" s="50" t="s">
        <v>256</v>
      </c>
      <c r="D735" s="50">
        <v>50</v>
      </c>
      <c r="E735" s="50" t="s">
        <v>670</v>
      </c>
      <c r="F735" s="50" t="s">
        <v>747</v>
      </c>
      <c r="G735" s="50" t="s">
        <v>256</v>
      </c>
      <c r="H735" s="50">
        <v>50</v>
      </c>
      <c r="M735" t="str">
        <f>IF(COUNTIF($A:$A,E735)=0,"Not Exists","Exists")</f>
        <v>Exists</v>
      </c>
      <c r="N735" t="str">
        <f t="shared" si="36"/>
        <v>Exists</v>
      </c>
      <c r="O735" t="str">
        <f t="shared" si="37"/>
        <v>Not Exists</v>
      </c>
      <c r="P735" t="str">
        <f t="shared" si="38"/>
        <v>Exists</v>
      </c>
    </row>
    <row r="736" spans="1:16">
      <c r="A736" s="50" t="s">
        <v>734</v>
      </c>
      <c r="B736" s="50" t="s">
        <v>436</v>
      </c>
      <c r="C736" s="50" t="s">
        <v>256</v>
      </c>
      <c r="D736" s="50">
        <v>50</v>
      </c>
      <c r="E736" s="50" t="s">
        <v>670</v>
      </c>
      <c r="F736" s="50" t="s">
        <v>748</v>
      </c>
      <c r="G736" s="50" t="s">
        <v>254</v>
      </c>
      <c r="H736" s="50">
        <v>22</v>
      </c>
      <c r="M736" t="str">
        <f>IF(COUNTIF($A:$A,E736)=0,"Not Exists","Exists")</f>
        <v>Exists</v>
      </c>
      <c r="N736" t="str">
        <f t="shared" si="36"/>
        <v>Exists</v>
      </c>
      <c r="O736" t="str">
        <f t="shared" si="37"/>
        <v>Not Exists</v>
      </c>
      <c r="P736" t="str">
        <f t="shared" si="38"/>
        <v>Not Exists</v>
      </c>
    </row>
    <row r="737" spans="1:16">
      <c r="A737" s="50" t="s">
        <v>749</v>
      </c>
      <c r="B737" s="50" t="s">
        <v>735</v>
      </c>
      <c r="C737" s="50" t="s">
        <v>256</v>
      </c>
      <c r="D737" s="50">
        <v>50</v>
      </c>
      <c r="E737" s="50" t="s">
        <v>670</v>
      </c>
      <c r="F737" s="50" t="s">
        <v>315</v>
      </c>
      <c r="G737" s="50" t="s">
        <v>256</v>
      </c>
      <c r="H737" s="50">
        <v>17</v>
      </c>
      <c r="M737" t="str">
        <f>IF(COUNTIF($A:$A,E737)=0,"Not Exists","Exists")</f>
        <v>Exists</v>
      </c>
      <c r="N737" t="str">
        <f t="shared" si="36"/>
        <v>Exists</v>
      </c>
      <c r="O737" t="str">
        <f t="shared" si="37"/>
        <v>Not Exists</v>
      </c>
      <c r="P737" t="str">
        <f t="shared" si="38"/>
        <v>Not Exists</v>
      </c>
    </row>
    <row r="738" spans="1:16">
      <c r="A738" s="50" t="s">
        <v>749</v>
      </c>
      <c r="B738" s="50" t="s">
        <v>750</v>
      </c>
      <c r="C738" s="50" t="s">
        <v>251</v>
      </c>
      <c r="D738" s="50">
        <v>1</v>
      </c>
      <c r="E738" s="50" t="s">
        <v>670</v>
      </c>
      <c r="F738" s="50" t="s">
        <v>317</v>
      </c>
      <c r="G738" s="50" t="s">
        <v>256</v>
      </c>
      <c r="H738" s="50">
        <v>17</v>
      </c>
      <c r="M738" t="str">
        <f>IF(COUNTIF($A:$A,E738)=0,"Not Exists","Exists")</f>
        <v>Exists</v>
      </c>
      <c r="N738" t="str">
        <f t="shared" si="36"/>
        <v>Exists</v>
      </c>
      <c r="O738" t="str">
        <f t="shared" si="37"/>
        <v>Not Exists</v>
      </c>
      <c r="P738" t="str">
        <f t="shared" si="38"/>
        <v>Not Exists</v>
      </c>
    </row>
    <row r="739" spans="1:16">
      <c r="A739" s="50" t="s">
        <v>749</v>
      </c>
      <c r="B739" s="50" t="s">
        <v>751</v>
      </c>
      <c r="C739" s="50" t="s">
        <v>256</v>
      </c>
      <c r="D739" s="50">
        <v>3000</v>
      </c>
      <c r="E739" s="50" t="s">
        <v>670</v>
      </c>
      <c r="F739" s="50" t="s">
        <v>316</v>
      </c>
      <c r="G739" s="50" t="s">
        <v>256</v>
      </c>
      <c r="H739" s="50">
        <v>50</v>
      </c>
      <c r="M739" t="str">
        <f>IF(COUNTIF($A:$A,E739)=0,"Not Exists","Exists")</f>
        <v>Exists</v>
      </c>
      <c r="N739" t="str">
        <f t="shared" si="36"/>
        <v>Exists</v>
      </c>
      <c r="O739" t="str">
        <f t="shared" si="37"/>
        <v>Not Exists</v>
      </c>
      <c r="P739" t="str">
        <f t="shared" si="38"/>
        <v>Not Exists</v>
      </c>
    </row>
    <row r="740" spans="1:16">
      <c r="A740" s="50" t="s">
        <v>749</v>
      </c>
      <c r="B740" s="50" t="s">
        <v>315</v>
      </c>
      <c r="C740" s="50" t="s">
        <v>251</v>
      </c>
      <c r="D740" s="50">
        <v>17</v>
      </c>
      <c r="E740" s="50" t="s">
        <v>670</v>
      </c>
      <c r="F740" s="50" t="s">
        <v>318</v>
      </c>
      <c r="G740" s="50" t="s">
        <v>256</v>
      </c>
      <c r="H740" s="50">
        <v>50</v>
      </c>
      <c r="M740" t="str">
        <f>IF(COUNTIF($A:$A,E740)=0,"Not Exists","Exists")</f>
        <v>Exists</v>
      </c>
      <c r="N740" t="str">
        <f t="shared" si="36"/>
        <v>Exists</v>
      </c>
      <c r="O740" t="str">
        <f t="shared" si="37"/>
        <v>Not Exists</v>
      </c>
      <c r="P740" t="str">
        <f t="shared" si="38"/>
        <v>Exists</v>
      </c>
    </row>
    <row r="741" spans="1:16">
      <c r="A741" s="50" t="s">
        <v>749</v>
      </c>
      <c r="B741" s="50" t="s">
        <v>317</v>
      </c>
      <c r="C741" s="50" t="s">
        <v>251</v>
      </c>
      <c r="D741" s="50">
        <v>17</v>
      </c>
      <c r="E741" s="50" t="s">
        <v>752</v>
      </c>
      <c r="F741" s="50" t="s">
        <v>635</v>
      </c>
      <c r="G741" s="50" t="s">
        <v>256</v>
      </c>
      <c r="H741" s="50">
        <v>2</v>
      </c>
      <c r="M741" t="str">
        <f>IF(COUNTIF($A:$A,E741)=0,"Not Exists","Exists")</f>
        <v>Not Exists</v>
      </c>
      <c r="N741" t="str">
        <f t="shared" ref="N741:N804" si="39">IF(COUNTIF($A:$B,F741)=0,"Not Exists","Exists")</f>
        <v>Not Exists</v>
      </c>
      <c r="O741" t="str">
        <f t="shared" si="37"/>
        <v>Not Exists</v>
      </c>
      <c r="P741" t="str">
        <f t="shared" si="38"/>
        <v>Exists</v>
      </c>
    </row>
    <row r="742" spans="1:16">
      <c r="A742" s="50" t="s">
        <v>749</v>
      </c>
      <c r="B742" s="50" t="s">
        <v>316</v>
      </c>
      <c r="C742" s="50" t="s">
        <v>256</v>
      </c>
      <c r="D742" s="50">
        <v>50</v>
      </c>
      <c r="E742" s="50" t="s">
        <v>752</v>
      </c>
      <c r="F742" s="50" t="s">
        <v>625</v>
      </c>
      <c r="G742" s="50" t="s">
        <v>256</v>
      </c>
      <c r="H742" s="50">
        <v>50</v>
      </c>
      <c r="M742" t="str">
        <f>IF(COUNTIF($A:$A,E742)=0,"Not Exists","Exists")</f>
        <v>Not Exists</v>
      </c>
      <c r="N742" t="str">
        <f t="shared" si="39"/>
        <v>Exists</v>
      </c>
      <c r="O742" t="str">
        <f t="shared" si="37"/>
        <v>Not Exists</v>
      </c>
      <c r="P742" t="str">
        <f t="shared" si="38"/>
        <v>Exists</v>
      </c>
    </row>
    <row r="743" spans="1:16">
      <c r="A743" s="50" t="s">
        <v>749</v>
      </c>
      <c r="B743" s="50" t="s">
        <v>318</v>
      </c>
      <c r="C743" s="50" t="s">
        <v>256</v>
      </c>
      <c r="D743" s="50">
        <v>50</v>
      </c>
      <c r="E743" s="50" t="s">
        <v>752</v>
      </c>
      <c r="F743" s="50" t="s">
        <v>638</v>
      </c>
      <c r="G743" s="50" t="s">
        <v>256</v>
      </c>
      <c r="H743" s="50">
        <v>8</v>
      </c>
      <c r="M743" t="str">
        <f>IF(COUNTIF($A:$A,E743)=0,"Not Exists","Exists")</f>
        <v>Not Exists</v>
      </c>
      <c r="N743" t="str">
        <f t="shared" si="39"/>
        <v>Exists</v>
      </c>
      <c r="O743" t="str">
        <f t="shared" si="37"/>
        <v>Not Exists</v>
      </c>
      <c r="P743" t="str">
        <f t="shared" si="38"/>
        <v>Exists</v>
      </c>
    </row>
    <row r="744" spans="1:16">
      <c r="A744" s="50" t="s">
        <v>749</v>
      </c>
      <c r="B744" s="50" t="s">
        <v>436</v>
      </c>
      <c r="C744" s="50" t="s">
        <v>256</v>
      </c>
      <c r="D744" s="50">
        <v>50</v>
      </c>
      <c r="E744" s="50" t="s">
        <v>752</v>
      </c>
      <c r="F744" s="50" t="s">
        <v>640</v>
      </c>
      <c r="G744" s="50" t="s">
        <v>256</v>
      </c>
      <c r="H744" s="50">
        <v>100</v>
      </c>
      <c r="M744" t="str">
        <f>IF(COUNTIF($A:$A,E744)=0,"Not Exists","Exists")</f>
        <v>Not Exists</v>
      </c>
      <c r="N744" t="str">
        <f t="shared" si="39"/>
        <v>Exists</v>
      </c>
      <c r="O744" t="str">
        <f t="shared" si="37"/>
        <v>Not Exists</v>
      </c>
      <c r="P744" t="str">
        <f t="shared" si="38"/>
        <v>Not Exists</v>
      </c>
    </row>
    <row r="745" spans="1:16">
      <c r="A745" s="50" t="s">
        <v>753</v>
      </c>
      <c r="B745" s="50" t="s">
        <v>625</v>
      </c>
      <c r="C745" s="50" t="s">
        <v>256</v>
      </c>
      <c r="D745" s="50">
        <v>50</v>
      </c>
      <c r="E745" s="50" t="s">
        <v>752</v>
      </c>
      <c r="F745" s="50" t="s">
        <v>642</v>
      </c>
      <c r="G745" s="50" t="s">
        <v>254</v>
      </c>
      <c r="H745" s="50">
        <v>22</v>
      </c>
      <c r="M745" t="str">
        <f>IF(COUNTIF($A:$A,E745)=0,"Not Exists","Exists")</f>
        <v>Not Exists</v>
      </c>
      <c r="N745" t="str">
        <f t="shared" si="39"/>
        <v>Exists</v>
      </c>
      <c r="O745" t="str">
        <f t="shared" si="37"/>
        <v>Exists</v>
      </c>
      <c r="P745" t="str">
        <f t="shared" si="38"/>
        <v>Exists</v>
      </c>
    </row>
    <row r="746" spans="1:16">
      <c r="A746" s="50" t="s">
        <v>753</v>
      </c>
      <c r="B746" s="50" t="s">
        <v>627</v>
      </c>
      <c r="C746" s="50" t="s">
        <v>256</v>
      </c>
      <c r="D746" s="50">
        <v>17</v>
      </c>
      <c r="E746" s="50" t="s">
        <v>752</v>
      </c>
      <c r="F746" s="50" t="s">
        <v>646</v>
      </c>
      <c r="G746" s="50" t="s">
        <v>254</v>
      </c>
      <c r="H746" s="50">
        <v>22</v>
      </c>
      <c r="M746" t="str">
        <f>IF(COUNTIF($A:$A,E746)=0,"Not Exists","Exists")</f>
        <v>Not Exists</v>
      </c>
      <c r="N746" t="str">
        <f t="shared" si="39"/>
        <v>Not Exists</v>
      </c>
      <c r="O746" t="str">
        <f t="shared" si="37"/>
        <v>Exists</v>
      </c>
      <c r="P746" t="str">
        <f t="shared" si="38"/>
        <v>Not Exists</v>
      </c>
    </row>
    <row r="747" spans="1:16">
      <c r="A747" s="50" t="s">
        <v>753</v>
      </c>
      <c r="B747" s="50" t="s">
        <v>629</v>
      </c>
      <c r="C747" s="50" t="s">
        <v>254</v>
      </c>
      <c r="D747" s="50">
        <v>22</v>
      </c>
      <c r="E747" s="50" t="s">
        <v>752</v>
      </c>
      <c r="F747" s="50" t="s">
        <v>644</v>
      </c>
      <c r="G747" s="50" t="s">
        <v>254</v>
      </c>
      <c r="H747" s="50">
        <v>22</v>
      </c>
      <c r="M747" t="str">
        <f>IF(COUNTIF($A:$A,E747)=0,"Not Exists","Exists")</f>
        <v>Not Exists</v>
      </c>
      <c r="N747" t="str">
        <f t="shared" si="39"/>
        <v>Exists</v>
      </c>
      <c r="O747" t="str">
        <f t="shared" si="37"/>
        <v>Exists</v>
      </c>
      <c r="P747" t="str">
        <f t="shared" si="38"/>
        <v>Not Exists</v>
      </c>
    </row>
    <row r="748" spans="1:16">
      <c r="A748" s="50" t="s">
        <v>753</v>
      </c>
      <c r="B748" s="50" t="s">
        <v>631</v>
      </c>
      <c r="C748" s="50" t="s">
        <v>254</v>
      </c>
      <c r="D748" s="50">
        <v>22</v>
      </c>
      <c r="E748" s="50" t="s">
        <v>752</v>
      </c>
      <c r="F748" s="50" t="s">
        <v>754</v>
      </c>
      <c r="G748" s="50" t="s">
        <v>256</v>
      </c>
      <c r="H748" s="50">
        <v>4000</v>
      </c>
      <c r="M748" t="str">
        <f>IF(COUNTIF($A:$A,E748)=0,"Not Exists","Exists")</f>
        <v>Not Exists</v>
      </c>
      <c r="N748" t="str">
        <f t="shared" si="39"/>
        <v>Not Exists</v>
      </c>
      <c r="O748" t="str">
        <f t="shared" si="37"/>
        <v>Exists</v>
      </c>
      <c r="P748" t="str">
        <f t="shared" si="38"/>
        <v>Not Exists</v>
      </c>
    </row>
    <row r="749" spans="1:16">
      <c r="A749" s="50" t="s">
        <v>753</v>
      </c>
      <c r="B749" s="50" t="s">
        <v>721</v>
      </c>
      <c r="C749" s="50" t="s">
        <v>256</v>
      </c>
      <c r="D749" s="50">
        <v>50</v>
      </c>
      <c r="E749" s="50" t="s">
        <v>752</v>
      </c>
      <c r="F749" s="50" t="s">
        <v>755</v>
      </c>
      <c r="G749" s="50" t="s">
        <v>256</v>
      </c>
      <c r="H749" s="50">
        <v>4000</v>
      </c>
      <c r="M749" t="str">
        <f>IF(COUNTIF($A:$A,E749)=0,"Not Exists","Exists")</f>
        <v>Not Exists</v>
      </c>
      <c r="N749" t="str">
        <f t="shared" si="39"/>
        <v>Not Exists</v>
      </c>
      <c r="O749" t="str">
        <f t="shared" si="37"/>
        <v>Exists</v>
      </c>
      <c r="P749" t="str">
        <f t="shared" si="38"/>
        <v>Exists</v>
      </c>
    </row>
    <row r="750" spans="1:16">
      <c r="A750" s="50" t="s">
        <v>753</v>
      </c>
      <c r="B750" s="50" t="s">
        <v>665</v>
      </c>
      <c r="C750" s="50" t="s">
        <v>256</v>
      </c>
      <c r="D750" s="50">
        <v>50</v>
      </c>
      <c r="E750" s="50" t="s">
        <v>752</v>
      </c>
      <c r="F750" s="50" t="s">
        <v>756</v>
      </c>
      <c r="G750" s="50" t="s">
        <v>256</v>
      </c>
      <c r="H750" s="50">
        <v>4000</v>
      </c>
      <c r="M750" t="str">
        <f>IF(COUNTIF($A:$A,E750)=0,"Not Exists","Exists")</f>
        <v>Not Exists</v>
      </c>
      <c r="N750" t="str">
        <f t="shared" si="39"/>
        <v>Not Exists</v>
      </c>
      <c r="O750" t="str">
        <f t="shared" si="37"/>
        <v>Exists</v>
      </c>
      <c r="P750" t="str">
        <f t="shared" si="38"/>
        <v>Exists</v>
      </c>
    </row>
    <row r="751" spans="1:16">
      <c r="A751" s="50" t="s">
        <v>753</v>
      </c>
      <c r="B751" s="50" t="s">
        <v>757</v>
      </c>
      <c r="C751" s="50" t="s">
        <v>256</v>
      </c>
      <c r="D751" s="50">
        <v>50</v>
      </c>
      <c r="E751" s="50" t="s">
        <v>752</v>
      </c>
      <c r="F751" s="50" t="s">
        <v>758</v>
      </c>
      <c r="G751" s="50" t="s">
        <v>256</v>
      </c>
      <c r="H751" s="50">
        <v>4000</v>
      </c>
      <c r="M751" t="str">
        <f>IF(COUNTIF($A:$A,E751)=0,"Not Exists","Exists")</f>
        <v>Not Exists</v>
      </c>
      <c r="N751" t="str">
        <f t="shared" si="39"/>
        <v>Not Exists</v>
      </c>
      <c r="O751" t="str">
        <f t="shared" si="37"/>
        <v>Exists</v>
      </c>
      <c r="P751" t="str">
        <f t="shared" si="38"/>
        <v>Exists</v>
      </c>
    </row>
    <row r="752" spans="1:16">
      <c r="A752" s="50" t="s">
        <v>753</v>
      </c>
      <c r="B752" s="50" t="s">
        <v>759</v>
      </c>
      <c r="C752" s="50" t="s">
        <v>256</v>
      </c>
      <c r="D752" s="50">
        <v>50</v>
      </c>
      <c r="E752" s="50" t="s">
        <v>752</v>
      </c>
      <c r="F752" s="50" t="s">
        <v>760</v>
      </c>
      <c r="G752" s="50" t="s">
        <v>256</v>
      </c>
      <c r="H752" s="50">
        <v>4000</v>
      </c>
      <c r="M752" t="str">
        <f>IF(COUNTIF($A:$A,E752)=0,"Not Exists","Exists")</f>
        <v>Not Exists</v>
      </c>
      <c r="N752" t="str">
        <f t="shared" si="39"/>
        <v>Not Exists</v>
      </c>
      <c r="O752" t="str">
        <f t="shared" si="37"/>
        <v>Exists</v>
      </c>
      <c r="P752" t="str">
        <f t="shared" si="38"/>
        <v>Exists</v>
      </c>
    </row>
    <row r="753" spans="1:16">
      <c r="A753" s="50" t="s">
        <v>753</v>
      </c>
      <c r="B753" s="50" t="s">
        <v>761</v>
      </c>
      <c r="C753" s="50" t="s">
        <v>256</v>
      </c>
      <c r="D753" s="50">
        <v>3000</v>
      </c>
      <c r="E753" s="50" t="s">
        <v>752</v>
      </c>
      <c r="F753" s="50" t="s">
        <v>315</v>
      </c>
      <c r="G753" s="50" t="s">
        <v>256</v>
      </c>
      <c r="H753" s="50">
        <v>17</v>
      </c>
      <c r="M753" t="str">
        <f>IF(COUNTIF($A:$A,E753)=0,"Not Exists","Exists")</f>
        <v>Not Exists</v>
      </c>
      <c r="N753" t="str">
        <f t="shared" si="39"/>
        <v>Exists</v>
      </c>
      <c r="O753" t="str">
        <f t="shared" si="37"/>
        <v>Exists</v>
      </c>
      <c r="P753" t="str">
        <f t="shared" si="38"/>
        <v>Exists</v>
      </c>
    </row>
    <row r="754" spans="1:16">
      <c r="A754" s="50" t="s">
        <v>753</v>
      </c>
      <c r="B754" s="50" t="s">
        <v>762</v>
      </c>
      <c r="C754" s="50" t="s">
        <v>256</v>
      </c>
      <c r="D754" s="50">
        <v>50</v>
      </c>
      <c r="E754" s="50" t="s">
        <v>752</v>
      </c>
      <c r="F754" s="50" t="s">
        <v>317</v>
      </c>
      <c r="G754" s="50" t="s">
        <v>256</v>
      </c>
      <c r="H754" s="50">
        <v>17</v>
      </c>
      <c r="M754" t="str">
        <f>IF(COUNTIF($A:$A,E754)=0,"Not Exists","Exists")</f>
        <v>Not Exists</v>
      </c>
      <c r="N754" t="str">
        <f t="shared" si="39"/>
        <v>Exists</v>
      </c>
      <c r="O754" t="str">
        <f t="shared" si="37"/>
        <v>Exists</v>
      </c>
      <c r="P754" t="str">
        <f t="shared" si="38"/>
        <v>Not Exists</v>
      </c>
    </row>
    <row r="755" spans="1:16">
      <c r="A755" s="50" t="s">
        <v>753</v>
      </c>
      <c r="B755" s="50" t="s">
        <v>724</v>
      </c>
      <c r="C755" s="50" t="s">
        <v>256</v>
      </c>
      <c r="D755" s="50">
        <v>17</v>
      </c>
      <c r="E755" s="50" t="s">
        <v>752</v>
      </c>
      <c r="F755" s="50" t="s">
        <v>316</v>
      </c>
      <c r="G755" s="50" t="s">
        <v>256</v>
      </c>
      <c r="H755" s="50">
        <v>50</v>
      </c>
      <c r="M755" t="str">
        <f>IF(COUNTIF($A:$A,E755)=0,"Not Exists","Exists")</f>
        <v>Not Exists</v>
      </c>
      <c r="N755" t="str">
        <f t="shared" si="39"/>
        <v>Exists</v>
      </c>
      <c r="O755" t="str">
        <f t="shared" si="37"/>
        <v>Exists</v>
      </c>
      <c r="P755" t="str">
        <f t="shared" si="38"/>
        <v>Exists</v>
      </c>
    </row>
    <row r="756" spans="1:16">
      <c r="A756" s="50" t="s">
        <v>753</v>
      </c>
      <c r="B756" s="50" t="s">
        <v>763</v>
      </c>
      <c r="C756" s="50" t="s">
        <v>256</v>
      </c>
      <c r="D756" s="50">
        <v>17</v>
      </c>
      <c r="E756" s="50" t="s">
        <v>752</v>
      </c>
      <c r="F756" s="50" t="s">
        <v>318</v>
      </c>
      <c r="G756" s="50" t="s">
        <v>256</v>
      </c>
      <c r="H756" s="50">
        <v>50</v>
      </c>
      <c r="M756" t="str">
        <f>IF(COUNTIF($A:$A,E756)=0,"Not Exists","Exists")</f>
        <v>Not Exists</v>
      </c>
      <c r="N756" t="str">
        <f t="shared" si="39"/>
        <v>Exists</v>
      </c>
      <c r="O756" t="str">
        <f t="shared" si="37"/>
        <v>Exists</v>
      </c>
      <c r="P756" t="str">
        <f t="shared" si="38"/>
        <v>Exists</v>
      </c>
    </row>
    <row r="757" spans="1:16">
      <c r="A757" s="50" t="s">
        <v>753</v>
      </c>
      <c r="B757" s="50" t="s">
        <v>726</v>
      </c>
      <c r="C757" s="50" t="s">
        <v>256</v>
      </c>
      <c r="D757" s="50">
        <v>17</v>
      </c>
      <c r="E757" s="50" t="s">
        <v>764</v>
      </c>
      <c r="F757" s="50" t="s">
        <v>635</v>
      </c>
      <c r="G757" s="50" t="s">
        <v>256</v>
      </c>
      <c r="H757" s="50">
        <v>2</v>
      </c>
      <c r="M757" t="str">
        <f>IF(COUNTIF($A:$A,E757)=0,"Not Exists","Exists")</f>
        <v>Not Exists</v>
      </c>
      <c r="N757" t="str">
        <f t="shared" si="39"/>
        <v>Not Exists</v>
      </c>
      <c r="O757" t="str">
        <f t="shared" si="37"/>
        <v>Exists</v>
      </c>
      <c r="P757" t="str">
        <f t="shared" si="38"/>
        <v>Exists</v>
      </c>
    </row>
    <row r="758" spans="1:16">
      <c r="A758" s="50" t="s">
        <v>753</v>
      </c>
      <c r="B758" s="50" t="s">
        <v>765</v>
      </c>
      <c r="C758" s="50" t="s">
        <v>256</v>
      </c>
      <c r="D758" s="50">
        <v>17</v>
      </c>
      <c r="E758" s="50" t="s">
        <v>764</v>
      </c>
      <c r="F758" s="50" t="s">
        <v>625</v>
      </c>
      <c r="G758" s="50" t="s">
        <v>256</v>
      </c>
      <c r="H758" s="50">
        <v>50</v>
      </c>
      <c r="M758" t="str">
        <f>IF(COUNTIF($A:$A,E758)=0,"Not Exists","Exists")</f>
        <v>Not Exists</v>
      </c>
      <c r="N758" t="str">
        <f t="shared" si="39"/>
        <v>Exists</v>
      </c>
      <c r="O758" t="str">
        <f t="shared" si="37"/>
        <v>Exists</v>
      </c>
      <c r="P758" t="str">
        <f t="shared" si="38"/>
        <v>Exists</v>
      </c>
    </row>
    <row r="759" spans="1:16">
      <c r="A759" s="50" t="s">
        <v>753</v>
      </c>
      <c r="B759" s="50" t="s">
        <v>766</v>
      </c>
      <c r="C759" s="50" t="s">
        <v>256</v>
      </c>
      <c r="D759" s="50">
        <v>17</v>
      </c>
      <c r="E759" s="50" t="s">
        <v>764</v>
      </c>
      <c r="F759" s="50" t="s">
        <v>638</v>
      </c>
      <c r="G759" s="50" t="s">
        <v>256</v>
      </c>
      <c r="H759" s="50">
        <v>8</v>
      </c>
      <c r="M759" t="str">
        <f>IF(COUNTIF($A:$A,E759)=0,"Not Exists","Exists")</f>
        <v>Not Exists</v>
      </c>
      <c r="N759" t="str">
        <f t="shared" si="39"/>
        <v>Exists</v>
      </c>
      <c r="O759" t="str">
        <f t="shared" si="37"/>
        <v>Exists</v>
      </c>
      <c r="P759" t="str">
        <f t="shared" si="38"/>
        <v>Exists</v>
      </c>
    </row>
    <row r="760" spans="1:16">
      <c r="A760" s="50" t="s">
        <v>753</v>
      </c>
      <c r="B760" s="50" t="s">
        <v>767</v>
      </c>
      <c r="C760" s="50" t="s">
        <v>254</v>
      </c>
      <c r="D760" s="50">
        <v>22</v>
      </c>
      <c r="E760" s="50" t="s">
        <v>764</v>
      </c>
      <c r="F760" s="50" t="s">
        <v>640</v>
      </c>
      <c r="G760" s="50" t="s">
        <v>256</v>
      </c>
      <c r="H760" s="50">
        <v>100</v>
      </c>
      <c r="M760" t="str">
        <f>IF(COUNTIF($A:$A,E760)=0,"Not Exists","Exists")</f>
        <v>Not Exists</v>
      </c>
      <c r="N760" t="str">
        <f t="shared" si="39"/>
        <v>Exists</v>
      </c>
      <c r="O760" t="str">
        <f t="shared" si="37"/>
        <v>Exists</v>
      </c>
      <c r="P760" t="str">
        <f t="shared" si="38"/>
        <v>Exists</v>
      </c>
    </row>
    <row r="761" spans="1:16">
      <c r="A761" s="50" t="s">
        <v>753</v>
      </c>
      <c r="B761" s="50" t="s">
        <v>768</v>
      </c>
      <c r="C761" s="50" t="s">
        <v>254</v>
      </c>
      <c r="D761" s="50">
        <v>22</v>
      </c>
      <c r="E761" s="50" t="s">
        <v>764</v>
      </c>
      <c r="F761" s="50" t="s">
        <v>642</v>
      </c>
      <c r="G761" s="50" t="s">
        <v>254</v>
      </c>
      <c r="H761" s="50">
        <v>22</v>
      </c>
      <c r="M761" t="str">
        <f>IF(COUNTIF($A:$A,E761)=0,"Not Exists","Exists")</f>
        <v>Not Exists</v>
      </c>
      <c r="N761" t="str">
        <f t="shared" si="39"/>
        <v>Exists</v>
      </c>
      <c r="O761" t="str">
        <f t="shared" si="37"/>
        <v>Exists</v>
      </c>
      <c r="P761" t="str">
        <f t="shared" si="38"/>
        <v>Exists</v>
      </c>
    </row>
    <row r="762" spans="1:16">
      <c r="A762" s="50" t="s">
        <v>753</v>
      </c>
      <c r="B762" s="50" t="s">
        <v>769</v>
      </c>
      <c r="C762" s="50" t="s">
        <v>254</v>
      </c>
      <c r="D762" s="50">
        <v>22</v>
      </c>
      <c r="E762" s="50" t="s">
        <v>764</v>
      </c>
      <c r="F762" s="50" t="s">
        <v>644</v>
      </c>
      <c r="G762" s="50" t="s">
        <v>254</v>
      </c>
      <c r="H762" s="50">
        <v>22</v>
      </c>
      <c r="M762" t="str">
        <f>IF(COUNTIF($A:$A,E762)=0,"Not Exists","Exists")</f>
        <v>Not Exists</v>
      </c>
      <c r="N762" t="str">
        <f t="shared" si="39"/>
        <v>Exists</v>
      </c>
      <c r="O762" t="str">
        <f t="shared" si="37"/>
        <v>Exists</v>
      </c>
      <c r="P762" t="str">
        <f t="shared" si="38"/>
        <v>Exists</v>
      </c>
    </row>
    <row r="763" spans="1:16">
      <c r="A763" s="50" t="s">
        <v>753</v>
      </c>
      <c r="B763" s="50" t="s">
        <v>770</v>
      </c>
      <c r="C763" s="50" t="s">
        <v>254</v>
      </c>
      <c r="D763" s="50">
        <v>22</v>
      </c>
      <c r="E763" s="50" t="s">
        <v>764</v>
      </c>
      <c r="F763" s="50" t="s">
        <v>681</v>
      </c>
      <c r="G763" s="50" t="s">
        <v>256</v>
      </c>
      <c r="H763" s="50">
        <v>1</v>
      </c>
      <c r="M763" t="str">
        <f>IF(COUNTIF($A:$A,E763)=0,"Not Exists","Exists")</f>
        <v>Not Exists</v>
      </c>
      <c r="N763" t="str">
        <f t="shared" si="39"/>
        <v>Not Exists</v>
      </c>
      <c r="O763" t="str">
        <f t="shared" si="37"/>
        <v>Exists</v>
      </c>
      <c r="P763" t="str">
        <f t="shared" si="38"/>
        <v>Not Exists</v>
      </c>
    </row>
    <row r="764" spans="1:16">
      <c r="A764" s="50" t="s">
        <v>753</v>
      </c>
      <c r="B764" s="50" t="s">
        <v>771</v>
      </c>
      <c r="C764" s="50" t="s">
        <v>254</v>
      </c>
      <c r="D764" s="50">
        <v>22</v>
      </c>
      <c r="E764" s="50" t="s">
        <v>764</v>
      </c>
      <c r="F764" s="50" t="s">
        <v>664</v>
      </c>
      <c r="G764" s="50" t="s">
        <v>256</v>
      </c>
      <c r="H764" s="50">
        <v>50</v>
      </c>
      <c r="M764" t="str">
        <f>IF(COUNTIF($A:$A,E764)=0,"Not Exists","Exists")</f>
        <v>Not Exists</v>
      </c>
      <c r="N764" t="str">
        <f t="shared" si="39"/>
        <v>Not Exists</v>
      </c>
      <c r="O764" t="str">
        <f t="shared" si="37"/>
        <v>Exists</v>
      </c>
      <c r="P764" t="str">
        <f t="shared" si="38"/>
        <v>Exists</v>
      </c>
    </row>
    <row r="765" spans="1:16">
      <c r="A765" s="50" t="s">
        <v>753</v>
      </c>
      <c r="B765" s="50" t="s">
        <v>668</v>
      </c>
      <c r="C765" s="50" t="s">
        <v>254</v>
      </c>
      <c r="D765" s="50">
        <v>22</v>
      </c>
      <c r="E765" s="50" t="s">
        <v>764</v>
      </c>
      <c r="F765" s="50" t="s">
        <v>772</v>
      </c>
      <c r="G765" s="50" t="s">
        <v>254</v>
      </c>
      <c r="H765" s="50">
        <v>22</v>
      </c>
      <c r="M765" t="str">
        <f>IF(COUNTIF($A:$A,E765)=0,"Not Exists","Exists")</f>
        <v>Not Exists</v>
      </c>
      <c r="N765" t="str">
        <f t="shared" si="39"/>
        <v>Not Exists</v>
      </c>
      <c r="O765" t="str">
        <f t="shared" si="37"/>
        <v>Exists</v>
      </c>
      <c r="P765" t="str">
        <f t="shared" si="38"/>
        <v>Exists</v>
      </c>
    </row>
    <row r="766" spans="1:16">
      <c r="A766" s="50" t="s">
        <v>753</v>
      </c>
      <c r="B766" s="50" t="s">
        <v>669</v>
      </c>
      <c r="C766" s="50" t="s">
        <v>254</v>
      </c>
      <c r="D766" s="50">
        <v>22</v>
      </c>
      <c r="E766" s="50" t="s">
        <v>764</v>
      </c>
      <c r="F766" s="50" t="s">
        <v>684</v>
      </c>
      <c r="G766" s="50" t="s">
        <v>256</v>
      </c>
      <c r="H766" s="50">
        <v>4000</v>
      </c>
      <c r="M766" t="str">
        <f>IF(COUNTIF($A:$A,E766)=0,"Not Exists","Exists")</f>
        <v>Not Exists</v>
      </c>
      <c r="N766" t="str">
        <f t="shared" si="39"/>
        <v>Not Exists</v>
      </c>
      <c r="O766" t="str">
        <f t="shared" si="37"/>
        <v>Exists</v>
      </c>
      <c r="P766" t="str">
        <f t="shared" si="38"/>
        <v>Exists</v>
      </c>
    </row>
    <row r="767" spans="1:16">
      <c r="A767" s="50" t="s">
        <v>753</v>
      </c>
      <c r="B767" s="50" t="s">
        <v>633</v>
      </c>
      <c r="C767" s="50" t="s">
        <v>254</v>
      </c>
      <c r="D767" s="50">
        <v>22</v>
      </c>
      <c r="E767" s="50" t="s">
        <v>764</v>
      </c>
      <c r="F767" s="50" t="s">
        <v>686</v>
      </c>
      <c r="G767" s="50" t="s">
        <v>256</v>
      </c>
      <c r="H767" s="50">
        <v>100</v>
      </c>
      <c r="M767" t="str">
        <f>IF(COUNTIF($A:$A,E767)=0,"Not Exists","Exists")</f>
        <v>Not Exists</v>
      </c>
      <c r="N767" t="str">
        <f t="shared" si="39"/>
        <v>Not Exists</v>
      </c>
      <c r="O767" t="str">
        <f t="shared" si="37"/>
        <v>Exists</v>
      </c>
      <c r="P767" t="str">
        <f t="shared" si="38"/>
        <v>Not Exists</v>
      </c>
    </row>
    <row r="768" spans="1:16">
      <c r="A768" s="50" t="s">
        <v>753</v>
      </c>
      <c r="B768" s="50" t="s">
        <v>773</v>
      </c>
      <c r="C768" s="50" t="s">
        <v>256</v>
      </c>
      <c r="D768" s="50">
        <v>17</v>
      </c>
      <c r="E768" s="50" t="s">
        <v>764</v>
      </c>
      <c r="F768" s="50" t="s">
        <v>667</v>
      </c>
      <c r="G768" s="50" t="s">
        <v>254</v>
      </c>
      <c r="H768" s="50">
        <v>22</v>
      </c>
      <c r="M768" t="str">
        <f>IF(COUNTIF($A:$A,E768)=0,"Not Exists","Exists")</f>
        <v>Not Exists</v>
      </c>
      <c r="N768" t="str">
        <f t="shared" si="39"/>
        <v>Not Exists</v>
      </c>
      <c r="O768" t="str">
        <f t="shared" si="37"/>
        <v>Exists</v>
      </c>
      <c r="P768" t="str">
        <f t="shared" si="38"/>
        <v>Exists</v>
      </c>
    </row>
    <row r="769" spans="1:16">
      <c r="A769" s="50" t="s">
        <v>753</v>
      </c>
      <c r="B769" s="50" t="s">
        <v>729</v>
      </c>
      <c r="C769" s="50" t="s">
        <v>254</v>
      </c>
      <c r="D769" s="50">
        <v>22</v>
      </c>
      <c r="E769" s="50" t="s">
        <v>764</v>
      </c>
      <c r="F769" s="50" t="s">
        <v>689</v>
      </c>
      <c r="G769" s="50" t="s">
        <v>256</v>
      </c>
      <c r="H769" s="50">
        <v>50</v>
      </c>
      <c r="M769" t="str">
        <f>IF(COUNTIF($A:$A,E769)=0,"Not Exists","Exists")</f>
        <v>Not Exists</v>
      </c>
      <c r="N769" t="str">
        <f t="shared" si="39"/>
        <v>Not Exists</v>
      </c>
      <c r="O769" t="str">
        <f t="shared" si="37"/>
        <v>Exists</v>
      </c>
      <c r="P769" t="str">
        <f t="shared" si="38"/>
        <v>Exists</v>
      </c>
    </row>
    <row r="770" spans="1:16">
      <c r="A770" s="50" t="s">
        <v>753</v>
      </c>
      <c r="B770" s="50" t="s">
        <v>730</v>
      </c>
      <c r="C770" s="50" t="s">
        <v>254</v>
      </c>
      <c r="D770" s="50">
        <v>22</v>
      </c>
      <c r="E770" s="50" t="s">
        <v>764</v>
      </c>
      <c r="F770" s="50" t="s">
        <v>692</v>
      </c>
      <c r="G770" s="50" t="s">
        <v>256</v>
      </c>
      <c r="H770" s="50">
        <v>4000</v>
      </c>
      <c r="M770" t="str">
        <f>IF(COUNTIF($A:$A,E770)=0,"Not Exists","Exists")</f>
        <v>Not Exists</v>
      </c>
      <c r="N770" t="str">
        <f t="shared" si="39"/>
        <v>Exists</v>
      </c>
      <c r="O770" t="str">
        <f t="shared" si="37"/>
        <v>Exists</v>
      </c>
      <c r="P770" t="str">
        <f t="shared" si="38"/>
        <v>Exists</v>
      </c>
    </row>
    <row r="771" spans="1:16">
      <c r="A771" s="50" t="s">
        <v>753</v>
      </c>
      <c r="B771" s="50" t="s">
        <v>731</v>
      </c>
      <c r="C771" s="50" t="s">
        <v>254</v>
      </c>
      <c r="D771" s="50">
        <v>22</v>
      </c>
      <c r="E771" s="50" t="s">
        <v>764</v>
      </c>
      <c r="F771" s="50" t="s">
        <v>694</v>
      </c>
      <c r="G771" s="50" t="s">
        <v>256</v>
      </c>
      <c r="H771" s="50">
        <v>4000</v>
      </c>
      <c r="M771" t="str">
        <f>IF(COUNTIF($A:$A,E771)=0,"Not Exists","Exists")</f>
        <v>Not Exists</v>
      </c>
      <c r="N771" t="str">
        <f t="shared" si="39"/>
        <v>Exists</v>
      </c>
      <c r="O771" t="str">
        <f t="shared" si="37"/>
        <v>Exists</v>
      </c>
      <c r="P771" t="str">
        <f t="shared" si="38"/>
        <v>Exists</v>
      </c>
    </row>
    <row r="772" spans="1:16">
      <c r="A772" s="50" t="s">
        <v>753</v>
      </c>
      <c r="B772" s="50" t="s">
        <v>774</v>
      </c>
      <c r="C772" s="50" t="s">
        <v>254</v>
      </c>
      <c r="D772" s="50">
        <v>22</v>
      </c>
      <c r="E772" s="50" t="s">
        <v>764</v>
      </c>
      <c r="F772" s="50" t="s">
        <v>696</v>
      </c>
      <c r="G772" s="50" t="s">
        <v>256</v>
      </c>
      <c r="H772" s="50">
        <v>4000</v>
      </c>
      <c r="M772" t="str">
        <f>IF(COUNTIF($A:$A,E772)=0,"Not Exists","Exists")</f>
        <v>Not Exists</v>
      </c>
      <c r="N772" t="str">
        <f t="shared" si="39"/>
        <v>Not Exists</v>
      </c>
      <c r="O772" t="str">
        <f t="shared" ref="O772:O835" si="40">IF(COUNTIF($E:$E,A772)=0,"Not Exists","Exists")</f>
        <v>Exists</v>
      </c>
      <c r="P772" t="str">
        <f t="shared" ref="P772:P835" si="41">IF(COUNTIF($F:$F,B772)=0,"Not Exists","Exists")</f>
        <v>Exists</v>
      </c>
    </row>
    <row r="773" spans="1:16">
      <c r="A773" s="50" t="s">
        <v>753</v>
      </c>
      <c r="B773" s="50" t="s">
        <v>775</v>
      </c>
      <c r="C773" s="50" t="s">
        <v>254</v>
      </c>
      <c r="D773" s="50">
        <v>22</v>
      </c>
      <c r="E773" s="50" t="s">
        <v>764</v>
      </c>
      <c r="F773" s="50" t="s">
        <v>698</v>
      </c>
      <c r="G773" s="50" t="s">
        <v>256</v>
      </c>
      <c r="H773" s="50">
        <v>4000</v>
      </c>
      <c r="M773" t="str">
        <f>IF(COUNTIF($A:$A,E773)=0,"Not Exists","Exists")</f>
        <v>Not Exists</v>
      </c>
      <c r="N773" t="str">
        <f t="shared" si="39"/>
        <v>Not Exists</v>
      </c>
      <c r="O773" t="str">
        <f t="shared" si="40"/>
        <v>Exists</v>
      </c>
      <c r="P773" t="str">
        <f t="shared" si="41"/>
        <v>Exists</v>
      </c>
    </row>
    <row r="774" spans="1:16">
      <c r="A774" s="50" t="s">
        <v>753</v>
      </c>
      <c r="B774" s="50" t="s">
        <v>776</v>
      </c>
      <c r="C774" s="50" t="s">
        <v>256</v>
      </c>
      <c r="D774" s="50">
        <v>17</v>
      </c>
      <c r="E774" s="50" t="s">
        <v>764</v>
      </c>
      <c r="F774" s="50" t="s">
        <v>700</v>
      </c>
      <c r="G774" s="50" t="s">
        <v>256</v>
      </c>
      <c r="H774" s="50">
        <v>4000</v>
      </c>
      <c r="M774" t="str">
        <f>IF(COUNTIF($A:$A,E774)=0,"Not Exists","Exists")</f>
        <v>Not Exists</v>
      </c>
      <c r="N774" t="str">
        <f t="shared" si="39"/>
        <v>Not Exists</v>
      </c>
      <c r="O774" t="str">
        <f t="shared" si="40"/>
        <v>Exists</v>
      </c>
      <c r="P774" t="str">
        <f t="shared" si="41"/>
        <v>Exists</v>
      </c>
    </row>
    <row r="775" spans="1:16">
      <c r="A775" s="50" t="s">
        <v>753</v>
      </c>
      <c r="B775" s="50" t="s">
        <v>777</v>
      </c>
      <c r="C775" s="50" t="s">
        <v>256</v>
      </c>
      <c r="D775" s="50">
        <v>3000</v>
      </c>
      <c r="E775" s="50" t="s">
        <v>764</v>
      </c>
      <c r="F775" s="50" t="s">
        <v>665</v>
      </c>
      <c r="G775" s="50" t="s">
        <v>256</v>
      </c>
      <c r="H775" s="50">
        <v>3</v>
      </c>
      <c r="M775" t="str">
        <f>IF(COUNTIF($A:$A,E775)=0,"Not Exists","Exists")</f>
        <v>Not Exists</v>
      </c>
      <c r="N775" t="str">
        <f t="shared" si="39"/>
        <v>Exists</v>
      </c>
      <c r="O775" t="str">
        <f t="shared" si="40"/>
        <v>Exists</v>
      </c>
      <c r="P775" t="str">
        <f t="shared" si="41"/>
        <v>Exists</v>
      </c>
    </row>
    <row r="776" spans="1:16">
      <c r="A776" s="50" t="s">
        <v>753</v>
      </c>
      <c r="B776" s="50" t="s">
        <v>701</v>
      </c>
      <c r="C776" s="50" t="s">
        <v>256</v>
      </c>
      <c r="D776" s="50">
        <v>50</v>
      </c>
      <c r="E776" s="50" t="s">
        <v>764</v>
      </c>
      <c r="F776" s="50" t="s">
        <v>315</v>
      </c>
      <c r="G776" s="50" t="s">
        <v>256</v>
      </c>
      <c r="H776" s="50">
        <v>17</v>
      </c>
      <c r="M776" t="str">
        <f>IF(COUNTIF($A:$A,E776)=0,"Not Exists","Exists")</f>
        <v>Not Exists</v>
      </c>
      <c r="N776" t="str">
        <f t="shared" si="39"/>
        <v>Exists</v>
      </c>
      <c r="O776" t="str">
        <f t="shared" si="40"/>
        <v>Exists</v>
      </c>
      <c r="P776" t="str">
        <f t="shared" si="41"/>
        <v>Exists</v>
      </c>
    </row>
    <row r="777" spans="1:16">
      <c r="A777" s="50" t="s">
        <v>753</v>
      </c>
      <c r="B777" s="50" t="s">
        <v>315</v>
      </c>
      <c r="C777" s="50" t="s">
        <v>251</v>
      </c>
      <c r="D777" s="50">
        <v>17</v>
      </c>
      <c r="E777" s="50" t="s">
        <v>764</v>
      </c>
      <c r="F777" s="50" t="s">
        <v>317</v>
      </c>
      <c r="G777" s="50" t="s">
        <v>256</v>
      </c>
      <c r="H777" s="50">
        <v>17</v>
      </c>
      <c r="M777" t="str">
        <f>IF(COUNTIF($A:$A,E777)=0,"Not Exists","Exists")</f>
        <v>Not Exists</v>
      </c>
      <c r="N777" t="str">
        <f t="shared" si="39"/>
        <v>Exists</v>
      </c>
      <c r="O777" t="str">
        <f t="shared" si="40"/>
        <v>Exists</v>
      </c>
      <c r="P777" t="str">
        <f t="shared" si="41"/>
        <v>Exists</v>
      </c>
    </row>
    <row r="778" spans="1:16">
      <c r="A778" s="50" t="s">
        <v>753</v>
      </c>
      <c r="B778" s="50" t="s">
        <v>317</v>
      </c>
      <c r="C778" s="50" t="s">
        <v>251</v>
      </c>
      <c r="D778" s="50">
        <v>17</v>
      </c>
      <c r="E778" s="50" t="s">
        <v>764</v>
      </c>
      <c r="F778" s="50" t="s">
        <v>316</v>
      </c>
      <c r="G778" s="50" t="s">
        <v>256</v>
      </c>
      <c r="H778" s="50">
        <v>50</v>
      </c>
      <c r="M778" t="str">
        <f>IF(COUNTIF($A:$A,E778)=0,"Not Exists","Exists")</f>
        <v>Not Exists</v>
      </c>
      <c r="N778" t="str">
        <f t="shared" si="39"/>
        <v>Exists</v>
      </c>
      <c r="O778" t="str">
        <f t="shared" si="40"/>
        <v>Exists</v>
      </c>
      <c r="P778" t="str">
        <f t="shared" si="41"/>
        <v>Exists</v>
      </c>
    </row>
    <row r="779" spans="1:16">
      <c r="A779" s="50" t="s">
        <v>753</v>
      </c>
      <c r="B779" s="50" t="s">
        <v>316</v>
      </c>
      <c r="C779" s="50" t="s">
        <v>256</v>
      </c>
      <c r="D779" s="50">
        <v>50</v>
      </c>
      <c r="E779" s="50" t="s">
        <v>764</v>
      </c>
      <c r="F779" s="50" t="s">
        <v>318</v>
      </c>
      <c r="G779" s="50" t="s">
        <v>256</v>
      </c>
      <c r="H779" s="50">
        <v>50</v>
      </c>
      <c r="M779" t="str">
        <f>IF(COUNTIF($A:$A,E779)=0,"Not Exists","Exists")</f>
        <v>Not Exists</v>
      </c>
      <c r="N779" t="str">
        <f t="shared" si="39"/>
        <v>Exists</v>
      </c>
      <c r="O779" t="str">
        <f t="shared" si="40"/>
        <v>Exists</v>
      </c>
      <c r="P779" t="str">
        <f t="shared" si="41"/>
        <v>Exists</v>
      </c>
    </row>
    <row r="780" spans="1:16">
      <c r="A780" s="50" t="s">
        <v>753</v>
      </c>
      <c r="B780" s="50" t="s">
        <v>318</v>
      </c>
      <c r="C780" s="50" t="s">
        <v>256</v>
      </c>
      <c r="D780" s="50">
        <v>50</v>
      </c>
      <c r="E780" s="50" t="s">
        <v>720</v>
      </c>
      <c r="F780" s="50" t="s">
        <v>625</v>
      </c>
      <c r="G780" s="50" t="s">
        <v>256</v>
      </c>
      <c r="H780" s="50">
        <v>50</v>
      </c>
      <c r="M780" t="str">
        <f>IF(COUNTIF($A:$A,E780)=0,"Not Exists","Exists")</f>
        <v>Exists</v>
      </c>
      <c r="N780" t="str">
        <f t="shared" si="39"/>
        <v>Exists</v>
      </c>
      <c r="O780" t="str">
        <f t="shared" si="40"/>
        <v>Exists</v>
      </c>
      <c r="P780" t="str">
        <f t="shared" si="41"/>
        <v>Exists</v>
      </c>
    </row>
    <row r="781" spans="1:16">
      <c r="A781" s="50" t="s">
        <v>753</v>
      </c>
      <c r="B781" s="50" t="s">
        <v>436</v>
      </c>
      <c r="C781" s="50" t="s">
        <v>256</v>
      </c>
      <c r="D781" s="50">
        <v>50</v>
      </c>
      <c r="E781" s="50" t="s">
        <v>720</v>
      </c>
      <c r="F781" s="50" t="s">
        <v>638</v>
      </c>
      <c r="G781" s="50" t="s">
        <v>256</v>
      </c>
      <c r="H781" s="50">
        <v>8</v>
      </c>
      <c r="M781" t="str">
        <f>IF(COUNTIF($A:$A,E781)=0,"Not Exists","Exists")</f>
        <v>Exists</v>
      </c>
      <c r="N781" t="str">
        <f t="shared" si="39"/>
        <v>Exists</v>
      </c>
      <c r="O781" t="str">
        <f t="shared" si="40"/>
        <v>Exists</v>
      </c>
      <c r="P781" t="str">
        <f t="shared" si="41"/>
        <v>Not Exists</v>
      </c>
    </row>
    <row r="782" spans="1:16">
      <c r="A782" s="50" t="s">
        <v>753</v>
      </c>
      <c r="B782" s="50" t="s">
        <v>671</v>
      </c>
      <c r="C782" s="50" t="s">
        <v>256</v>
      </c>
      <c r="D782" s="50">
        <v>450</v>
      </c>
      <c r="E782" s="50" t="s">
        <v>720</v>
      </c>
      <c r="F782" s="50" t="s">
        <v>640</v>
      </c>
      <c r="G782" s="50" t="s">
        <v>256</v>
      </c>
      <c r="H782" s="50">
        <v>100</v>
      </c>
      <c r="M782" t="str">
        <f>IF(COUNTIF($A:$A,E782)=0,"Not Exists","Exists")</f>
        <v>Exists</v>
      </c>
      <c r="N782" t="str">
        <f t="shared" si="39"/>
        <v>Exists</v>
      </c>
      <c r="O782" t="str">
        <f t="shared" si="40"/>
        <v>Exists</v>
      </c>
      <c r="P782" t="str">
        <f t="shared" si="41"/>
        <v>Exists</v>
      </c>
    </row>
    <row r="783" spans="1:16">
      <c r="A783" s="50" t="s">
        <v>753</v>
      </c>
      <c r="B783" s="50" t="s">
        <v>638</v>
      </c>
      <c r="C783" s="50" t="s">
        <v>256</v>
      </c>
      <c r="D783" s="50">
        <v>10</v>
      </c>
      <c r="E783" s="50" t="s">
        <v>720</v>
      </c>
      <c r="F783" s="50" t="s">
        <v>642</v>
      </c>
      <c r="G783" s="50" t="s">
        <v>254</v>
      </c>
      <c r="H783" s="50">
        <v>22</v>
      </c>
      <c r="M783" t="str">
        <f>IF(COUNTIF($A:$A,E783)=0,"Not Exists","Exists")</f>
        <v>Exists</v>
      </c>
      <c r="N783" t="str">
        <f t="shared" si="39"/>
        <v>Exists</v>
      </c>
      <c r="O783" t="str">
        <f t="shared" si="40"/>
        <v>Exists</v>
      </c>
      <c r="P783" t="str">
        <f t="shared" si="41"/>
        <v>Exists</v>
      </c>
    </row>
    <row r="784" spans="1:16">
      <c r="A784" s="50" t="s">
        <v>753</v>
      </c>
      <c r="B784" s="50" t="s">
        <v>640</v>
      </c>
      <c r="C784" s="50" t="s">
        <v>256</v>
      </c>
      <c r="D784" s="50">
        <v>50</v>
      </c>
      <c r="E784" s="50" t="s">
        <v>720</v>
      </c>
      <c r="F784" s="50" t="s">
        <v>646</v>
      </c>
      <c r="G784" s="50" t="s">
        <v>254</v>
      </c>
      <c r="H784" s="50">
        <v>22</v>
      </c>
      <c r="M784" t="str">
        <f>IF(COUNTIF($A:$A,E784)=0,"Not Exists","Exists")</f>
        <v>Exists</v>
      </c>
      <c r="N784" t="str">
        <f t="shared" si="39"/>
        <v>Not Exists</v>
      </c>
      <c r="O784" t="str">
        <f t="shared" si="40"/>
        <v>Exists</v>
      </c>
      <c r="P784" t="str">
        <f t="shared" si="41"/>
        <v>Exists</v>
      </c>
    </row>
    <row r="785" spans="1:16">
      <c r="A785" s="50" t="s">
        <v>753</v>
      </c>
      <c r="B785" s="50" t="s">
        <v>642</v>
      </c>
      <c r="C785" s="50" t="s">
        <v>256</v>
      </c>
      <c r="D785" s="50">
        <v>10</v>
      </c>
      <c r="E785" s="50" t="s">
        <v>720</v>
      </c>
      <c r="F785" s="50" t="s">
        <v>721</v>
      </c>
      <c r="G785" s="50" t="s">
        <v>256</v>
      </c>
      <c r="H785" s="50">
        <v>50</v>
      </c>
      <c r="M785" t="str">
        <f>IF(COUNTIF($A:$A,E785)=0,"Not Exists","Exists")</f>
        <v>Exists</v>
      </c>
      <c r="N785" t="str">
        <f t="shared" si="39"/>
        <v>Exists</v>
      </c>
      <c r="O785" t="str">
        <f t="shared" si="40"/>
        <v>Exists</v>
      </c>
      <c r="P785" t="str">
        <f t="shared" si="41"/>
        <v>Exists</v>
      </c>
    </row>
    <row r="786" spans="1:16">
      <c r="A786" s="50" t="s">
        <v>778</v>
      </c>
      <c r="B786" s="50" t="s">
        <v>430</v>
      </c>
      <c r="C786" s="50" t="s">
        <v>256</v>
      </c>
      <c r="D786" s="50">
        <v>50</v>
      </c>
      <c r="E786" s="50" t="s">
        <v>720</v>
      </c>
      <c r="F786" s="50" t="s">
        <v>424</v>
      </c>
      <c r="G786" s="50" t="s">
        <v>256</v>
      </c>
      <c r="H786" s="50">
        <v>100</v>
      </c>
      <c r="M786" t="str">
        <f>IF(COUNTIF($A:$A,E786)=0,"Not Exists","Exists")</f>
        <v>Exists</v>
      </c>
      <c r="N786" t="str">
        <f t="shared" si="39"/>
        <v>Exists</v>
      </c>
      <c r="O786" t="str">
        <f t="shared" si="40"/>
        <v>Exists</v>
      </c>
      <c r="P786" t="str">
        <f t="shared" si="41"/>
        <v>Exists</v>
      </c>
    </row>
    <row r="787" spans="1:16">
      <c r="A787" s="50" t="s">
        <v>778</v>
      </c>
      <c r="B787" s="50" t="s">
        <v>431</v>
      </c>
      <c r="C787" s="50" t="s">
        <v>256</v>
      </c>
      <c r="D787" s="50">
        <v>50</v>
      </c>
      <c r="E787" s="50" t="s">
        <v>720</v>
      </c>
      <c r="F787" s="50" t="s">
        <v>668</v>
      </c>
      <c r="G787" s="50" t="s">
        <v>254</v>
      </c>
      <c r="H787" s="50">
        <v>22</v>
      </c>
      <c r="M787" t="str">
        <f>IF(COUNTIF($A:$A,E787)=0,"Not Exists","Exists")</f>
        <v>Exists</v>
      </c>
      <c r="N787" t="str">
        <f t="shared" si="39"/>
        <v>Exists</v>
      </c>
      <c r="O787" t="str">
        <f t="shared" si="40"/>
        <v>Exists</v>
      </c>
      <c r="P787" t="str">
        <f t="shared" si="41"/>
        <v>Exists</v>
      </c>
    </row>
    <row r="788" spans="1:16">
      <c r="A788" s="50" t="s">
        <v>778</v>
      </c>
      <c r="B788" s="50" t="s">
        <v>432</v>
      </c>
      <c r="C788" s="50" t="s">
        <v>256</v>
      </c>
      <c r="D788" s="50">
        <v>50</v>
      </c>
      <c r="E788" s="50" t="s">
        <v>720</v>
      </c>
      <c r="F788" s="50" t="s">
        <v>669</v>
      </c>
      <c r="G788" s="50" t="s">
        <v>254</v>
      </c>
      <c r="H788" s="50">
        <v>22</v>
      </c>
      <c r="M788" t="str">
        <f>IF(COUNTIF($A:$A,E788)=0,"Not Exists","Exists")</f>
        <v>Exists</v>
      </c>
      <c r="N788" t="str">
        <f t="shared" si="39"/>
        <v>Exists</v>
      </c>
      <c r="O788" t="str">
        <f t="shared" si="40"/>
        <v>Exists</v>
      </c>
      <c r="P788" t="str">
        <f t="shared" si="41"/>
        <v>Exists</v>
      </c>
    </row>
    <row r="789" spans="1:16">
      <c r="A789" s="50" t="s">
        <v>778</v>
      </c>
      <c r="B789" s="50" t="s">
        <v>616</v>
      </c>
      <c r="C789" s="50" t="s">
        <v>256</v>
      </c>
      <c r="D789" s="50">
        <v>14</v>
      </c>
      <c r="E789" s="50" t="s">
        <v>720</v>
      </c>
      <c r="F789" s="50" t="s">
        <v>644</v>
      </c>
      <c r="G789" s="50" t="s">
        <v>254</v>
      </c>
      <c r="H789" s="50">
        <v>22</v>
      </c>
      <c r="M789" t="str">
        <f>IF(COUNTIF($A:$A,E789)=0,"Not Exists","Exists")</f>
        <v>Exists</v>
      </c>
      <c r="N789" t="str">
        <f t="shared" si="39"/>
        <v>Exists</v>
      </c>
      <c r="O789" t="str">
        <f t="shared" si="40"/>
        <v>Exists</v>
      </c>
      <c r="P789" t="str">
        <f t="shared" si="41"/>
        <v>Exists</v>
      </c>
    </row>
    <row r="790" spans="1:16">
      <c r="A790" s="50" t="s">
        <v>778</v>
      </c>
      <c r="B790" s="50" t="s">
        <v>618</v>
      </c>
      <c r="C790" s="50" t="s">
        <v>256</v>
      </c>
      <c r="D790" s="50">
        <v>14</v>
      </c>
      <c r="E790" s="50" t="s">
        <v>720</v>
      </c>
      <c r="F790" s="50" t="s">
        <v>665</v>
      </c>
      <c r="G790" s="50" t="s">
        <v>256</v>
      </c>
      <c r="H790" s="50">
        <v>3</v>
      </c>
      <c r="M790" t="str">
        <f>IF(COUNTIF($A:$A,E790)=0,"Not Exists","Exists")</f>
        <v>Exists</v>
      </c>
      <c r="N790" t="str">
        <f t="shared" si="39"/>
        <v>Exists</v>
      </c>
      <c r="O790" t="str">
        <f t="shared" si="40"/>
        <v>Exists</v>
      </c>
      <c r="P790" t="str">
        <f t="shared" si="41"/>
        <v>Exists</v>
      </c>
    </row>
    <row r="791" spans="1:16">
      <c r="A791" s="50" t="s">
        <v>778</v>
      </c>
      <c r="B791" s="50" t="s">
        <v>620</v>
      </c>
      <c r="C791" s="50" t="s">
        <v>251</v>
      </c>
      <c r="D791" s="50">
        <v>1</v>
      </c>
      <c r="E791" s="50" t="s">
        <v>720</v>
      </c>
      <c r="F791" s="50" t="s">
        <v>724</v>
      </c>
      <c r="G791" s="50" t="s">
        <v>256</v>
      </c>
      <c r="H791" s="50">
        <v>17</v>
      </c>
      <c r="M791" t="str">
        <f>IF(COUNTIF($A:$A,E791)=0,"Not Exists","Exists")</f>
        <v>Exists</v>
      </c>
      <c r="N791" t="str">
        <f t="shared" si="39"/>
        <v>Exists</v>
      </c>
      <c r="O791" t="str">
        <f t="shared" si="40"/>
        <v>Exists</v>
      </c>
      <c r="P791" t="str">
        <f t="shared" si="41"/>
        <v>Exists</v>
      </c>
    </row>
    <row r="792" spans="1:16">
      <c r="A792" s="50" t="s">
        <v>778</v>
      </c>
      <c r="B792" s="50" t="s">
        <v>373</v>
      </c>
      <c r="C792" s="50" t="s">
        <v>251</v>
      </c>
      <c r="D792" s="50">
        <v>1</v>
      </c>
      <c r="E792" s="50" t="s">
        <v>720</v>
      </c>
      <c r="F792" s="50" t="s">
        <v>726</v>
      </c>
      <c r="G792" s="50" t="s">
        <v>256</v>
      </c>
      <c r="H792" s="50">
        <v>17</v>
      </c>
      <c r="M792" t="str">
        <f>IF(COUNTIF($A:$A,E792)=0,"Not Exists","Exists")</f>
        <v>Exists</v>
      </c>
      <c r="N792" t="str">
        <f t="shared" si="39"/>
        <v>Exists</v>
      </c>
      <c r="O792" t="str">
        <f t="shared" si="40"/>
        <v>Exists</v>
      </c>
      <c r="P792" t="str">
        <f t="shared" si="41"/>
        <v>Exists</v>
      </c>
    </row>
    <row r="793" spans="1:16">
      <c r="A793" s="50" t="s">
        <v>778</v>
      </c>
      <c r="B793" s="50" t="s">
        <v>622</v>
      </c>
      <c r="C793" s="50" t="s">
        <v>256</v>
      </c>
      <c r="D793" s="50">
        <v>500</v>
      </c>
      <c r="E793" s="50" t="s">
        <v>720</v>
      </c>
      <c r="F793" s="50" t="s">
        <v>728</v>
      </c>
      <c r="G793" s="50" t="s">
        <v>254</v>
      </c>
      <c r="H793" s="50">
        <v>22</v>
      </c>
      <c r="M793" t="str">
        <f>IF(COUNTIF($A:$A,E793)=0,"Not Exists","Exists")</f>
        <v>Exists</v>
      </c>
      <c r="N793" t="str">
        <f t="shared" si="39"/>
        <v>Exists</v>
      </c>
      <c r="O793" t="str">
        <f t="shared" si="40"/>
        <v>Exists</v>
      </c>
      <c r="P793" t="str">
        <f t="shared" si="41"/>
        <v>Exists</v>
      </c>
    </row>
    <row r="794" spans="1:16">
      <c r="A794" s="50" t="s">
        <v>778</v>
      </c>
      <c r="B794" s="50" t="s">
        <v>315</v>
      </c>
      <c r="C794" s="50" t="s">
        <v>251</v>
      </c>
      <c r="D794" s="50">
        <v>17</v>
      </c>
      <c r="E794" s="50" t="s">
        <v>720</v>
      </c>
      <c r="F794" s="50" t="s">
        <v>729</v>
      </c>
      <c r="G794" s="50" t="s">
        <v>254</v>
      </c>
      <c r="H794" s="50">
        <v>22</v>
      </c>
      <c r="M794" t="str">
        <f>IF(COUNTIF($A:$A,E794)=0,"Not Exists","Exists")</f>
        <v>Exists</v>
      </c>
      <c r="N794" t="str">
        <f t="shared" si="39"/>
        <v>Exists</v>
      </c>
      <c r="O794" t="str">
        <f t="shared" si="40"/>
        <v>Exists</v>
      </c>
      <c r="P794" t="str">
        <f t="shared" si="41"/>
        <v>Exists</v>
      </c>
    </row>
    <row r="795" spans="1:16">
      <c r="A795" s="50" t="s">
        <v>778</v>
      </c>
      <c r="B795" s="50" t="s">
        <v>317</v>
      </c>
      <c r="C795" s="50" t="s">
        <v>251</v>
      </c>
      <c r="D795" s="50">
        <v>17</v>
      </c>
      <c r="E795" s="50" t="s">
        <v>720</v>
      </c>
      <c r="F795" s="50" t="s">
        <v>730</v>
      </c>
      <c r="G795" s="50" t="s">
        <v>254</v>
      </c>
      <c r="H795" s="50">
        <v>22</v>
      </c>
      <c r="M795" t="str">
        <f>IF(COUNTIF($A:$A,E795)=0,"Not Exists","Exists")</f>
        <v>Exists</v>
      </c>
      <c r="N795" t="str">
        <f t="shared" si="39"/>
        <v>Exists</v>
      </c>
      <c r="O795" t="str">
        <f t="shared" si="40"/>
        <v>Exists</v>
      </c>
      <c r="P795" t="str">
        <f t="shared" si="41"/>
        <v>Exists</v>
      </c>
    </row>
    <row r="796" spans="1:16">
      <c r="A796" s="50" t="s">
        <v>778</v>
      </c>
      <c r="B796" s="50" t="s">
        <v>316</v>
      </c>
      <c r="C796" s="50" t="s">
        <v>256</v>
      </c>
      <c r="D796" s="50">
        <v>50</v>
      </c>
      <c r="E796" s="50" t="s">
        <v>720</v>
      </c>
      <c r="F796" s="50" t="s">
        <v>731</v>
      </c>
      <c r="G796" s="50" t="s">
        <v>254</v>
      </c>
      <c r="H796" s="50">
        <v>22</v>
      </c>
      <c r="M796" t="str">
        <f>IF(COUNTIF($A:$A,E796)=0,"Not Exists","Exists")</f>
        <v>Exists</v>
      </c>
      <c r="N796" t="str">
        <f t="shared" si="39"/>
        <v>Exists</v>
      </c>
      <c r="O796" t="str">
        <f t="shared" si="40"/>
        <v>Exists</v>
      </c>
      <c r="P796" t="str">
        <f t="shared" si="41"/>
        <v>Exists</v>
      </c>
    </row>
    <row r="797" spans="1:16">
      <c r="A797" s="50" t="s">
        <v>778</v>
      </c>
      <c r="B797" s="50" t="s">
        <v>318</v>
      </c>
      <c r="C797" s="50" t="s">
        <v>256</v>
      </c>
      <c r="D797" s="50">
        <v>50</v>
      </c>
      <c r="E797" s="50" t="s">
        <v>720</v>
      </c>
      <c r="F797" s="50" t="s">
        <v>706</v>
      </c>
      <c r="G797" s="50" t="s">
        <v>254</v>
      </c>
      <c r="H797" s="50">
        <v>22</v>
      </c>
      <c r="M797" t="str">
        <f>IF(COUNTIF($A:$A,E797)=0,"Not Exists","Exists")</f>
        <v>Exists</v>
      </c>
      <c r="N797" t="str">
        <f t="shared" si="39"/>
        <v>Not Exists</v>
      </c>
      <c r="O797" t="str">
        <f t="shared" si="40"/>
        <v>Exists</v>
      </c>
      <c r="P797" t="str">
        <f t="shared" si="41"/>
        <v>Exists</v>
      </c>
    </row>
    <row r="798" spans="1:16">
      <c r="A798" s="50" t="s">
        <v>778</v>
      </c>
      <c r="B798" s="50" t="s">
        <v>436</v>
      </c>
      <c r="C798" s="50" t="s">
        <v>256</v>
      </c>
      <c r="D798" s="50">
        <v>50</v>
      </c>
      <c r="E798" s="50" t="s">
        <v>720</v>
      </c>
      <c r="F798" s="50" t="s">
        <v>708</v>
      </c>
      <c r="G798" s="50" t="s">
        <v>254</v>
      </c>
      <c r="H798" s="50">
        <v>22</v>
      </c>
      <c r="M798" t="str">
        <f>IF(COUNTIF($A:$A,E798)=0,"Not Exists","Exists")</f>
        <v>Exists</v>
      </c>
      <c r="N798" t="str">
        <f t="shared" si="39"/>
        <v>Not Exists</v>
      </c>
      <c r="O798" t="str">
        <f t="shared" si="40"/>
        <v>Exists</v>
      </c>
      <c r="P798" t="str">
        <f t="shared" si="41"/>
        <v>Not Exists</v>
      </c>
    </row>
    <row r="799" spans="1:16">
      <c r="A799" s="50" t="s">
        <v>779</v>
      </c>
      <c r="B799" s="50" t="s">
        <v>780</v>
      </c>
      <c r="C799" s="50" t="s">
        <v>256</v>
      </c>
      <c r="D799" s="50">
        <v>50</v>
      </c>
      <c r="E799" s="50" t="s">
        <v>720</v>
      </c>
      <c r="F799" s="50" t="s">
        <v>667</v>
      </c>
      <c r="G799" s="50" t="s">
        <v>254</v>
      </c>
      <c r="H799" s="50">
        <v>22</v>
      </c>
      <c r="M799" t="str">
        <f>IF(COUNTIF($A:$A,E799)=0,"Not Exists","Exists")</f>
        <v>Exists</v>
      </c>
      <c r="N799" t="str">
        <f t="shared" si="39"/>
        <v>Not Exists</v>
      </c>
      <c r="O799" t="str">
        <f t="shared" si="40"/>
        <v>Not Exists</v>
      </c>
      <c r="P799" t="str">
        <f t="shared" si="41"/>
        <v>Exists</v>
      </c>
    </row>
    <row r="800" spans="1:16">
      <c r="A800" s="50" t="s">
        <v>779</v>
      </c>
      <c r="B800" s="50" t="s">
        <v>436</v>
      </c>
      <c r="C800" s="50" t="s">
        <v>256</v>
      </c>
      <c r="D800" s="50">
        <v>50</v>
      </c>
      <c r="E800" s="50" t="s">
        <v>720</v>
      </c>
      <c r="F800" s="50" t="s">
        <v>710</v>
      </c>
      <c r="G800" s="50" t="s">
        <v>254</v>
      </c>
      <c r="H800" s="50">
        <v>22</v>
      </c>
      <c r="M800" t="str">
        <f>IF(COUNTIF($A:$A,E800)=0,"Not Exists","Exists")</f>
        <v>Exists</v>
      </c>
      <c r="N800" t="str">
        <f t="shared" si="39"/>
        <v>Not Exists</v>
      </c>
      <c r="O800" t="str">
        <f t="shared" si="40"/>
        <v>Not Exists</v>
      </c>
      <c r="P800" t="str">
        <f t="shared" si="41"/>
        <v>Not Exists</v>
      </c>
    </row>
    <row r="801" spans="1:16">
      <c r="A801" s="50" t="s">
        <v>779</v>
      </c>
      <c r="B801" s="50" t="s">
        <v>317</v>
      </c>
      <c r="C801" s="50" t="s">
        <v>251</v>
      </c>
      <c r="D801" s="50">
        <v>17</v>
      </c>
      <c r="E801" s="50" t="s">
        <v>720</v>
      </c>
      <c r="F801" s="50" t="s">
        <v>704</v>
      </c>
      <c r="G801" s="50" t="s">
        <v>256</v>
      </c>
      <c r="H801" s="50">
        <v>50</v>
      </c>
      <c r="M801" t="str">
        <f>IF(COUNTIF($A:$A,E801)=0,"Not Exists","Exists")</f>
        <v>Exists</v>
      </c>
      <c r="N801" t="str">
        <f t="shared" si="39"/>
        <v>Not Exists</v>
      </c>
      <c r="O801" t="str">
        <f t="shared" si="40"/>
        <v>Not Exists</v>
      </c>
      <c r="P801" t="str">
        <f t="shared" si="41"/>
        <v>Exists</v>
      </c>
    </row>
    <row r="802" spans="1:16">
      <c r="A802" s="50" t="s">
        <v>779</v>
      </c>
      <c r="B802" s="50" t="s">
        <v>318</v>
      </c>
      <c r="C802" s="50" t="s">
        <v>256</v>
      </c>
      <c r="D802" s="50">
        <v>50</v>
      </c>
      <c r="E802" s="50" t="s">
        <v>720</v>
      </c>
      <c r="F802" s="50" t="s">
        <v>712</v>
      </c>
      <c r="G802" s="50" t="s">
        <v>256</v>
      </c>
      <c r="H802" s="50">
        <v>50</v>
      </c>
      <c r="M802" t="str">
        <f>IF(COUNTIF($A:$A,E802)=0,"Not Exists","Exists")</f>
        <v>Exists</v>
      </c>
      <c r="N802" t="str">
        <f t="shared" si="39"/>
        <v>Exists</v>
      </c>
      <c r="O802" t="str">
        <f t="shared" si="40"/>
        <v>Not Exists</v>
      </c>
      <c r="P802" t="str">
        <f t="shared" si="41"/>
        <v>Exists</v>
      </c>
    </row>
    <row r="803" spans="1:16">
      <c r="A803" s="50" t="s">
        <v>779</v>
      </c>
      <c r="B803" s="50" t="s">
        <v>781</v>
      </c>
      <c r="C803" s="50" t="s">
        <v>251</v>
      </c>
      <c r="D803" s="50">
        <v>17</v>
      </c>
      <c r="E803" s="50" t="s">
        <v>720</v>
      </c>
      <c r="F803" s="50" t="s">
        <v>701</v>
      </c>
      <c r="G803" s="50" t="s">
        <v>256</v>
      </c>
      <c r="H803" s="50">
        <v>450</v>
      </c>
      <c r="M803" t="str">
        <f>IF(COUNTIF($A:$A,E803)=0,"Not Exists","Exists")</f>
        <v>Exists</v>
      </c>
      <c r="N803" t="str">
        <f t="shared" si="39"/>
        <v>Exists</v>
      </c>
      <c r="O803" t="str">
        <f t="shared" si="40"/>
        <v>Not Exists</v>
      </c>
      <c r="P803" t="str">
        <f t="shared" si="41"/>
        <v>Exists</v>
      </c>
    </row>
    <row r="804" spans="1:16">
      <c r="A804" s="50" t="s">
        <v>779</v>
      </c>
      <c r="B804" s="50" t="s">
        <v>782</v>
      </c>
      <c r="C804" s="50" t="s">
        <v>254</v>
      </c>
      <c r="D804" s="50">
        <v>22</v>
      </c>
      <c r="E804" s="50" t="s">
        <v>720</v>
      </c>
      <c r="F804" s="50" t="s">
        <v>315</v>
      </c>
      <c r="G804" s="50" t="s">
        <v>256</v>
      </c>
      <c r="H804" s="50">
        <v>17</v>
      </c>
      <c r="M804" t="str">
        <f>IF(COUNTIF($A:$A,E804)=0,"Not Exists","Exists")</f>
        <v>Exists</v>
      </c>
      <c r="N804" t="str">
        <f t="shared" si="39"/>
        <v>Exists</v>
      </c>
      <c r="O804" t="str">
        <f t="shared" si="40"/>
        <v>Not Exists</v>
      </c>
      <c r="P804" t="str">
        <f t="shared" si="41"/>
        <v>Exists</v>
      </c>
    </row>
    <row r="805" spans="1:16">
      <c r="A805" s="50" t="s">
        <v>783</v>
      </c>
      <c r="B805" s="50" t="s">
        <v>780</v>
      </c>
      <c r="C805" s="50" t="s">
        <v>256</v>
      </c>
      <c r="D805" s="50">
        <v>50</v>
      </c>
      <c r="E805" s="50" t="s">
        <v>720</v>
      </c>
      <c r="F805" s="50" t="s">
        <v>317</v>
      </c>
      <c r="G805" s="50" t="s">
        <v>256</v>
      </c>
      <c r="H805" s="50">
        <v>17</v>
      </c>
      <c r="M805" t="str">
        <f>IF(COUNTIF($A:$A,E805)=0,"Not Exists","Exists")</f>
        <v>Exists</v>
      </c>
      <c r="N805" t="str">
        <f t="shared" ref="N805:N858" si="42">IF(COUNTIF($A:$B,F805)=0,"Not Exists","Exists")</f>
        <v>Exists</v>
      </c>
      <c r="O805" t="str">
        <f t="shared" si="40"/>
        <v>Exists</v>
      </c>
      <c r="P805" t="str">
        <f t="shared" si="41"/>
        <v>Exists</v>
      </c>
    </row>
    <row r="806" spans="1:16">
      <c r="A806" s="50" t="s">
        <v>783</v>
      </c>
      <c r="B806" s="50" t="s">
        <v>436</v>
      </c>
      <c r="C806" s="50" t="s">
        <v>256</v>
      </c>
      <c r="D806" s="50">
        <v>50</v>
      </c>
      <c r="E806" s="50" t="s">
        <v>720</v>
      </c>
      <c r="F806" s="50" t="s">
        <v>316</v>
      </c>
      <c r="G806" s="50" t="s">
        <v>256</v>
      </c>
      <c r="H806" s="50">
        <v>50</v>
      </c>
      <c r="M806" t="str">
        <f>IF(COUNTIF($A:$A,E806)=0,"Not Exists","Exists")</f>
        <v>Exists</v>
      </c>
      <c r="N806" t="str">
        <f t="shared" si="42"/>
        <v>Exists</v>
      </c>
      <c r="O806" t="str">
        <f t="shared" si="40"/>
        <v>Exists</v>
      </c>
      <c r="P806" t="str">
        <f t="shared" si="41"/>
        <v>Not Exists</v>
      </c>
    </row>
    <row r="807" spans="1:16">
      <c r="A807" s="50" t="s">
        <v>783</v>
      </c>
      <c r="B807" s="50" t="s">
        <v>317</v>
      </c>
      <c r="C807" s="50" t="s">
        <v>251</v>
      </c>
      <c r="D807" s="50">
        <v>17</v>
      </c>
      <c r="E807" s="50" t="s">
        <v>720</v>
      </c>
      <c r="F807" s="50" t="s">
        <v>318</v>
      </c>
      <c r="G807" s="50" t="s">
        <v>256</v>
      </c>
      <c r="H807" s="50">
        <v>50</v>
      </c>
      <c r="M807" t="str">
        <f>IF(COUNTIF($A:$A,E807)=0,"Not Exists","Exists")</f>
        <v>Exists</v>
      </c>
      <c r="N807" t="str">
        <f t="shared" si="42"/>
        <v>Exists</v>
      </c>
      <c r="O807" t="str">
        <f t="shared" si="40"/>
        <v>Exists</v>
      </c>
      <c r="P807" t="str">
        <f t="shared" si="41"/>
        <v>Exists</v>
      </c>
    </row>
    <row r="808" spans="1:16">
      <c r="A808" s="50" t="s">
        <v>783</v>
      </c>
      <c r="B808" s="50" t="s">
        <v>318</v>
      </c>
      <c r="C808" s="50" t="s">
        <v>256</v>
      </c>
      <c r="D808" s="50">
        <v>50</v>
      </c>
      <c r="E808" s="50" t="s">
        <v>753</v>
      </c>
      <c r="F808" s="50" t="s">
        <v>625</v>
      </c>
      <c r="G808" s="50" t="s">
        <v>256</v>
      </c>
      <c r="H808" s="50">
        <v>50</v>
      </c>
      <c r="M808" t="str">
        <f>IF(COUNTIF($A:$A,E808)=0,"Not Exists","Exists")</f>
        <v>Exists</v>
      </c>
      <c r="N808" t="str">
        <f t="shared" si="42"/>
        <v>Exists</v>
      </c>
      <c r="O808" t="str">
        <f t="shared" si="40"/>
        <v>Exists</v>
      </c>
      <c r="P808" t="str">
        <f t="shared" si="41"/>
        <v>Exists</v>
      </c>
    </row>
    <row r="809" spans="1:16">
      <c r="A809" s="50" t="s">
        <v>783</v>
      </c>
      <c r="B809" s="50" t="s">
        <v>315</v>
      </c>
      <c r="C809" s="50" t="s">
        <v>251</v>
      </c>
      <c r="D809" s="50">
        <v>17</v>
      </c>
      <c r="E809" s="50" t="s">
        <v>753</v>
      </c>
      <c r="F809" s="50" t="s">
        <v>638</v>
      </c>
      <c r="G809" s="50" t="s">
        <v>256</v>
      </c>
      <c r="H809" s="50">
        <v>8</v>
      </c>
      <c r="M809" t="str">
        <f>IF(COUNTIF($A:$A,E809)=0,"Not Exists","Exists")</f>
        <v>Exists</v>
      </c>
      <c r="N809" t="str">
        <f t="shared" si="42"/>
        <v>Exists</v>
      </c>
      <c r="O809" t="str">
        <f t="shared" si="40"/>
        <v>Exists</v>
      </c>
      <c r="P809" t="str">
        <f t="shared" si="41"/>
        <v>Exists</v>
      </c>
    </row>
    <row r="810" spans="1:16">
      <c r="A810" s="50" t="s">
        <v>783</v>
      </c>
      <c r="B810" s="50" t="s">
        <v>316</v>
      </c>
      <c r="C810" s="50" t="s">
        <v>256</v>
      </c>
      <c r="D810" s="50">
        <v>50</v>
      </c>
      <c r="E810" s="50" t="s">
        <v>753</v>
      </c>
      <c r="F810" s="50" t="s">
        <v>640</v>
      </c>
      <c r="G810" s="50" t="s">
        <v>256</v>
      </c>
      <c r="H810" s="50">
        <v>100</v>
      </c>
      <c r="M810" t="str">
        <f>IF(COUNTIF($A:$A,E810)=0,"Not Exists","Exists")</f>
        <v>Exists</v>
      </c>
      <c r="N810" t="str">
        <f t="shared" si="42"/>
        <v>Exists</v>
      </c>
      <c r="O810" t="str">
        <f t="shared" si="40"/>
        <v>Exists</v>
      </c>
      <c r="P810" t="str">
        <f t="shared" si="41"/>
        <v>Exists</v>
      </c>
    </row>
    <row r="811" spans="1:16">
      <c r="A811" s="50" t="s">
        <v>783</v>
      </c>
      <c r="B811" s="50" t="s">
        <v>784</v>
      </c>
      <c r="C811" s="50" t="s">
        <v>256</v>
      </c>
      <c r="D811" s="50">
        <v>450</v>
      </c>
      <c r="E811" s="50" t="s">
        <v>753</v>
      </c>
      <c r="F811" s="50" t="s">
        <v>642</v>
      </c>
      <c r="G811" s="50" t="s">
        <v>254</v>
      </c>
      <c r="H811" s="50">
        <v>22</v>
      </c>
      <c r="M811" t="str">
        <f>IF(COUNTIF($A:$A,E811)=0,"Not Exists","Exists")</f>
        <v>Exists</v>
      </c>
      <c r="N811" t="str">
        <f t="shared" si="42"/>
        <v>Exists</v>
      </c>
      <c r="O811" t="str">
        <f t="shared" si="40"/>
        <v>Exists</v>
      </c>
      <c r="P811" t="str">
        <f t="shared" si="41"/>
        <v>Exists</v>
      </c>
    </row>
    <row r="812" spans="1:16">
      <c r="A812" s="50" t="s">
        <v>783</v>
      </c>
      <c r="B812" s="50" t="s">
        <v>612</v>
      </c>
      <c r="C812" s="50" t="s">
        <v>256</v>
      </c>
      <c r="D812" s="50">
        <v>50</v>
      </c>
      <c r="E812" s="50" t="s">
        <v>753</v>
      </c>
      <c r="F812" s="50" t="s">
        <v>646</v>
      </c>
      <c r="G812" s="50" t="s">
        <v>254</v>
      </c>
      <c r="H812" s="50">
        <v>22</v>
      </c>
      <c r="M812" t="str">
        <f>IF(COUNTIF($A:$A,E812)=0,"Not Exists","Exists")</f>
        <v>Exists</v>
      </c>
      <c r="N812" t="str">
        <f t="shared" si="42"/>
        <v>Not Exists</v>
      </c>
      <c r="O812" t="str">
        <f t="shared" si="40"/>
        <v>Exists</v>
      </c>
      <c r="P812" t="str">
        <f t="shared" si="41"/>
        <v>Exists</v>
      </c>
    </row>
    <row r="813" spans="1:16">
      <c r="A813" s="50" t="s">
        <v>783</v>
      </c>
      <c r="B813" s="50" t="s">
        <v>478</v>
      </c>
      <c r="C813" s="50" t="s">
        <v>256</v>
      </c>
      <c r="D813" s="50">
        <v>50</v>
      </c>
      <c r="E813" s="50" t="s">
        <v>753</v>
      </c>
      <c r="F813" s="50" t="s">
        <v>424</v>
      </c>
      <c r="G813" s="50" t="s">
        <v>256</v>
      </c>
      <c r="H813" s="50">
        <v>100</v>
      </c>
      <c r="M813" t="str">
        <f>IF(COUNTIF($A:$A,E813)=0,"Not Exists","Exists")</f>
        <v>Exists</v>
      </c>
      <c r="N813" t="str">
        <f t="shared" si="42"/>
        <v>Exists</v>
      </c>
      <c r="O813" t="str">
        <f t="shared" si="40"/>
        <v>Exists</v>
      </c>
      <c r="P813" t="str">
        <f t="shared" si="41"/>
        <v>Exists</v>
      </c>
    </row>
    <row r="814" spans="1:16">
      <c r="A814" s="50" t="s">
        <v>783</v>
      </c>
      <c r="B814" s="50" t="s">
        <v>785</v>
      </c>
      <c r="C814" s="50" t="s">
        <v>254</v>
      </c>
      <c r="D814" s="50">
        <v>22</v>
      </c>
      <c r="E814" s="50" t="s">
        <v>753</v>
      </c>
      <c r="F814" s="50" t="s">
        <v>665</v>
      </c>
      <c r="G814" s="50" t="s">
        <v>256</v>
      </c>
      <c r="H814" s="50">
        <v>3</v>
      </c>
      <c r="M814" t="str">
        <f>IF(COUNTIF($A:$A,E814)=0,"Not Exists","Exists")</f>
        <v>Exists</v>
      </c>
      <c r="N814" t="str">
        <f t="shared" si="42"/>
        <v>Exists</v>
      </c>
      <c r="O814" t="str">
        <f t="shared" si="40"/>
        <v>Exists</v>
      </c>
      <c r="P814" t="str">
        <f t="shared" si="41"/>
        <v>Exists</v>
      </c>
    </row>
    <row r="815" spans="1:16">
      <c r="A815" s="50" t="s">
        <v>783</v>
      </c>
      <c r="B815" s="50" t="s">
        <v>786</v>
      </c>
      <c r="C815" s="50" t="s">
        <v>251</v>
      </c>
      <c r="D815" s="50">
        <v>1</v>
      </c>
      <c r="E815" s="50" t="s">
        <v>753</v>
      </c>
      <c r="F815" s="50" t="s">
        <v>757</v>
      </c>
      <c r="G815" s="50" t="s">
        <v>256</v>
      </c>
      <c r="H815" s="50">
        <v>2</v>
      </c>
      <c r="M815" t="str">
        <f>IF(COUNTIF($A:$A,E815)=0,"Not Exists","Exists")</f>
        <v>Exists</v>
      </c>
      <c r="N815" t="str">
        <f t="shared" si="42"/>
        <v>Exists</v>
      </c>
      <c r="O815" t="str">
        <f t="shared" si="40"/>
        <v>Exists</v>
      </c>
      <c r="P815" t="str">
        <f t="shared" si="41"/>
        <v>Exists</v>
      </c>
    </row>
    <row r="816" spans="1:16">
      <c r="A816" s="50" t="s">
        <v>783</v>
      </c>
      <c r="B816" s="50" t="s">
        <v>787</v>
      </c>
      <c r="C816" s="50" t="s">
        <v>256</v>
      </c>
      <c r="D816" s="50">
        <v>450</v>
      </c>
      <c r="E816" s="50" t="s">
        <v>753</v>
      </c>
      <c r="F816" s="50" t="s">
        <v>759</v>
      </c>
      <c r="G816" s="50" t="s">
        <v>256</v>
      </c>
      <c r="H816" s="50">
        <v>2</v>
      </c>
      <c r="M816" t="str">
        <f>IF(COUNTIF($A:$A,E816)=0,"Not Exists","Exists")</f>
        <v>Exists</v>
      </c>
      <c r="N816" t="str">
        <f t="shared" si="42"/>
        <v>Exists</v>
      </c>
      <c r="O816" t="str">
        <f t="shared" si="40"/>
        <v>Exists</v>
      </c>
      <c r="P816" t="str">
        <f t="shared" si="41"/>
        <v>Exists</v>
      </c>
    </row>
    <row r="817" spans="1:16">
      <c r="A817" s="50" t="s">
        <v>783</v>
      </c>
      <c r="B817" s="50" t="s">
        <v>788</v>
      </c>
      <c r="C817" s="50" t="s">
        <v>256</v>
      </c>
      <c r="D817" s="50">
        <v>450</v>
      </c>
      <c r="E817" s="50" t="s">
        <v>753</v>
      </c>
      <c r="F817" s="50" t="s">
        <v>761</v>
      </c>
      <c r="G817" s="50" t="s">
        <v>256</v>
      </c>
      <c r="H817" s="50">
        <v>4000</v>
      </c>
      <c r="M817" t="str">
        <f>IF(COUNTIF($A:$A,E817)=0,"Not Exists","Exists")</f>
        <v>Exists</v>
      </c>
      <c r="N817" t="str">
        <f t="shared" si="42"/>
        <v>Exists</v>
      </c>
      <c r="O817" t="str">
        <f t="shared" si="40"/>
        <v>Exists</v>
      </c>
      <c r="P817" t="str">
        <f t="shared" si="41"/>
        <v>Exists</v>
      </c>
    </row>
    <row r="818" spans="1:16">
      <c r="A818" s="50" t="s">
        <v>783</v>
      </c>
      <c r="B818" s="50" t="s">
        <v>789</v>
      </c>
      <c r="C818" s="50" t="s">
        <v>256</v>
      </c>
      <c r="D818" s="50">
        <v>450</v>
      </c>
      <c r="E818" s="50" t="s">
        <v>753</v>
      </c>
      <c r="F818" s="50" t="s">
        <v>724</v>
      </c>
      <c r="G818" s="50" t="s">
        <v>256</v>
      </c>
      <c r="H818" s="50">
        <v>17</v>
      </c>
      <c r="M818" t="str">
        <f>IF(COUNTIF($A:$A,E818)=0,"Not Exists","Exists")</f>
        <v>Exists</v>
      </c>
      <c r="N818" t="str">
        <f t="shared" si="42"/>
        <v>Exists</v>
      </c>
      <c r="O818" t="str">
        <f t="shared" si="40"/>
        <v>Exists</v>
      </c>
      <c r="P818" t="str">
        <f t="shared" si="41"/>
        <v>Exists</v>
      </c>
    </row>
    <row r="819" spans="1:16">
      <c r="A819" s="50" t="s">
        <v>783</v>
      </c>
      <c r="B819" s="50" t="s">
        <v>790</v>
      </c>
      <c r="C819" s="50" t="s">
        <v>256</v>
      </c>
      <c r="D819" s="50">
        <v>450</v>
      </c>
      <c r="E819" s="50" t="s">
        <v>753</v>
      </c>
      <c r="F819" s="50" t="s">
        <v>763</v>
      </c>
      <c r="G819" s="50" t="s">
        <v>256</v>
      </c>
      <c r="H819" s="50">
        <v>17</v>
      </c>
      <c r="M819" t="str">
        <f>IF(COUNTIF($A:$A,E819)=0,"Not Exists","Exists")</f>
        <v>Exists</v>
      </c>
      <c r="N819" t="str">
        <f t="shared" si="42"/>
        <v>Exists</v>
      </c>
      <c r="O819" t="str">
        <f t="shared" si="40"/>
        <v>Exists</v>
      </c>
      <c r="P819" t="str">
        <f t="shared" si="41"/>
        <v>Exists</v>
      </c>
    </row>
    <row r="820" spans="1:16">
      <c r="A820" s="50" t="s">
        <v>783</v>
      </c>
      <c r="B820" s="50" t="s">
        <v>791</v>
      </c>
      <c r="C820" s="50" t="s">
        <v>256</v>
      </c>
      <c r="D820" s="50">
        <v>450</v>
      </c>
      <c r="E820" s="50" t="s">
        <v>753</v>
      </c>
      <c r="F820" s="50" t="s">
        <v>726</v>
      </c>
      <c r="G820" s="50" t="s">
        <v>256</v>
      </c>
      <c r="H820" s="50">
        <v>17</v>
      </c>
      <c r="M820" t="str">
        <f>IF(COUNTIF($A:$A,E820)=0,"Not Exists","Exists")</f>
        <v>Exists</v>
      </c>
      <c r="N820" t="str">
        <f t="shared" si="42"/>
        <v>Exists</v>
      </c>
      <c r="O820" t="str">
        <f t="shared" si="40"/>
        <v>Exists</v>
      </c>
      <c r="P820" t="str">
        <f t="shared" si="41"/>
        <v>Exists</v>
      </c>
    </row>
    <row r="821" spans="1:16">
      <c r="A821" s="50" t="s">
        <v>783</v>
      </c>
      <c r="B821" s="50" t="s">
        <v>792</v>
      </c>
      <c r="C821" s="50" t="s">
        <v>256</v>
      </c>
      <c r="D821" s="50">
        <v>450</v>
      </c>
      <c r="E821" s="50" t="s">
        <v>753</v>
      </c>
      <c r="F821" s="50" t="s">
        <v>765</v>
      </c>
      <c r="G821" s="50" t="s">
        <v>256</v>
      </c>
      <c r="H821" s="50">
        <v>17</v>
      </c>
      <c r="M821" t="str">
        <f>IF(COUNTIF($A:$A,E821)=0,"Not Exists","Exists")</f>
        <v>Exists</v>
      </c>
      <c r="N821" t="str">
        <f t="shared" si="42"/>
        <v>Exists</v>
      </c>
      <c r="O821" t="str">
        <f t="shared" si="40"/>
        <v>Exists</v>
      </c>
      <c r="P821" t="str">
        <f t="shared" si="41"/>
        <v>Exists</v>
      </c>
    </row>
    <row r="822" spans="1:16">
      <c r="A822" s="50" t="s">
        <v>793</v>
      </c>
      <c r="B822" s="50" t="s">
        <v>794</v>
      </c>
      <c r="C822" s="50" t="s">
        <v>256</v>
      </c>
      <c r="D822" s="50">
        <v>50</v>
      </c>
      <c r="E822" s="50" t="s">
        <v>753</v>
      </c>
      <c r="F822" s="50" t="s">
        <v>766</v>
      </c>
      <c r="G822" s="50" t="s">
        <v>256</v>
      </c>
      <c r="H822" s="50">
        <v>17</v>
      </c>
      <c r="M822" t="str">
        <f>IF(COUNTIF($A:$A,E822)=0,"Not Exists","Exists")</f>
        <v>Exists</v>
      </c>
      <c r="N822" t="str">
        <f t="shared" si="42"/>
        <v>Exists</v>
      </c>
      <c r="O822" t="str">
        <f t="shared" si="40"/>
        <v>Exists</v>
      </c>
      <c r="P822" t="str">
        <f t="shared" si="41"/>
        <v>Exists</v>
      </c>
    </row>
    <row r="823" spans="1:16">
      <c r="A823" s="50" t="s">
        <v>793</v>
      </c>
      <c r="B823" s="50" t="s">
        <v>795</v>
      </c>
      <c r="C823" s="50" t="s">
        <v>254</v>
      </c>
      <c r="D823" s="50">
        <v>22</v>
      </c>
      <c r="E823" s="50" t="s">
        <v>753</v>
      </c>
      <c r="F823" s="50" t="s">
        <v>767</v>
      </c>
      <c r="G823" s="50" t="s">
        <v>254</v>
      </c>
      <c r="H823" s="50">
        <v>22</v>
      </c>
      <c r="M823" t="str">
        <f>IF(COUNTIF($A:$A,E823)=0,"Not Exists","Exists")</f>
        <v>Exists</v>
      </c>
      <c r="N823" t="str">
        <f t="shared" si="42"/>
        <v>Exists</v>
      </c>
      <c r="O823" t="str">
        <f t="shared" si="40"/>
        <v>Exists</v>
      </c>
      <c r="P823" t="str">
        <f t="shared" si="41"/>
        <v>Not Exists</v>
      </c>
    </row>
    <row r="824" spans="1:16">
      <c r="A824" s="50" t="s">
        <v>793</v>
      </c>
      <c r="B824" s="50" t="s">
        <v>796</v>
      </c>
      <c r="C824" s="50" t="s">
        <v>254</v>
      </c>
      <c r="D824" s="50">
        <v>22</v>
      </c>
      <c r="E824" s="50" t="s">
        <v>753</v>
      </c>
      <c r="F824" s="50" t="s">
        <v>768</v>
      </c>
      <c r="G824" s="50" t="s">
        <v>254</v>
      </c>
      <c r="H824" s="50">
        <v>22</v>
      </c>
      <c r="M824" t="str">
        <f>IF(COUNTIF($A:$A,E824)=0,"Not Exists","Exists")</f>
        <v>Exists</v>
      </c>
      <c r="N824" t="str">
        <f t="shared" si="42"/>
        <v>Exists</v>
      </c>
      <c r="O824" t="str">
        <f t="shared" si="40"/>
        <v>Exists</v>
      </c>
      <c r="P824" t="str">
        <f t="shared" si="41"/>
        <v>Exists</v>
      </c>
    </row>
    <row r="825" spans="1:16">
      <c r="A825" s="50" t="s">
        <v>793</v>
      </c>
      <c r="B825" s="50" t="s">
        <v>797</v>
      </c>
      <c r="C825" s="50" t="s">
        <v>254</v>
      </c>
      <c r="D825" s="50">
        <v>22</v>
      </c>
      <c r="E825" s="50" t="s">
        <v>753</v>
      </c>
      <c r="F825" s="50" t="s">
        <v>769</v>
      </c>
      <c r="G825" s="50" t="s">
        <v>254</v>
      </c>
      <c r="H825" s="50">
        <v>22</v>
      </c>
      <c r="M825" t="str">
        <f>IF(COUNTIF($A:$A,E825)=0,"Not Exists","Exists")</f>
        <v>Exists</v>
      </c>
      <c r="N825" t="str">
        <f t="shared" si="42"/>
        <v>Exists</v>
      </c>
      <c r="O825" t="str">
        <f t="shared" si="40"/>
        <v>Exists</v>
      </c>
      <c r="P825" t="str">
        <f t="shared" si="41"/>
        <v>Exists</v>
      </c>
    </row>
    <row r="826" spans="1:16">
      <c r="A826" s="50" t="s">
        <v>793</v>
      </c>
      <c r="B826" s="50" t="s">
        <v>798</v>
      </c>
      <c r="C826" s="50" t="s">
        <v>251</v>
      </c>
      <c r="D826" s="50">
        <v>1</v>
      </c>
      <c r="E826" s="50" t="s">
        <v>753</v>
      </c>
      <c r="F826" s="50" t="s">
        <v>771</v>
      </c>
      <c r="G826" s="50" t="s">
        <v>254</v>
      </c>
      <c r="H826" s="50">
        <v>22</v>
      </c>
      <c r="M826" t="str">
        <f>IF(COUNTIF($A:$A,E826)=0,"Not Exists","Exists")</f>
        <v>Exists</v>
      </c>
      <c r="N826" t="str">
        <f t="shared" si="42"/>
        <v>Exists</v>
      </c>
      <c r="O826" t="str">
        <f t="shared" si="40"/>
        <v>Exists</v>
      </c>
      <c r="P826" t="str">
        <f t="shared" si="41"/>
        <v>Exists</v>
      </c>
    </row>
    <row r="827" spans="1:16">
      <c r="A827" s="50" t="s">
        <v>793</v>
      </c>
      <c r="B827" s="50" t="s">
        <v>799</v>
      </c>
      <c r="C827" s="50" t="s">
        <v>256</v>
      </c>
      <c r="D827" s="50">
        <v>50</v>
      </c>
      <c r="E827" s="50" t="s">
        <v>753</v>
      </c>
      <c r="F827" s="50" t="s">
        <v>773</v>
      </c>
      <c r="G827" s="50" t="s">
        <v>256</v>
      </c>
      <c r="H827" s="50">
        <v>17</v>
      </c>
      <c r="M827" t="str">
        <f>IF(COUNTIF($A:$A,E827)=0,"Not Exists","Exists")</f>
        <v>Exists</v>
      </c>
      <c r="N827" t="str">
        <f t="shared" si="42"/>
        <v>Exists</v>
      </c>
      <c r="O827" t="str">
        <f t="shared" si="40"/>
        <v>Exists</v>
      </c>
      <c r="P827" t="str">
        <f t="shared" si="41"/>
        <v>Not Exists</v>
      </c>
    </row>
    <row r="828" spans="1:16">
      <c r="A828" s="50" t="s">
        <v>793</v>
      </c>
      <c r="B828" s="50" t="s">
        <v>800</v>
      </c>
      <c r="C828" s="50" t="s">
        <v>251</v>
      </c>
      <c r="D828" s="50">
        <v>17</v>
      </c>
      <c r="E828" s="50" t="s">
        <v>753</v>
      </c>
      <c r="F828" s="50" t="s">
        <v>729</v>
      </c>
      <c r="G828" s="50" t="s">
        <v>254</v>
      </c>
      <c r="H828" s="50">
        <v>22</v>
      </c>
      <c r="M828" t="str">
        <f>IF(COUNTIF($A:$A,E828)=0,"Not Exists","Exists")</f>
        <v>Exists</v>
      </c>
      <c r="N828" t="str">
        <f t="shared" si="42"/>
        <v>Exists</v>
      </c>
      <c r="O828" t="str">
        <f t="shared" si="40"/>
        <v>Exists</v>
      </c>
      <c r="P828" t="str">
        <f t="shared" si="41"/>
        <v>Exists</v>
      </c>
    </row>
    <row r="829" spans="1:16">
      <c r="A829" s="50" t="s">
        <v>793</v>
      </c>
      <c r="B829" s="50" t="s">
        <v>801</v>
      </c>
      <c r="C829" s="50" t="s">
        <v>251</v>
      </c>
      <c r="D829" s="50">
        <v>17</v>
      </c>
      <c r="E829" s="50" t="s">
        <v>753</v>
      </c>
      <c r="F829" s="50" t="s">
        <v>730</v>
      </c>
      <c r="G829" s="50" t="s">
        <v>254</v>
      </c>
      <c r="H829" s="50">
        <v>22</v>
      </c>
      <c r="M829" t="str">
        <f>IF(COUNTIF($A:$A,E829)=0,"Not Exists","Exists")</f>
        <v>Exists</v>
      </c>
      <c r="N829" t="str">
        <f t="shared" si="42"/>
        <v>Exists</v>
      </c>
      <c r="O829" t="str">
        <f t="shared" si="40"/>
        <v>Exists</v>
      </c>
      <c r="P829" t="str">
        <f t="shared" si="41"/>
        <v>Exists</v>
      </c>
    </row>
    <row r="830" spans="1:16">
      <c r="A830" s="50" t="s">
        <v>793</v>
      </c>
      <c r="B830" s="50" t="s">
        <v>802</v>
      </c>
      <c r="C830" s="50" t="s">
        <v>256</v>
      </c>
      <c r="D830" s="50">
        <v>450</v>
      </c>
      <c r="E830" s="50" t="s">
        <v>753</v>
      </c>
      <c r="F830" s="50" t="s">
        <v>731</v>
      </c>
      <c r="G830" s="50" t="s">
        <v>254</v>
      </c>
      <c r="H830" s="50">
        <v>22</v>
      </c>
      <c r="M830" t="str">
        <f>IF(COUNTIF($A:$A,E830)=0,"Not Exists","Exists")</f>
        <v>Exists</v>
      </c>
      <c r="N830" t="str">
        <f t="shared" si="42"/>
        <v>Exists</v>
      </c>
      <c r="O830" t="str">
        <f t="shared" si="40"/>
        <v>Exists</v>
      </c>
      <c r="P830" t="str">
        <f t="shared" si="41"/>
        <v>Not Exists</v>
      </c>
    </row>
    <row r="831" spans="1:16">
      <c r="A831" s="50" t="s">
        <v>793</v>
      </c>
      <c r="B831" s="50" t="s">
        <v>803</v>
      </c>
      <c r="C831" s="50" t="s">
        <v>256</v>
      </c>
      <c r="D831" s="50">
        <v>50</v>
      </c>
      <c r="E831" s="50" t="s">
        <v>753</v>
      </c>
      <c r="F831" s="50" t="s">
        <v>774</v>
      </c>
      <c r="G831" s="50" t="s">
        <v>254</v>
      </c>
      <c r="H831" s="50">
        <v>22</v>
      </c>
      <c r="M831" t="str">
        <f>IF(COUNTIF($A:$A,E831)=0,"Not Exists","Exists")</f>
        <v>Exists</v>
      </c>
      <c r="N831" t="str">
        <f t="shared" si="42"/>
        <v>Exists</v>
      </c>
      <c r="O831" t="str">
        <f t="shared" si="40"/>
        <v>Exists</v>
      </c>
      <c r="P831" t="str">
        <f t="shared" si="41"/>
        <v>Not Exists</v>
      </c>
    </row>
    <row r="832" spans="1:16">
      <c r="A832" s="50" t="s">
        <v>793</v>
      </c>
      <c r="B832" s="50" t="s">
        <v>804</v>
      </c>
      <c r="C832" s="50" t="s">
        <v>254</v>
      </c>
      <c r="D832" s="50">
        <v>22</v>
      </c>
      <c r="E832" s="50" t="s">
        <v>753</v>
      </c>
      <c r="F832" s="50" t="s">
        <v>775</v>
      </c>
      <c r="G832" s="50" t="s">
        <v>254</v>
      </c>
      <c r="H832" s="50">
        <v>22</v>
      </c>
      <c r="M832" t="str">
        <f>IF(COUNTIF($A:$A,E832)=0,"Not Exists","Exists")</f>
        <v>Exists</v>
      </c>
      <c r="N832" t="str">
        <f t="shared" si="42"/>
        <v>Exists</v>
      </c>
      <c r="O832" t="str">
        <f t="shared" si="40"/>
        <v>Exists</v>
      </c>
      <c r="P832" t="str">
        <f t="shared" si="41"/>
        <v>Not Exists</v>
      </c>
    </row>
    <row r="833" spans="1:16">
      <c r="A833" s="50" t="s">
        <v>793</v>
      </c>
      <c r="B833" s="50" t="s">
        <v>805</v>
      </c>
      <c r="C833" s="50" t="s">
        <v>256</v>
      </c>
      <c r="D833" s="50">
        <v>50</v>
      </c>
      <c r="E833" s="50" t="s">
        <v>753</v>
      </c>
      <c r="F833" s="50" t="s">
        <v>776</v>
      </c>
      <c r="G833" s="50" t="s">
        <v>256</v>
      </c>
      <c r="H833" s="50">
        <v>17</v>
      </c>
      <c r="M833" t="str">
        <f>IF(COUNTIF($A:$A,E833)=0,"Not Exists","Exists")</f>
        <v>Exists</v>
      </c>
      <c r="N833" t="str">
        <f t="shared" si="42"/>
        <v>Exists</v>
      </c>
      <c r="O833" t="str">
        <f t="shared" si="40"/>
        <v>Exists</v>
      </c>
      <c r="P833" t="str">
        <f t="shared" si="41"/>
        <v>Not Exists</v>
      </c>
    </row>
    <row r="834" spans="1:16">
      <c r="A834" s="50" t="s">
        <v>793</v>
      </c>
      <c r="B834" s="50" t="s">
        <v>806</v>
      </c>
      <c r="C834" s="50" t="s">
        <v>254</v>
      </c>
      <c r="D834" s="50">
        <v>22</v>
      </c>
      <c r="E834" s="50" t="s">
        <v>753</v>
      </c>
      <c r="F834" s="50" t="s">
        <v>777</v>
      </c>
      <c r="G834" s="50" t="s">
        <v>256</v>
      </c>
      <c r="H834" s="50">
        <v>3000</v>
      </c>
      <c r="M834" t="str">
        <f>IF(COUNTIF($A:$A,E834)=0,"Not Exists","Exists")</f>
        <v>Exists</v>
      </c>
      <c r="N834" t="str">
        <f t="shared" si="42"/>
        <v>Exists</v>
      </c>
      <c r="O834" t="str">
        <f t="shared" si="40"/>
        <v>Exists</v>
      </c>
      <c r="P834" t="str">
        <f t="shared" si="41"/>
        <v>Not Exists</v>
      </c>
    </row>
    <row r="835" spans="1:16">
      <c r="A835" s="50" t="s">
        <v>793</v>
      </c>
      <c r="B835" s="50" t="s">
        <v>781</v>
      </c>
      <c r="C835" s="50" t="s">
        <v>251</v>
      </c>
      <c r="D835" s="50">
        <v>17</v>
      </c>
      <c r="E835" s="50" t="s">
        <v>753</v>
      </c>
      <c r="F835" s="50" t="s">
        <v>667</v>
      </c>
      <c r="G835" s="50" t="s">
        <v>254</v>
      </c>
      <c r="H835" s="50">
        <v>22</v>
      </c>
      <c r="M835" t="str">
        <f>IF(COUNTIF($A:$A,E835)=0,"Not Exists","Exists")</f>
        <v>Exists</v>
      </c>
      <c r="N835" t="str">
        <f t="shared" si="42"/>
        <v>Not Exists</v>
      </c>
      <c r="O835" t="str">
        <f t="shared" si="40"/>
        <v>Exists</v>
      </c>
      <c r="P835" t="str">
        <f t="shared" si="41"/>
        <v>Exists</v>
      </c>
    </row>
    <row r="836" spans="1:16">
      <c r="A836" s="50" t="s">
        <v>793</v>
      </c>
      <c r="B836" s="50" t="s">
        <v>807</v>
      </c>
      <c r="C836" s="50" t="s">
        <v>254</v>
      </c>
      <c r="D836" s="50">
        <v>22</v>
      </c>
      <c r="E836" s="50" t="s">
        <v>753</v>
      </c>
      <c r="F836" s="50" t="s">
        <v>706</v>
      </c>
      <c r="G836" s="50" t="s">
        <v>254</v>
      </c>
      <c r="H836" s="50">
        <v>22</v>
      </c>
      <c r="M836" t="str">
        <f>IF(COUNTIF($A:$A,E836)=0,"Not Exists","Exists")</f>
        <v>Exists</v>
      </c>
      <c r="N836" t="str">
        <f t="shared" si="42"/>
        <v>Not Exists</v>
      </c>
      <c r="O836" t="str">
        <f t="shared" ref="O836:O899" si="43">IF(COUNTIF($E:$E,A836)=0,"Not Exists","Exists")</f>
        <v>Exists</v>
      </c>
      <c r="P836" t="str">
        <f t="shared" ref="P836:P899" si="44">IF(COUNTIF($F:$F,B836)=0,"Not Exists","Exists")</f>
        <v>Not Exists</v>
      </c>
    </row>
    <row r="837" spans="1:16">
      <c r="A837" s="50" t="s">
        <v>793</v>
      </c>
      <c r="B837" s="50" t="s">
        <v>808</v>
      </c>
      <c r="C837" s="50" t="s">
        <v>254</v>
      </c>
      <c r="D837" s="50">
        <v>22</v>
      </c>
      <c r="E837" s="50" t="s">
        <v>753</v>
      </c>
      <c r="F837" s="50" t="s">
        <v>708</v>
      </c>
      <c r="G837" s="50" t="s">
        <v>254</v>
      </c>
      <c r="H837" s="50">
        <v>22</v>
      </c>
      <c r="M837" t="str">
        <f>IF(COUNTIF($A:$A,E837)=0,"Not Exists","Exists")</f>
        <v>Exists</v>
      </c>
      <c r="N837" t="str">
        <f t="shared" si="42"/>
        <v>Not Exists</v>
      </c>
      <c r="O837" t="str">
        <f t="shared" si="43"/>
        <v>Exists</v>
      </c>
      <c r="P837" t="str">
        <f t="shared" si="44"/>
        <v>Not Exists</v>
      </c>
    </row>
    <row r="838" spans="1:16">
      <c r="A838" s="50" t="s">
        <v>809</v>
      </c>
      <c r="B838" s="50" t="s">
        <v>612</v>
      </c>
      <c r="C838" s="50" t="s">
        <v>256</v>
      </c>
      <c r="D838" s="50">
        <v>50</v>
      </c>
      <c r="E838" s="50" t="s">
        <v>753</v>
      </c>
      <c r="F838" s="50" t="s">
        <v>710</v>
      </c>
      <c r="G838" s="50" t="s">
        <v>254</v>
      </c>
      <c r="H838" s="50">
        <v>22</v>
      </c>
      <c r="M838" t="str">
        <f>IF(COUNTIF($A:$A,E838)=0,"Not Exists","Exists")</f>
        <v>Exists</v>
      </c>
      <c r="N838" t="str">
        <f t="shared" si="42"/>
        <v>Not Exists</v>
      </c>
      <c r="O838" t="str">
        <f t="shared" si="43"/>
        <v>Not Exists</v>
      </c>
      <c r="P838" t="str">
        <f t="shared" si="44"/>
        <v>Exists</v>
      </c>
    </row>
    <row r="839" spans="1:16">
      <c r="A839" s="50" t="s">
        <v>809</v>
      </c>
      <c r="B839" s="50" t="s">
        <v>810</v>
      </c>
      <c r="C839" s="50" t="s">
        <v>256</v>
      </c>
      <c r="D839" s="50">
        <v>450</v>
      </c>
      <c r="E839" s="50" t="s">
        <v>753</v>
      </c>
      <c r="F839" s="50" t="s">
        <v>712</v>
      </c>
      <c r="G839" s="50" t="s">
        <v>256</v>
      </c>
      <c r="H839" s="50">
        <v>50</v>
      </c>
      <c r="M839" t="str">
        <f>IF(COUNTIF($A:$A,E839)=0,"Not Exists","Exists")</f>
        <v>Exists</v>
      </c>
      <c r="N839" t="str">
        <f t="shared" si="42"/>
        <v>Exists</v>
      </c>
      <c r="O839" t="str">
        <f t="shared" si="43"/>
        <v>Not Exists</v>
      </c>
      <c r="P839" t="str">
        <f t="shared" si="44"/>
        <v>Not Exists</v>
      </c>
    </row>
    <row r="840" spans="1:16">
      <c r="A840" s="50" t="s">
        <v>809</v>
      </c>
      <c r="B840" s="50" t="s">
        <v>736</v>
      </c>
      <c r="C840" s="50" t="s">
        <v>254</v>
      </c>
      <c r="D840" s="50">
        <v>22</v>
      </c>
      <c r="E840" s="50" t="s">
        <v>753</v>
      </c>
      <c r="F840" s="50" t="s">
        <v>701</v>
      </c>
      <c r="G840" s="50" t="s">
        <v>256</v>
      </c>
      <c r="H840" s="50">
        <v>50</v>
      </c>
      <c r="M840" t="str">
        <f>IF(COUNTIF($A:$A,E840)=0,"Not Exists","Exists")</f>
        <v>Exists</v>
      </c>
      <c r="N840" t="str">
        <f t="shared" si="42"/>
        <v>Exists</v>
      </c>
      <c r="O840" t="str">
        <f t="shared" si="43"/>
        <v>Not Exists</v>
      </c>
      <c r="P840" t="str">
        <f t="shared" si="44"/>
        <v>Not Exists</v>
      </c>
    </row>
    <row r="841" spans="1:16">
      <c r="A841" s="50" t="s">
        <v>809</v>
      </c>
      <c r="B841" s="50" t="s">
        <v>811</v>
      </c>
      <c r="C841" s="50" t="s">
        <v>254</v>
      </c>
      <c r="D841" s="50">
        <v>22</v>
      </c>
      <c r="E841" s="50" t="s">
        <v>753</v>
      </c>
      <c r="F841" s="50" t="s">
        <v>704</v>
      </c>
      <c r="G841" s="50" t="s">
        <v>256</v>
      </c>
      <c r="H841" s="50">
        <v>50</v>
      </c>
      <c r="M841" t="str">
        <f>IF(COUNTIF($A:$A,E841)=0,"Not Exists","Exists")</f>
        <v>Exists</v>
      </c>
      <c r="N841" t="str">
        <f t="shared" si="42"/>
        <v>Not Exists</v>
      </c>
      <c r="O841" t="str">
        <f t="shared" si="43"/>
        <v>Not Exists</v>
      </c>
      <c r="P841" t="str">
        <f t="shared" si="44"/>
        <v>Not Exists</v>
      </c>
    </row>
    <row r="842" spans="1:16">
      <c r="A842" s="50" t="s">
        <v>809</v>
      </c>
      <c r="B842" s="50" t="s">
        <v>672</v>
      </c>
      <c r="C842" s="50" t="s">
        <v>256</v>
      </c>
      <c r="D842" s="50">
        <v>450</v>
      </c>
      <c r="E842" s="50" t="s">
        <v>753</v>
      </c>
      <c r="F842" s="50" t="s">
        <v>675</v>
      </c>
      <c r="G842" s="50" t="s">
        <v>256</v>
      </c>
      <c r="H842" s="50">
        <v>450</v>
      </c>
      <c r="M842" t="str">
        <f>IF(COUNTIF($A:$A,E842)=0,"Not Exists","Exists")</f>
        <v>Exists</v>
      </c>
      <c r="N842" t="str">
        <f t="shared" si="42"/>
        <v>Exists</v>
      </c>
      <c r="O842" t="str">
        <f t="shared" si="43"/>
        <v>Not Exists</v>
      </c>
      <c r="P842" t="str">
        <f t="shared" si="44"/>
        <v>Exists</v>
      </c>
    </row>
    <row r="843" spans="1:16">
      <c r="A843" s="50" t="s">
        <v>809</v>
      </c>
      <c r="B843" s="50" t="s">
        <v>676</v>
      </c>
      <c r="C843" s="50" t="s">
        <v>251</v>
      </c>
      <c r="D843" s="50">
        <v>1</v>
      </c>
      <c r="E843" s="50" t="s">
        <v>753</v>
      </c>
      <c r="F843" s="50" t="s">
        <v>315</v>
      </c>
      <c r="G843" s="50" t="s">
        <v>256</v>
      </c>
      <c r="H843" s="50">
        <v>17</v>
      </c>
      <c r="M843" t="str">
        <f>IF(COUNTIF($A:$A,E843)=0,"Not Exists","Exists")</f>
        <v>Exists</v>
      </c>
      <c r="N843" t="str">
        <f t="shared" si="42"/>
        <v>Exists</v>
      </c>
      <c r="O843" t="str">
        <f t="shared" si="43"/>
        <v>Not Exists</v>
      </c>
      <c r="P843" t="str">
        <f t="shared" si="44"/>
        <v>Exists</v>
      </c>
    </row>
    <row r="844" spans="1:16">
      <c r="A844" s="50" t="s">
        <v>809</v>
      </c>
      <c r="B844" s="50" t="s">
        <v>682</v>
      </c>
      <c r="C844" s="50" t="s">
        <v>254</v>
      </c>
      <c r="D844" s="50">
        <v>22</v>
      </c>
      <c r="E844" s="50" t="s">
        <v>753</v>
      </c>
      <c r="F844" s="50" t="s">
        <v>317</v>
      </c>
      <c r="G844" s="50" t="s">
        <v>256</v>
      </c>
      <c r="H844" s="50">
        <v>17</v>
      </c>
      <c r="M844" t="str">
        <f>IF(COUNTIF($A:$A,E844)=0,"Not Exists","Exists")</f>
        <v>Exists</v>
      </c>
      <c r="N844" t="str">
        <f t="shared" si="42"/>
        <v>Exists</v>
      </c>
      <c r="O844" t="str">
        <f t="shared" si="43"/>
        <v>Not Exists</v>
      </c>
      <c r="P844" t="str">
        <f t="shared" si="44"/>
        <v>Exists</v>
      </c>
    </row>
    <row r="845" spans="1:16">
      <c r="A845" s="50" t="s">
        <v>809</v>
      </c>
      <c r="B845" s="50" t="s">
        <v>683</v>
      </c>
      <c r="C845" s="50" t="s">
        <v>251</v>
      </c>
      <c r="D845" s="50">
        <v>1</v>
      </c>
      <c r="E845" s="50" t="s">
        <v>753</v>
      </c>
      <c r="F845" s="50" t="s">
        <v>316</v>
      </c>
      <c r="G845" s="50" t="s">
        <v>256</v>
      </c>
      <c r="H845" s="50">
        <v>50</v>
      </c>
      <c r="M845" t="str">
        <f>IF(COUNTIF($A:$A,E845)=0,"Not Exists","Exists")</f>
        <v>Exists</v>
      </c>
      <c r="N845" t="str">
        <f t="shared" si="42"/>
        <v>Exists</v>
      </c>
      <c r="O845" t="str">
        <f t="shared" si="43"/>
        <v>Not Exists</v>
      </c>
      <c r="P845" t="str">
        <f t="shared" si="44"/>
        <v>Exists</v>
      </c>
    </row>
    <row r="846" spans="1:16">
      <c r="A846" s="50" t="s">
        <v>809</v>
      </c>
      <c r="B846" s="50" t="s">
        <v>812</v>
      </c>
      <c r="C846" s="50" t="s">
        <v>251</v>
      </c>
      <c r="D846" s="50">
        <v>1</v>
      </c>
      <c r="E846" s="50" t="s">
        <v>753</v>
      </c>
      <c r="F846" s="50" t="s">
        <v>318</v>
      </c>
      <c r="G846" s="50" t="s">
        <v>256</v>
      </c>
      <c r="H846" s="50">
        <v>50</v>
      </c>
      <c r="M846" t="str">
        <f>IF(COUNTIF($A:$A,E846)=0,"Not Exists","Exists")</f>
        <v>Exists</v>
      </c>
      <c r="N846" t="str">
        <f t="shared" si="42"/>
        <v>Exists</v>
      </c>
      <c r="O846" t="str">
        <f t="shared" si="43"/>
        <v>Not Exists</v>
      </c>
      <c r="P846" t="str">
        <f t="shared" si="44"/>
        <v>Exists</v>
      </c>
    </row>
    <row r="847" spans="1:16">
      <c r="A847" s="50" t="s">
        <v>809</v>
      </c>
      <c r="B847" s="50" t="s">
        <v>558</v>
      </c>
      <c r="C847" s="50" t="s">
        <v>256</v>
      </c>
      <c r="D847" s="50">
        <v>450</v>
      </c>
      <c r="E847" s="50" t="s">
        <v>778</v>
      </c>
      <c r="F847" s="50" t="s">
        <v>430</v>
      </c>
      <c r="G847" s="50" t="s">
        <v>256</v>
      </c>
      <c r="H847" s="50">
        <v>50</v>
      </c>
      <c r="M847" t="str">
        <f>IF(COUNTIF($A:$A,E847)=0,"Not Exists","Exists")</f>
        <v>Exists</v>
      </c>
      <c r="N847" t="str">
        <f t="shared" si="42"/>
        <v>Exists</v>
      </c>
      <c r="O847" t="str">
        <f t="shared" si="43"/>
        <v>Not Exists</v>
      </c>
      <c r="P847" t="str">
        <f t="shared" si="44"/>
        <v>Exists</v>
      </c>
    </row>
    <row r="848" spans="1:16">
      <c r="A848" s="50" t="s">
        <v>809</v>
      </c>
      <c r="B848" s="50" t="s">
        <v>813</v>
      </c>
      <c r="C848" s="50" t="s">
        <v>256</v>
      </c>
      <c r="D848" s="50">
        <v>50</v>
      </c>
      <c r="E848" s="50" t="s">
        <v>778</v>
      </c>
      <c r="F848" s="50" t="s">
        <v>431</v>
      </c>
      <c r="G848" s="50" t="s">
        <v>256</v>
      </c>
      <c r="H848" s="50">
        <v>50</v>
      </c>
      <c r="M848" t="str">
        <f>IF(COUNTIF($A:$A,E848)=0,"Not Exists","Exists")</f>
        <v>Exists</v>
      </c>
      <c r="N848" t="str">
        <f t="shared" si="42"/>
        <v>Exists</v>
      </c>
      <c r="O848" t="str">
        <f t="shared" si="43"/>
        <v>Not Exists</v>
      </c>
      <c r="P848" t="str">
        <f t="shared" si="44"/>
        <v>Exists</v>
      </c>
    </row>
    <row r="849" spans="1:16">
      <c r="A849" s="50" t="s">
        <v>809</v>
      </c>
      <c r="B849" s="50" t="s">
        <v>814</v>
      </c>
      <c r="C849" s="50" t="s">
        <v>251</v>
      </c>
      <c r="D849" s="50">
        <v>17</v>
      </c>
      <c r="E849" s="50" t="s">
        <v>778</v>
      </c>
      <c r="F849" s="50" t="s">
        <v>432</v>
      </c>
      <c r="G849" s="50" t="s">
        <v>256</v>
      </c>
      <c r="H849" s="50">
        <v>50</v>
      </c>
      <c r="M849" t="str">
        <f>IF(COUNTIF($A:$A,E849)=0,"Not Exists","Exists")</f>
        <v>Exists</v>
      </c>
      <c r="N849" t="str">
        <f t="shared" si="42"/>
        <v>Exists</v>
      </c>
      <c r="O849" t="str">
        <f t="shared" si="43"/>
        <v>Not Exists</v>
      </c>
      <c r="P849" t="str">
        <f t="shared" si="44"/>
        <v>Exists</v>
      </c>
    </row>
    <row r="850" spans="1:16">
      <c r="A850" s="50" t="s">
        <v>809</v>
      </c>
      <c r="B850" s="50" t="s">
        <v>674</v>
      </c>
      <c r="C850" s="50" t="s">
        <v>254</v>
      </c>
      <c r="D850" s="50">
        <v>22</v>
      </c>
      <c r="E850" s="50" t="s">
        <v>778</v>
      </c>
      <c r="F850" s="50" t="s">
        <v>616</v>
      </c>
      <c r="G850" s="50" t="s">
        <v>256</v>
      </c>
      <c r="H850" s="50">
        <v>14</v>
      </c>
      <c r="M850" t="str">
        <f>IF(COUNTIF($A:$A,E850)=0,"Not Exists","Exists")</f>
        <v>Exists</v>
      </c>
      <c r="N850" t="str">
        <f t="shared" si="42"/>
        <v>Exists</v>
      </c>
      <c r="O850" t="str">
        <f t="shared" si="43"/>
        <v>Not Exists</v>
      </c>
      <c r="P850" t="str">
        <f t="shared" si="44"/>
        <v>Exists</v>
      </c>
    </row>
    <row r="851" spans="1:16">
      <c r="A851" s="50" t="s">
        <v>809</v>
      </c>
      <c r="B851" s="50" t="s">
        <v>815</v>
      </c>
      <c r="C851" s="50" t="s">
        <v>251</v>
      </c>
      <c r="D851" s="50">
        <v>17</v>
      </c>
      <c r="E851" s="50" t="s">
        <v>778</v>
      </c>
      <c r="F851" s="50" t="s">
        <v>618</v>
      </c>
      <c r="G851" s="50" t="s">
        <v>256</v>
      </c>
      <c r="H851" s="50">
        <v>14</v>
      </c>
      <c r="M851" t="str">
        <f>IF(COUNTIF($A:$A,E851)=0,"Not Exists","Exists")</f>
        <v>Exists</v>
      </c>
      <c r="N851" t="str">
        <f t="shared" si="42"/>
        <v>Exists</v>
      </c>
      <c r="O851" t="str">
        <f t="shared" si="43"/>
        <v>Not Exists</v>
      </c>
      <c r="P851" t="str">
        <f t="shared" si="44"/>
        <v>Exists</v>
      </c>
    </row>
    <row r="852" spans="1:16">
      <c r="A852" s="50" t="s">
        <v>809</v>
      </c>
      <c r="B852" s="50" t="s">
        <v>816</v>
      </c>
      <c r="C852" s="50" t="s">
        <v>251</v>
      </c>
      <c r="D852" s="50">
        <v>17</v>
      </c>
      <c r="E852" s="50" t="s">
        <v>778</v>
      </c>
      <c r="F852" s="50" t="s">
        <v>620</v>
      </c>
      <c r="G852" s="50" t="s">
        <v>251</v>
      </c>
      <c r="H852" s="50">
        <v>1</v>
      </c>
      <c r="M852" t="str">
        <f>IF(COUNTIF($A:$A,E852)=0,"Not Exists","Exists")</f>
        <v>Exists</v>
      </c>
      <c r="N852" t="str">
        <f t="shared" si="42"/>
        <v>Exists</v>
      </c>
      <c r="O852" t="str">
        <f t="shared" si="43"/>
        <v>Not Exists</v>
      </c>
      <c r="P852" t="str">
        <f t="shared" si="44"/>
        <v>Exists</v>
      </c>
    </row>
    <row r="853" spans="1:16">
      <c r="A853" s="50" t="s">
        <v>809</v>
      </c>
      <c r="B853" s="50" t="s">
        <v>817</v>
      </c>
      <c r="C853" s="50" t="s">
        <v>254</v>
      </c>
      <c r="D853" s="50">
        <v>22</v>
      </c>
      <c r="E853" s="50" t="s">
        <v>778</v>
      </c>
      <c r="F853" s="50" t="s">
        <v>373</v>
      </c>
      <c r="G853" s="50" t="s">
        <v>251</v>
      </c>
      <c r="H853" s="50">
        <v>1</v>
      </c>
      <c r="M853" t="str">
        <f>IF(COUNTIF($A:$A,E853)=0,"Not Exists","Exists")</f>
        <v>Exists</v>
      </c>
      <c r="N853" t="str">
        <f t="shared" si="42"/>
        <v>Exists</v>
      </c>
      <c r="O853" t="str">
        <f t="shared" si="43"/>
        <v>Not Exists</v>
      </c>
      <c r="P853" t="str">
        <f t="shared" si="44"/>
        <v>Exists</v>
      </c>
    </row>
    <row r="854" spans="1:16">
      <c r="A854" s="50" t="s">
        <v>809</v>
      </c>
      <c r="B854" s="50" t="s">
        <v>746</v>
      </c>
      <c r="C854" s="50" t="s">
        <v>256</v>
      </c>
      <c r="D854" s="50">
        <v>50</v>
      </c>
      <c r="E854" s="50" t="s">
        <v>778</v>
      </c>
      <c r="F854" s="50" t="s">
        <v>622</v>
      </c>
      <c r="G854" s="50" t="s">
        <v>256</v>
      </c>
      <c r="H854" s="50">
        <v>500</v>
      </c>
      <c r="M854" t="str">
        <f>IF(COUNTIF($A:$A,E854)=0,"Not Exists","Exists")</f>
        <v>Exists</v>
      </c>
      <c r="N854" t="str">
        <f t="shared" si="42"/>
        <v>Exists</v>
      </c>
      <c r="O854" t="str">
        <f t="shared" si="43"/>
        <v>Not Exists</v>
      </c>
      <c r="P854" t="str">
        <f t="shared" si="44"/>
        <v>Exists</v>
      </c>
    </row>
    <row r="855" spans="1:16">
      <c r="A855" s="50" t="s">
        <v>809</v>
      </c>
      <c r="B855" s="50" t="s">
        <v>747</v>
      </c>
      <c r="C855" s="50" t="s">
        <v>256</v>
      </c>
      <c r="D855" s="50">
        <v>50</v>
      </c>
      <c r="E855" s="50" t="s">
        <v>778</v>
      </c>
      <c r="F855" s="50" t="s">
        <v>315</v>
      </c>
      <c r="G855" s="50" t="s">
        <v>251</v>
      </c>
      <c r="H855" s="50">
        <v>17</v>
      </c>
      <c r="M855" t="str">
        <f>IF(COUNTIF($A:$A,E855)=0,"Not Exists","Exists")</f>
        <v>Exists</v>
      </c>
      <c r="N855" t="str">
        <f t="shared" si="42"/>
        <v>Exists</v>
      </c>
      <c r="O855" t="str">
        <f t="shared" si="43"/>
        <v>Not Exists</v>
      </c>
      <c r="P855" t="str">
        <f t="shared" si="44"/>
        <v>Exists</v>
      </c>
    </row>
    <row r="856" spans="1:16">
      <c r="A856" s="50" t="s">
        <v>809</v>
      </c>
      <c r="B856" s="50" t="s">
        <v>748</v>
      </c>
      <c r="C856" s="50" t="s">
        <v>254</v>
      </c>
      <c r="D856" s="50">
        <v>22</v>
      </c>
      <c r="E856" s="50" t="s">
        <v>778</v>
      </c>
      <c r="F856" s="50" t="s">
        <v>316</v>
      </c>
      <c r="G856" s="50" t="s">
        <v>256</v>
      </c>
      <c r="H856" s="50">
        <v>50</v>
      </c>
      <c r="M856" t="str">
        <f>IF(COUNTIF($A:$A,E856)=0,"Not Exists","Exists")</f>
        <v>Exists</v>
      </c>
      <c r="N856" t="str">
        <f t="shared" si="42"/>
        <v>Exists</v>
      </c>
      <c r="O856" t="str">
        <f t="shared" si="43"/>
        <v>Not Exists</v>
      </c>
      <c r="P856" t="str">
        <f t="shared" si="44"/>
        <v>Exists</v>
      </c>
    </row>
    <row r="857" spans="1:16">
      <c r="A857" s="50" t="s">
        <v>809</v>
      </c>
      <c r="B857" s="50" t="s">
        <v>818</v>
      </c>
      <c r="C857" s="50" t="s">
        <v>256</v>
      </c>
      <c r="D857" s="50">
        <v>50</v>
      </c>
      <c r="E857" s="50" t="s">
        <v>778</v>
      </c>
      <c r="F857" s="50" t="s">
        <v>317</v>
      </c>
      <c r="G857" s="50" t="s">
        <v>251</v>
      </c>
      <c r="H857" s="50">
        <v>17</v>
      </c>
      <c r="M857" t="str">
        <f>IF(COUNTIF($A:$A,E857)=0,"Not Exists","Exists")</f>
        <v>Exists</v>
      </c>
      <c r="N857" t="str">
        <f t="shared" si="42"/>
        <v>Exists</v>
      </c>
      <c r="O857" t="str">
        <f t="shared" si="43"/>
        <v>Not Exists</v>
      </c>
      <c r="P857" t="str">
        <f t="shared" si="44"/>
        <v>Exists</v>
      </c>
    </row>
    <row r="858" spans="1:16">
      <c r="A858" s="50" t="s">
        <v>809</v>
      </c>
      <c r="B858" s="50" t="s">
        <v>819</v>
      </c>
      <c r="C858" s="50" t="s">
        <v>251</v>
      </c>
      <c r="D858" s="50">
        <v>1</v>
      </c>
      <c r="E858" s="50" t="s">
        <v>778</v>
      </c>
      <c r="F858" s="50" t="s">
        <v>318</v>
      </c>
      <c r="G858" s="50" t="s">
        <v>256</v>
      </c>
      <c r="H858" s="50">
        <v>50</v>
      </c>
      <c r="M858" t="str">
        <f>IF(COUNTIF($A:$A,E858)=0,"Not Exists","Exists")</f>
        <v>Exists</v>
      </c>
      <c r="N858" t="str">
        <f t="shared" si="42"/>
        <v>Exists</v>
      </c>
      <c r="O858" t="str">
        <f t="shared" si="43"/>
        <v>Not Exists</v>
      </c>
      <c r="P858" t="str">
        <f t="shared" si="44"/>
        <v>Exists</v>
      </c>
    </row>
    <row r="859" spans="1:16">
      <c r="A859" s="50" t="s">
        <v>809</v>
      </c>
      <c r="B859" s="50" t="s">
        <v>820</v>
      </c>
      <c r="C859" s="50" t="s">
        <v>256</v>
      </c>
      <c r="D859" s="50">
        <v>50</v>
      </c>
      <c r="E859" s="50" t="s">
        <v>821</v>
      </c>
      <c r="F859" s="50" t="s">
        <v>822</v>
      </c>
      <c r="G859" s="50" t="s">
        <v>256</v>
      </c>
      <c r="H859" s="50">
        <v>50</v>
      </c>
      <c r="M859" t="str">
        <f>IF(COUNTIF($A:$A,E859)=0,"Not Exists","Exists")</f>
        <v>Not Exists</v>
      </c>
      <c r="N859" t="str">
        <f t="shared" ref="N859:N922" si="45">IF(COUNTIF($A:$B,F859)=0,"Not Exists","Exists")</f>
        <v>Not Exists</v>
      </c>
      <c r="O859" t="str">
        <f t="shared" si="43"/>
        <v>Not Exists</v>
      </c>
      <c r="P859" t="str">
        <f t="shared" si="44"/>
        <v>Not Exists</v>
      </c>
    </row>
    <row r="860" spans="1:16">
      <c r="A860" s="50" t="s">
        <v>809</v>
      </c>
      <c r="B860" s="50" t="s">
        <v>315</v>
      </c>
      <c r="C860" s="50" t="s">
        <v>251</v>
      </c>
      <c r="D860" s="50">
        <v>17</v>
      </c>
      <c r="E860" s="50" t="s">
        <v>821</v>
      </c>
      <c r="F860" s="50" t="s">
        <v>823</v>
      </c>
      <c r="G860" s="50" t="s">
        <v>256</v>
      </c>
      <c r="H860" s="50">
        <v>450</v>
      </c>
      <c r="M860" t="str">
        <f>IF(COUNTIF($A:$A,E860)=0,"Not Exists","Exists")</f>
        <v>Not Exists</v>
      </c>
      <c r="N860" t="str">
        <f t="shared" si="45"/>
        <v>Not Exists</v>
      </c>
      <c r="O860" t="str">
        <f t="shared" si="43"/>
        <v>Not Exists</v>
      </c>
      <c r="P860" t="str">
        <f t="shared" si="44"/>
        <v>Exists</v>
      </c>
    </row>
    <row r="861" spans="1:16">
      <c r="A861" s="50" t="s">
        <v>809</v>
      </c>
      <c r="B861" s="50" t="s">
        <v>317</v>
      </c>
      <c r="C861" s="50" t="s">
        <v>251</v>
      </c>
      <c r="D861" s="50">
        <v>17</v>
      </c>
      <c r="E861" s="50" t="s">
        <v>821</v>
      </c>
      <c r="F861" s="50" t="s">
        <v>824</v>
      </c>
      <c r="G861" s="50" t="s">
        <v>251</v>
      </c>
      <c r="H861" s="50">
        <v>1</v>
      </c>
      <c r="M861" t="str">
        <f>IF(COUNTIF($A:$A,E861)=0,"Not Exists","Exists")</f>
        <v>Not Exists</v>
      </c>
      <c r="N861" t="str">
        <f t="shared" si="45"/>
        <v>Not Exists</v>
      </c>
      <c r="O861" t="str">
        <f t="shared" si="43"/>
        <v>Not Exists</v>
      </c>
      <c r="P861" t="str">
        <f t="shared" si="44"/>
        <v>Exists</v>
      </c>
    </row>
    <row r="862" spans="1:16">
      <c r="A862" s="50" t="s">
        <v>809</v>
      </c>
      <c r="B862" s="50" t="s">
        <v>316</v>
      </c>
      <c r="C862" s="50" t="s">
        <v>256</v>
      </c>
      <c r="D862" s="50">
        <v>50</v>
      </c>
      <c r="E862" s="50" t="s">
        <v>821</v>
      </c>
      <c r="F862" s="50" t="s">
        <v>672</v>
      </c>
      <c r="G862" s="50" t="s">
        <v>256</v>
      </c>
      <c r="H862" s="50">
        <v>450</v>
      </c>
      <c r="M862" t="str">
        <f>IF(COUNTIF($A:$A,E862)=0,"Not Exists","Exists")</f>
        <v>Not Exists</v>
      </c>
      <c r="N862" t="str">
        <f t="shared" si="45"/>
        <v>Exists</v>
      </c>
      <c r="O862" t="str">
        <f t="shared" si="43"/>
        <v>Not Exists</v>
      </c>
      <c r="P862" t="str">
        <f t="shared" si="44"/>
        <v>Exists</v>
      </c>
    </row>
    <row r="863" spans="1:16">
      <c r="A863" s="50" t="s">
        <v>809</v>
      </c>
      <c r="B863" s="50" t="s">
        <v>318</v>
      </c>
      <c r="C863" s="50" t="s">
        <v>256</v>
      </c>
      <c r="D863" s="50">
        <v>50</v>
      </c>
      <c r="E863" s="50" t="s">
        <v>821</v>
      </c>
      <c r="F863" s="50" t="s">
        <v>676</v>
      </c>
      <c r="G863" s="50" t="s">
        <v>256</v>
      </c>
      <c r="H863" s="50">
        <v>1</v>
      </c>
      <c r="M863" t="str">
        <f>IF(COUNTIF($A:$A,E863)=0,"Not Exists","Exists")</f>
        <v>Not Exists</v>
      </c>
      <c r="N863" t="str">
        <f t="shared" si="45"/>
        <v>Exists</v>
      </c>
      <c r="O863" t="str">
        <f t="shared" si="43"/>
        <v>Not Exists</v>
      </c>
      <c r="P863" t="str">
        <f t="shared" si="44"/>
        <v>Exists</v>
      </c>
    </row>
    <row r="864" spans="1:16">
      <c r="A864" s="50" t="s">
        <v>809</v>
      </c>
      <c r="B864" s="50" t="s">
        <v>436</v>
      </c>
      <c r="C864" s="50" t="s">
        <v>256</v>
      </c>
      <c r="D864" s="50">
        <v>50</v>
      </c>
      <c r="E864" s="50" t="s">
        <v>821</v>
      </c>
      <c r="F864" s="50" t="s">
        <v>682</v>
      </c>
      <c r="G864" s="50" t="s">
        <v>254</v>
      </c>
      <c r="H864" s="50">
        <v>22</v>
      </c>
      <c r="M864" t="str">
        <f>IF(COUNTIF($A:$A,E864)=0,"Not Exists","Exists")</f>
        <v>Not Exists</v>
      </c>
      <c r="N864" t="str">
        <f t="shared" si="45"/>
        <v>Exists</v>
      </c>
      <c r="O864" t="str">
        <f t="shared" si="43"/>
        <v>Not Exists</v>
      </c>
      <c r="P864" t="str">
        <f t="shared" si="44"/>
        <v>Not Exists</v>
      </c>
    </row>
    <row r="865" spans="1:16">
      <c r="A865" s="50" t="s">
        <v>809</v>
      </c>
      <c r="B865" s="50" t="s">
        <v>825</v>
      </c>
      <c r="C865" s="50" t="s">
        <v>256</v>
      </c>
      <c r="D865" s="50">
        <v>450</v>
      </c>
      <c r="E865" s="50" t="s">
        <v>821</v>
      </c>
      <c r="F865" s="50" t="s">
        <v>683</v>
      </c>
      <c r="G865" s="50" t="s">
        <v>256</v>
      </c>
      <c r="H865" s="50">
        <v>1</v>
      </c>
      <c r="M865" t="str">
        <f>IF(COUNTIF($A:$A,E865)=0,"Not Exists","Exists")</f>
        <v>Not Exists</v>
      </c>
      <c r="N865" t="str">
        <f t="shared" si="45"/>
        <v>Exists</v>
      </c>
      <c r="O865" t="str">
        <f t="shared" si="43"/>
        <v>Not Exists</v>
      </c>
      <c r="P865" t="str">
        <f t="shared" si="44"/>
        <v>Exists</v>
      </c>
    </row>
    <row r="866" spans="1:16">
      <c r="A866" s="50" t="s">
        <v>809</v>
      </c>
      <c r="B866" s="50" t="s">
        <v>826</v>
      </c>
      <c r="C866" s="50" t="s">
        <v>251</v>
      </c>
      <c r="D866" s="50">
        <v>1</v>
      </c>
      <c r="E866" s="50" t="s">
        <v>821</v>
      </c>
      <c r="F866" s="50" t="s">
        <v>812</v>
      </c>
      <c r="G866" s="50" t="s">
        <v>256</v>
      </c>
      <c r="H866" s="50">
        <v>1</v>
      </c>
      <c r="M866" t="str">
        <f>IF(COUNTIF($A:$A,E866)=0,"Not Exists","Exists")</f>
        <v>Not Exists</v>
      </c>
      <c r="N866" t="str">
        <f t="shared" si="45"/>
        <v>Exists</v>
      </c>
      <c r="O866" t="str">
        <f t="shared" si="43"/>
        <v>Not Exists</v>
      </c>
      <c r="P866" t="str">
        <f t="shared" si="44"/>
        <v>Exists</v>
      </c>
    </row>
    <row r="867" spans="1:16">
      <c r="A867" s="50" t="s">
        <v>827</v>
      </c>
      <c r="B867" s="50" t="s">
        <v>794</v>
      </c>
      <c r="C867" s="50" t="s">
        <v>256</v>
      </c>
      <c r="D867" s="50">
        <v>50</v>
      </c>
      <c r="E867" s="50" t="s">
        <v>821</v>
      </c>
      <c r="F867" s="50" t="s">
        <v>558</v>
      </c>
      <c r="G867" s="50" t="s">
        <v>256</v>
      </c>
      <c r="H867" s="50">
        <v>4000</v>
      </c>
      <c r="M867" t="str">
        <f>IF(COUNTIF($A:$A,E867)=0,"Not Exists","Exists")</f>
        <v>Not Exists</v>
      </c>
      <c r="N867" t="str">
        <f t="shared" si="45"/>
        <v>Exists</v>
      </c>
      <c r="O867" t="str">
        <f t="shared" si="43"/>
        <v>Exists</v>
      </c>
      <c r="P867" t="str">
        <f t="shared" si="44"/>
        <v>Exists</v>
      </c>
    </row>
    <row r="868" spans="1:16">
      <c r="A868" s="50" t="s">
        <v>827</v>
      </c>
      <c r="B868" s="50" t="s">
        <v>796</v>
      </c>
      <c r="C868" s="50" t="s">
        <v>254</v>
      </c>
      <c r="D868" s="50">
        <v>22</v>
      </c>
      <c r="E868" s="50" t="s">
        <v>821</v>
      </c>
      <c r="F868" s="50" t="s">
        <v>813</v>
      </c>
      <c r="G868" s="50" t="s">
        <v>256</v>
      </c>
      <c r="H868" s="50">
        <v>50</v>
      </c>
      <c r="M868" t="str">
        <f>IF(COUNTIF($A:$A,E868)=0,"Not Exists","Exists")</f>
        <v>Not Exists</v>
      </c>
      <c r="N868" t="str">
        <f t="shared" si="45"/>
        <v>Exists</v>
      </c>
      <c r="O868" t="str">
        <f t="shared" si="43"/>
        <v>Exists</v>
      </c>
      <c r="P868" t="str">
        <f t="shared" si="44"/>
        <v>Exists</v>
      </c>
    </row>
    <row r="869" spans="1:16">
      <c r="A869" s="50" t="s">
        <v>827</v>
      </c>
      <c r="B869" s="50" t="s">
        <v>781</v>
      </c>
      <c r="C869" s="50" t="s">
        <v>251</v>
      </c>
      <c r="D869" s="50">
        <v>17</v>
      </c>
      <c r="E869" s="50" t="s">
        <v>821</v>
      </c>
      <c r="F869" s="50" t="s">
        <v>814</v>
      </c>
      <c r="G869" s="50" t="s">
        <v>256</v>
      </c>
      <c r="H869" s="50">
        <v>17</v>
      </c>
      <c r="M869" t="str">
        <f>IF(COUNTIF($A:$A,E869)=0,"Not Exists","Exists")</f>
        <v>Not Exists</v>
      </c>
      <c r="N869" t="str">
        <f t="shared" si="45"/>
        <v>Exists</v>
      </c>
      <c r="O869" t="str">
        <f t="shared" si="43"/>
        <v>Exists</v>
      </c>
      <c r="P869" t="str">
        <f t="shared" si="44"/>
        <v>Exists</v>
      </c>
    </row>
    <row r="870" spans="1:16">
      <c r="A870" s="50" t="s">
        <v>827</v>
      </c>
      <c r="B870" s="50" t="s">
        <v>456</v>
      </c>
      <c r="C870" s="50" t="s">
        <v>254</v>
      </c>
      <c r="D870" s="50">
        <v>22</v>
      </c>
      <c r="E870" s="50" t="s">
        <v>821</v>
      </c>
      <c r="F870" s="50" t="s">
        <v>674</v>
      </c>
      <c r="G870" s="50" t="s">
        <v>254</v>
      </c>
      <c r="H870" s="50">
        <v>22</v>
      </c>
      <c r="M870" t="str">
        <f>IF(COUNTIF($A:$A,E870)=0,"Not Exists","Exists")</f>
        <v>Not Exists</v>
      </c>
      <c r="N870" t="str">
        <f t="shared" si="45"/>
        <v>Exists</v>
      </c>
      <c r="O870" t="str">
        <f t="shared" si="43"/>
        <v>Exists</v>
      </c>
      <c r="P870" t="str">
        <f t="shared" si="44"/>
        <v>Exists</v>
      </c>
    </row>
    <row r="871" spans="1:16">
      <c r="A871" s="50" t="s">
        <v>827</v>
      </c>
      <c r="B871" s="50" t="s">
        <v>805</v>
      </c>
      <c r="C871" s="50" t="s">
        <v>256</v>
      </c>
      <c r="D871" s="50">
        <v>50</v>
      </c>
      <c r="E871" s="50" t="s">
        <v>821</v>
      </c>
      <c r="F871" s="50" t="s">
        <v>815</v>
      </c>
      <c r="G871" s="50" t="s">
        <v>256</v>
      </c>
      <c r="H871" s="50">
        <v>17</v>
      </c>
      <c r="M871" t="str">
        <f>IF(COUNTIF($A:$A,E871)=0,"Not Exists","Exists")</f>
        <v>Not Exists</v>
      </c>
      <c r="N871" t="str">
        <f t="shared" si="45"/>
        <v>Exists</v>
      </c>
      <c r="O871" t="str">
        <f t="shared" si="43"/>
        <v>Exists</v>
      </c>
      <c r="P871" t="str">
        <f t="shared" si="44"/>
        <v>Not Exists</v>
      </c>
    </row>
    <row r="872" spans="1:16">
      <c r="A872" s="50" t="s">
        <v>827</v>
      </c>
      <c r="B872" s="50" t="s">
        <v>806</v>
      </c>
      <c r="C872" s="50" t="s">
        <v>254</v>
      </c>
      <c r="D872" s="50">
        <v>22</v>
      </c>
      <c r="E872" s="50" t="s">
        <v>821</v>
      </c>
      <c r="F872" s="50" t="s">
        <v>816</v>
      </c>
      <c r="G872" s="50" t="s">
        <v>256</v>
      </c>
      <c r="H872" s="50">
        <v>17</v>
      </c>
      <c r="M872" t="str">
        <f>IF(COUNTIF($A:$A,E872)=0,"Not Exists","Exists")</f>
        <v>Not Exists</v>
      </c>
      <c r="N872" t="str">
        <f t="shared" si="45"/>
        <v>Exists</v>
      </c>
      <c r="O872" t="str">
        <f t="shared" si="43"/>
        <v>Exists</v>
      </c>
      <c r="P872" t="str">
        <f t="shared" si="44"/>
        <v>Not Exists</v>
      </c>
    </row>
    <row r="873" spans="1:16">
      <c r="A873" s="50" t="s">
        <v>827</v>
      </c>
      <c r="B873" s="50" t="s">
        <v>828</v>
      </c>
      <c r="C873" s="50" t="s">
        <v>251</v>
      </c>
      <c r="D873" s="50">
        <v>17</v>
      </c>
      <c r="E873" s="50" t="s">
        <v>821</v>
      </c>
      <c r="F873" s="50" t="s">
        <v>817</v>
      </c>
      <c r="G873" s="50" t="s">
        <v>254</v>
      </c>
      <c r="H873" s="50">
        <v>22</v>
      </c>
      <c r="M873" t="str">
        <f>IF(COUNTIF($A:$A,E873)=0,"Not Exists","Exists")</f>
        <v>Not Exists</v>
      </c>
      <c r="N873" t="str">
        <f t="shared" si="45"/>
        <v>Exists</v>
      </c>
      <c r="O873" t="str">
        <f t="shared" si="43"/>
        <v>Exists</v>
      </c>
      <c r="P873" t="str">
        <f t="shared" si="44"/>
        <v>Exists</v>
      </c>
    </row>
    <row r="874" spans="1:16">
      <c r="A874" s="50" t="s">
        <v>827</v>
      </c>
      <c r="B874" s="50" t="s">
        <v>637</v>
      </c>
      <c r="C874" s="50" t="s">
        <v>256</v>
      </c>
      <c r="D874" s="50">
        <v>50</v>
      </c>
      <c r="E874" s="50" t="s">
        <v>821</v>
      </c>
      <c r="F874" s="50" t="s">
        <v>746</v>
      </c>
      <c r="G874" s="50" t="s">
        <v>256</v>
      </c>
      <c r="H874" s="50">
        <v>50</v>
      </c>
      <c r="M874" t="str">
        <f>IF(COUNTIF($A:$A,E874)=0,"Not Exists","Exists")</f>
        <v>Not Exists</v>
      </c>
      <c r="N874" t="str">
        <f t="shared" si="45"/>
        <v>Exists</v>
      </c>
      <c r="O874" t="str">
        <f t="shared" si="43"/>
        <v>Exists</v>
      </c>
      <c r="P874" t="str">
        <f t="shared" si="44"/>
        <v>Exists</v>
      </c>
    </row>
    <row r="875" spans="1:16">
      <c r="A875" s="50" t="s">
        <v>827</v>
      </c>
      <c r="B875" s="50" t="s">
        <v>829</v>
      </c>
      <c r="C875" s="50" t="s">
        <v>256</v>
      </c>
      <c r="D875" s="50">
        <v>50</v>
      </c>
      <c r="E875" s="50" t="s">
        <v>821</v>
      </c>
      <c r="F875" s="50" t="s">
        <v>747</v>
      </c>
      <c r="G875" s="50" t="s">
        <v>256</v>
      </c>
      <c r="H875" s="50">
        <v>50</v>
      </c>
      <c r="M875" t="str">
        <f>IF(COUNTIF($A:$A,E875)=0,"Not Exists","Exists")</f>
        <v>Not Exists</v>
      </c>
      <c r="N875" t="str">
        <f t="shared" si="45"/>
        <v>Exists</v>
      </c>
      <c r="O875" t="str">
        <f t="shared" si="43"/>
        <v>Exists</v>
      </c>
      <c r="P875" t="str">
        <f t="shared" si="44"/>
        <v>Not Exists</v>
      </c>
    </row>
    <row r="876" spans="1:16">
      <c r="A876" s="50" t="s">
        <v>827</v>
      </c>
      <c r="B876" s="50" t="s">
        <v>830</v>
      </c>
      <c r="C876" s="50" t="s">
        <v>256</v>
      </c>
      <c r="D876" s="50">
        <v>1000</v>
      </c>
      <c r="E876" s="50" t="s">
        <v>821</v>
      </c>
      <c r="F876" s="50" t="s">
        <v>748</v>
      </c>
      <c r="G876" s="50" t="s">
        <v>254</v>
      </c>
      <c r="H876" s="50">
        <v>22</v>
      </c>
      <c r="M876" t="str">
        <f>IF(COUNTIF($A:$A,E876)=0,"Not Exists","Exists")</f>
        <v>Not Exists</v>
      </c>
      <c r="N876" t="str">
        <f t="shared" si="45"/>
        <v>Exists</v>
      </c>
      <c r="O876" t="str">
        <f t="shared" si="43"/>
        <v>Exists</v>
      </c>
      <c r="P876" t="str">
        <f t="shared" si="44"/>
        <v>Not Exists</v>
      </c>
    </row>
    <row r="877" spans="1:16">
      <c r="A877" s="50" t="s">
        <v>827</v>
      </c>
      <c r="B877" s="50" t="s">
        <v>831</v>
      </c>
      <c r="C877" s="50" t="s">
        <v>256</v>
      </c>
      <c r="D877" s="50">
        <v>1000</v>
      </c>
      <c r="E877" s="50" t="s">
        <v>821</v>
      </c>
      <c r="F877" s="50" t="s">
        <v>818</v>
      </c>
      <c r="G877" s="50" t="s">
        <v>256</v>
      </c>
      <c r="H877" s="50">
        <v>50</v>
      </c>
      <c r="M877" t="str">
        <f>IF(COUNTIF($A:$A,E877)=0,"Not Exists","Exists")</f>
        <v>Not Exists</v>
      </c>
      <c r="N877" t="str">
        <f t="shared" si="45"/>
        <v>Exists</v>
      </c>
      <c r="O877" t="str">
        <f t="shared" si="43"/>
        <v>Exists</v>
      </c>
      <c r="P877" t="str">
        <f t="shared" si="44"/>
        <v>Not Exists</v>
      </c>
    </row>
    <row r="878" spans="1:16">
      <c r="A878" s="50" t="s">
        <v>827</v>
      </c>
      <c r="B878" s="50" t="s">
        <v>832</v>
      </c>
      <c r="C878" s="50" t="s">
        <v>256</v>
      </c>
      <c r="D878" s="50">
        <v>50</v>
      </c>
      <c r="E878" s="50" t="s">
        <v>821</v>
      </c>
      <c r="F878" s="50" t="s">
        <v>833</v>
      </c>
      <c r="G878" s="50" t="s">
        <v>254</v>
      </c>
      <c r="H878" s="50">
        <v>22</v>
      </c>
      <c r="M878" t="str">
        <f>IF(COUNTIF($A:$A,E878)=0,"Not Exists","Exists")</f>
        <v>Not Exists</v>
      </c>
      <c r="N878" t="str">
        <f t="shared" si="45"/>
        <v>Not Exists</v>
      </c>
      <c r="O878" t="str">
        <f t="shared" si="43"/>
        <v>Exists</v>
      </c>
      <c r="P878" t="str">
        <f t="shared" si="44"/>
        <v>Not Exists</v>
      </c>
    </row>
    <row r="879" spans="1:16">
      <c r="A879" s="50" t="s">
        <v>827</v>
      </c>
      <c r="B879" s="50" t="s">
        <v>834</v>
      </c>
      <c r="C879" s="50" t="s">
        <v>256</v>
      </c>
      <c r="D879" s="50">
        <v>4000</v>
      </c>
      <c r="E879" s="50" t="s">
        <v>821</v>
      </c>
      <c r="F879" s="50" t="s">
        <v>819</v>
      </c>
      <c r="G879" s="50" t="s">
        <v>256</v>
      </c>
      <c r="H879" s="50">
        <v>1</v>
      </c>
      <c r="M879" t="str">
        <f>IF(COUNTIF($A:$A,E879)=0,"Not Exists","Exists")</f>
        <v>Not Exists</v>
      </c>
      <c r="N879" t="str">
        <f t="shared" si="45"/>
        <v>Exists</v>
      </c>
      <c r="O879" t="str">
        <f t="shared" si="43"/>
        <v>Exists</v>
      </c>
      <c r="P879" t="str">
        <f t="shared" si="44"/>
        <v>Exists</v>
      </c>
    </row>
    <row r="880" spans="1:16">
      <c r="A880" s="50" t="s">
        <v>827</v>
      </c>
      <c r="B880" s="50" t="s">
        <v>835</v>
      </c>
      <c r="C880" s="50" t="s">
        <v>427</v>
      </c>
      <c r="D880" s="50">
        <v>4000</v>
      </c>
      <c r="E880" s="50" t="s">
        <v>821</v>
      </c>
      <c r="F880" s="50" t="s">
        <v>535</v>
      </c>
      <c r="G880" s="50" t="s">
        <v>256</v>
      </c>
      <c r="H880" s="50">
        <v>50</v>
      </c>
      <c r="M880" t="str">
        <f>IF(COUNTIF($A:$A,E880)=0,"Not Exists","Exists")</f>
        <v>Not Exists</v>
      </c>
      <c r="N880" t="str">
        <f t="shared" si="45"/>
        <v>Exists</v>
      </c>
      <c r="O880" t="str">
        <f t="shared" si="43"/>
        <v>Exists</v>
      </c>
      <c r="P880" t="str">
        <f t="shared" si="44"/>
        <v>Not Exists</v>
      </c>
    </row>
    <row r="881" spans="1:16">
      <c r="A881" s="50" t="s">
        <v>827</v>
      </c>
      <c r="B881" s="50" t="s">
        <v>436</v>
      </c>
      <c r="C881" s="50" t="s">
        <v>256</v>
      </c>
      <c r="D881" s="50">
        <v>50</v>
      </c>
      <c r="E881" s="50" t="s">
        <v>821</v>
      </c>
      <c r="F881" s="50" t="s">
        <v>826</v>
      </c>
      <c r="G881" s="50" t="s">
        <v>256</v>
      </c>
      <c r="H881" s="50">
        <v>1</v>
      </c>
      <c r="M881" t="str">
        <f>IF(COUNTIF($A:$A,E881)=0,"Not Exists","Exists")</f>
        <v>Not Exists</v>
      </c>
      <c r="N881" t="str">
        <f t="shared" si="45"/>
        <v>Exists</v>
      </c>
      <c r="O881" t="str">
        <f t="shared" si="43"/>
        <v>Exists</v>
      </c>
      <c r="P881" t="str">
        <f t="shared" si="44"/>
        <v>Not Exists</v>
      </c>
    </row>
    <row r="882" spans="1:16">
      <c r="A882" s="50" t="s">
        <v>836</v>
      </c>
      <c r="B882" s="50" t="s">
        <v>794</v>
      </c>
      <c r="C882" s="50" t="s">
        <v>256</v>
      </c>
      <c r="D882" s="50">
        <v>50</v>
      </c>
      <c r="E882" s="50" t="s">
        <v>821</v>
      </c>
      <c r="F882" s="50" t="s">
        <v>315</v>
      </c>
      <c r="G882" s="50" t="s">
        <v>256</v>
      </c>
      <c r="H882" s="50">
        <v>17</v>
      </c>
      <c r="M882" t="str">
        <f>IF(COUNTIF($A:$A,E882)=0,"Not Exists","Exists")</f>
        <v>Not Exists</v>
      </c>
      <c r="N882" t="str">
        <f t="shared" si="45"/>
        <v>Exists</v>
      </c>
      <c r="O882" t="str">
        <f t="shared" si="43"/>
        <v>Exists</v>
      </c>
      <c r="P882" t="str">
        <f t="shared" si="44"/>
        <v>Exists</v>
      </c>
    </row>
    <row r="883" spans="1:16">
      <c r="A883" s="50" t="s">
        <v>836</v>
      </c>
      <c r="B883" s="50" t="s">
        <v>436</v>
      </c>
      <c r="C883" s="50" t="s">
        <v>256</v>
      </c>
      <c r="D883" s="50">
        <v>50</v>
      </c>
      <c r="E883" s="50" t="s">
        <v>821</v>
      </c>
      <c r="F883" s="50" t="s">
        <v>317</v>
      </c>
      <c r="G883" s="50" t="s">
        <v>256</v>
      </c>
      <c r="H883" s="50">
        <v>17</v>
      </c>
      <c r="M883" t="str">
        <f>IF(COUNTIF($A:$A,E883)=0,"Not Exists","Exists")</f>
        <v>Not Exists</v>
      </c>
      <c r="N883" t="str">
        <f t="shared" si="45"/>
        <v>Exists</v>
      </c>
      <c r="O883" t="str">
        <f t="shared" si="43"/>
        <v>Exists</v>
      </c>
      <c r="P883" t="str">
        <f t="shared" si="44"/>
        <v>Not Exists</v>
      </c>
    </row>
    <row r="884" spans="1:16">
      <c r="A884" s="50" t="s">
        <v>836</v>
      </c>
      <c r="B884" s="50" t="s">
        <v>612</v>
      </c>
      <c r="C884" s="50" t="s">
        <v>256</v>
      </c>
      <c r="D884" s="50">
        <v>50</v>
      </c>
      <c r="E884" s="50" t="s">
        <v>821</v>
      </c>
      <c r="F884" s="50" t="s">
        <v>316</v>
      </c>
      <c r="G884" s="50" t="s">
        <v>256</v>
      </c>
      <c r="H884" s="50">
        <v>50</v>
      </c>
      <c r="M884" t="str">
        <f>IF(COUNTIF($A:$A,E884)=0,"Not Exists","Exists")</f>
        <v>Not Exists</v>
      </c>
      <c r="N884" t="str">
        <f t="shared" si="45"/>
        <v>Exists</v>
      </c>
      <c r="O884" t="str">
        <f t="shared" si="43"/>
        <v>Exists</v>
      </c>
      <c r="P884" t="str">
        <f t="shared" si="44"/>
        <v>Exists</v>
      </c>
    </row>
    <row r="885" spans="1:16">
      <c r="A885" s="50" t="s">
        <v>836</v>
      </c>
      <c r="B885" s="50" t="s">
        <v>317</v>
      </c>
      <c r="C885" s="50" t="s">
        <v>251</v>
      </c>
      <c r="D885" s="50">
        <v>17</v>
      </c>
      <c r="E885" s="50" t="s">
        <v>821</v>
      </c>
      <c r="F885" s="50" t="s">
        <v>318</v>
      </c>
      <c r="G885" s="50" t="s">
        <v>256</v>
      </c>
      <c r="H885" s="50">
        <v>50</v>
      </c>
      <c r="M885" t="str">
        <f>IF(COUNTIF($A:$A,E885)=0,"Not Exists","Exists")</f>
        <v>Not Exists</v>
      </c>
      <c r="N885" t="str">
        <f t="shared" si="45"/>
        <v>Exists</v>
      </c>
      <c r="O885" t="str">
        <f t="shared" si="43"/>
        <v>Exists</v>
      </c>
      <c r="P885" t="str">
        <f t="shared" si="44"/>
        <v>Exists</v>
      </c>
    </row>
    <row r="886" spans="1:16">
      <c r="A886" s="50" t="s">
        <v>836</v>
      </c>
      <c r="B886" s="50" t="s">
        <v>318</v>
      </c>
      <c r="C886" s="50" t="s">
        <v>256</v>
      </c>
      <c r="D886" s="50">
        <v>50</v>
      </c>
      <c r="E886" s="50" t="s">
        <v>837</v>
      </c>
      <c r="F886" s="50" t="s">
        <v>822</v>
      </c>
      <c r="G886" s="50" t="s">
        <v>256</v>
      </c>
      <c r="H886" s="50">
        <v>50</v>
      </c>
      <c r="M886" t="str">
        <f>IF(COUNTIF($A:$A,E886)=0,"Not Exists","Exists")</f>
        <v>Not Exists</v>
      </c>
      <c r="N886" t="str">
        <f t="shared" si="45"/>
        <v>Not Exists</v>
      </c>
      <c r="O886" t="str">
        <f t="shared" si="43"/>
        <v>Exists</v>
      </c>
      <c r="P886" t="str">
        <f t="shared" si="44"/>
        <v>Exists</v>
      </c>
    </row>
    <row r="887" spans="1:16">
      <c r="A887" s="50" t="s">
        <v>836</v>
      </c>
      <c r="B887" s="50" t="s">
        <v>315</v>
      </c>
      <c r="C887" s="50" t="s">
        <v>251</v>
      </c>
      <c r="D887" s="50">
        <v>17</v>
      </c>
      <c r="E887" s="50" t="s">
        <v>837</v>
      </c>
      <c r="F887" s="50" t="s">
        <v>823</v>
      </c>
      <c r="G887" s="50" t="s">
        <v>256</v>
      </c>
      <c r="H887" s="50">
        <v>450</v>
      </c>
      <c r="M887" t="str">
        <f>IF(COUNTIF($A:$A,E887)=0,"Not Exists","Exists")</f>
        <v>Not Exists</v>
      </c>
      <c r="N887" t="str">
        <f t="shared" si="45"/>
        <v>Not Exists</v>
      </c>
      <c r="O887" t="str">
        <f t="shared" si="43"/>
        <v>Exists</v>
      </c>
      <c r="P887" t="str">
        <f t="shared" si="44"/>
        <v>Exists</v>
      </c>
    </row>
    <row r="888" spans="1:16">
      <c r="A888" s="50" t="s">
        <v>836</v>
      </c>
      <c r="B888" s="50" t="s">
        <v>316</v>
      </c>
      <c r="C888" s="50" t="s">
        <v>256</v>
      </c>
      <c r="D888" s="50">
        <v>50</v>
      </c>
      <c r="E888" s="50" t="s">
        <v>837</v>
      </c>
      <c r="F888" s="50" t="s">
        <v>838</v>
      </c>
      <c r="G888" s="50" t="s">
        <v>256</v>
      </c>
      <c r="H888" s="50">
        <v>450</v>
      </c>
      <c r="M888" t="str">
        <f>IF(COUNTIF($A:$A,E888)=0,"Not Exists","Exists")</f>
        <v>Not Exists</v>
      </c>
      <c r="N888" t="str">
        <f t="shared" si="45"/>
        <v>Not Exists</v>
      </c>
      <c r="O888" t="str">
        <f t="shared" si="43"/>
        <v>Exists</v>
      </c>
      <c r="P888" t="str">
        <f t="shared" si="44"/>
        <v>Exists</v>
      </c>
    </row>
    <row r="889" spans="1:16">
      <c r="A889" s="50" t="s">
        <v>836</v>
      </c>
      <c r="B889" s="50" t="s">
        <v>839</v>
      </c>
      <c r="C889" s="50" t="s">
        <v>254</v>
      </c>
      <c r="D889" s="50">
        <v>22</v>
      </c>
      <c r="E889" s="50" t="s">
        <v>837</v>
      </c>
      <c r="F889" s="50" t="s">
        <v>825</v>
      </c>
      <c r="G889" s="50" t="s">
        <v>256</v>
      </c>
      <c r="H889" s="50">
        <v>450</v>
      </c>
      <c r="M889" t="str">
        <f>IF(COUNTIF($A:$A,E889)=0,"Not Exists","Exists")</f>
        <v>Not Exists</v>
      </c>
      <c r="N889" t="str">
        <f t="shared" si="45"/>
        <v>Exists</v>
      </c>
      <c r="O889" t="str">
        <f t="shared" si="43"/>
        <v>Exists</v>
      </c>
      <c r="P889" t="str">
        <f t="shared" si="44"/>
        <v>Exists</v>
      </c>
    </row>
    <row r="890" spans="1:16">
      <c r="A890" s="50" t="s">
        <v>836</v>
      </c>
      <c r="B890" s="50" t="s">
        <v>840</v>
      </c>
      <c r="C890" s="50" t="s">
        <v>254</v>
      </c>
      <c r="D890" s="50">
        <v>22</v>
      </c>
      <c r="E890" s="50" t="s">
        <v>837</v>
      </c>
      <c r="F890" s="50" t="s">
        <v>672</v>
      </c>
      <c r="G890" s="50" t="s">
        <v>256</v>
      </c>
      <c r="H890" s="50">
        <v>450</v>
      </c>
      <c r="M890" t="str">
        <f>IF(COUNTIF($A:$A,E890)=0,"Not Exists","Exists")</f>
        <v>Not Exists</v>
      </c>
      <c r="N890" t="str">
        <f t="shared" si="45"/>
        <v>Exists</v>
      </c>
      <c r="O890" t="str">
        <f t="shared" si="43"/>
        <v>Exists</v>
      </c>
      <c r="P890" t="str">
        <f t="shared" si="44"/>
        <v>Exists</v>
      </c>
    </row>
    <row r="891" spans="1:16">
      <c r="A891" s="50" t="s">
        <v>841</v>
      </c>
      <c r="B891" s="50" t="s">
        <v>794</v>
      </c>
      <c r="C891" s="50" t="s">
        <v>256</v>
      </c>
      <c r="D891" s="50">
        <v>50</v>
      </c>
      <c r="E891" s="50" t="s">
        <v>837</v>
      </c>
      <c r="F891" s="50" t="s">
        <v>676</v>
      </c>
      <c r="G891" s="50" t="s">
        <v>256</v>
      </c>
      <c r="H891" s="50">
        <v>1</v>
      </c>
      <c r="M891" t="str">
        <f>IF(COUNTIF($A:$A,E891)=0,"Not Exists","Exists")</f>
        <v>Not Exists</v>
      </c>
      <c r="N891" t="str">
        <f t="shared" si="45"/>
        <v>Exists</v>
      </c>
      <c r="O891" t="str">
        <f t="shared" si="43"/>
        <v>Exists</v>
      </c>
      <c r="P891" t="str">
        <f t="shared" si="44"/>
        <v>Exists</v>
      </c>
    </row>
    <row r="892" spans="1:16">
      <c r="A892" s="50" t="s">
        <v>841</v>
      </c>
      <c r="B892" s="50" t="s">
        <v>436</v>
      </c>
      <c r="C892" s="50" t="s">
        <v>256</v>
      </c>
      <c r="D892" s="50">
        <v>50</v>
      </c>
      <c r="E892" s="50" t="s">
        <v>837</v>
      </c>
      <c r="F892" s="50" t="s">
        <v>682</v>
      </c>
      <c r="G892" s="50" t="s">
        <v>254</v>
      </c>
      <c r="H892" s="50">
        <v>22</v>
      </c>
      <c r="M892" t="str">
        <f>IF(COUNTIF($A:$A,E892)=0,"Not Exists","Exists")</f>
        <v>Not Exists</v>
      </c>
      <c r="N892" t="str">
        <f t="shared" si="45"/>
        <v>Exists</v>
      </c>
      <c r="O892" t="str">
        <f t="shared" si="43"/>
        <v>Exists</v>
      </c>
      <c r="P892" t="str">
        <f t="shared" si="44"/>
        <v>Not Exists</v>
      </c>
    </row>
    <row r="893" spans="1:16">
      <c r="A893" s="50" t="s">
        <v>841</v>
      </c>
      <c r="B893" s="50" t="s">
        <v>317</v>
      </c>
      <c r="C893" s="50" t="s">
        <v>251</v>
      </c>
      <c r="D893" s="50">
        <v>17</v>
      </c>
      <c r="E893" s="50" t="s">
        <v>837</v>
      </c>
      <c r="F893" s="50" t="s">
        <v>683</v>
      </c>
      <c r="G893" s="50" t="s">
        <v>256</v>
      </c>
      <c r="H893" s="50">
        <v>1</v>
      </c>
      <c r="M893" t="str">
        <f>IF(COUNTIF($A:$A,E893)=0,"Not Exists","Exists")</f>
        <v>Not Exists</v>
      </c>
      <c r="N893" t="str">
        <f t="shared" si="45"/>
        <v>Exists</v>
      </c>
      <c r="O893" t="str">
        <f t="shared" si="43"/>
        <v>Exists</v>
      </c>
      <c r="P893" t="str">
        <f t="shared" si="44"/>
        <v>Exists</v>
      </c>
    </row>
    <row r="894" spans="1:16">
      <c r="A894" s="50" t="s">
        <v>841</v>
      </c>
      <c r="B894" s="50" t="s">
        <v>318</v>
      </c>
      <c r="C894" s="50" t="s">
        <v>256</v>
      </c>
      <c r="D894" s="50">
        <v>50</v>
      </c>
      <c r="E894" s="50" t="s">
        <v>837</v>
      </c>
      <c r="F894" s="50" t="s">
        <v>812</v>
      </c>
      <c r="G894" s="50" t="s">
        <v>256</v>
      </c>
      <c r="H894" s="50">
        <v>1</v>
      </c>
      <c r="M894" t="str">
        <f>IF(COUNTIF($A:$A,E894)=0,"Not Exists","Exists")</f>
        <v>Not Exists</v>
      </c>
      <c r="N894" t="str">
        <f t="shared" si="45"/>
        <v>Exists</v>
      </c>
      <c r="O894" t="str">
        <f t="shared" si="43"/>
        <v>Exists</v>
      </c>
      <c r="P894" t="str">
        <f t="shared" si="44"/>
        <v>Exists</v>
      </c>
    </row>
    <row r="895" spans="1:16">
      <c r="A895" s="50" t="s">
        <v>841</v>
      </c>
      <c r="B895" s="50" t="s">
        <v>315</v>
      </c>
      <c r="C895" s="50" t="s">
        <v>251</v>
      </c>
      <c r="D895" s="50">
        <v>17</v>
      </c>
      <c r="E895" s="50" t="s">
        <v>837</v>
      </c>
      <c r="F895" s="50" t="s">
        <v>558</v>
      </c>
      <c r="G895" s="50" t="s">
        <v>256</v>
      </c>
      <c r="H895" s="50">
        <v>4000</v>
      </c>
      <c r="M895" t="str">
        <f>IF(COUNTIF($A:$A,E895)=0,"Not Exists","Exists")</f>
        <v>Not Exists</v>
      </c>
      <c r="N895" t="str">
        <f t="shared" si="45"/>
        <v>Exists</v>
      </c>
      <c r="O895" t="str">
        <f t="shared" si="43"/>
        <v>Exists</v>
      </c>
      <c r="P895" t="str">
        <f t="shared" si="44"/>
        <v>Exists</v>
      </c>
    </row>
    <row r="896" spans="1:16">
      <c r="A896" s="50" t="s">
        <v>841</v>
      </c>
      <c r="B896" s="50" t="s">
        <v>316</v>
      </c>
      <c r="C896" s="50" t="s">
        <v>256</v>
      </c>
      <c r="D896" s="50">
        <v>50</v>
      </c>
      <c r="E896" s="50" t="s">
        <v>837</v>
      </c>
      <c r="F896" s="50" t="s">
        <v>813</v>
      </c>
      <c r="G896" s="50" t="s">
        <v>256</v>
      </c>
      <c r="H896" s="50">
        <v>50</v>
      </c>
      <c r="M896" t="str">
        <f>IF(COUNTIF($A:$A,E896)=0,"Not Exists","Exists")</f>
        <v>Not Exists</v>
      </c>
      <c r="N896" t="str">
        <f t="shared" si="45"/>
        <v>Exists</v>
      </c>
      <c r="O896" t="str">
        <f t="shared" si="43"/>
        <v>Exists</v>
      </c>
      <c r="P896" t="str">
        <f t="shared" si="44"/>
        <v>Exists</v>
      </c>
    </row>
    <row r="897" spans="1:16">
      <c r="A897" s="50" t="s">
        <v>841</v>
      </c>
      <c r="B897" s="50" t="s">
        <v>842</v>
      </c>
      <c r="C897" s="50" t="s">
        <v>256</v>
      </c>
      <c r="D897" s="50">
        <v>450</v>
      </c>
      <c r="E897" s="50" t="s">
        <v>837</v>
      </c>
      <c r="F897" s="50" t="s">
        <v>814</v>
      </c>
      <c r="G897" s="50" t="s">
        <v>256</v>
      </c>
      <c r="H897" s="50">
        <v>17</v>
      </c>
      <c r="M897" t="str">
        <f>IF(COUNTIF($A:$A,E897)=0,"Not Exists","Exists")</f>
        <v>Not Exists</v>
      </c>
      <c r="N897" t="str">
        <f t="shared" si="45"/>
        <v>Exists</v>
      </c>
      <c r="O897" t="str">
        <f t="shared" si="43"/>
        <v>Exists</v>
      </c>
      <c r="P897" t="str">
        <f t="shared" si="44"/>
        <v>Exists</v>
      </c>
    </row>
    <row r="898" spans="1:16">
      <c r="A898" s="50" t="s">
        <v>841</v>
      </c>
      <c r="B898" s="50" t="s">
        <v>780</v>
      </c>
      <c r="C898" s="50" t="s">
        <v>256</v>
      </c>
      <c r="D898" s="50">
        <v>50</v>
      </c>
      <c r="E898" s="50" t="s">
        <v>837</v>
      </c>
      <c r="F898" s="50" t="s">
        <v>674</v>
      </c>
      <c r="G898" s="50" t="s">
        <v>254</v>
      </c>
      <c r="H898" s="50">
        <v>22</v>
      </c>
      <c r="M898" t="str">
        <f>IF(COUNTIF($A:$A,E898)=0,"Not Exists","Exists")</f>
        <v>Not Exists</v>
      </c>
      <c r="N898" t="str">
        <f t="shared" si="45"/>
        <v>Exists</v>
      </c>
      <c r="O898" t="str">
        <f t="shared" si="43"/>
        <v>Exists</v>
      </c>
      <c r="P898" t="str">
        <f t="shared" si="44"/>
        <v>Exists</v>
      </c>
    </row>
    <row r="899" spans="1:16">
      <c r="A899" s="50" t="s">
        <v>841</v>
      </c>
      <c r="B899" s="50" t="s">
        <v>843</v>
      </c>
      <c r="C899" s="50" t="s">
        <v>254</v>
      </c>
      <c r="D899" s="50">
        <v>22</v>
      </c>
      <c r="E899" s="50" t="s">
        <v>837</v>
      </c>
      <c r="F899" s="50" t="s">
        <v>815</v>
      </c>
      <c r="G899" s="50" t="s">
        <v>256</v>
      </c>
      <c r="H899" s="50">
        <v>17</v>
      </c>
      <c r="M899" t="str">
        <f>IF(COUNTIF($A:$A,E899)=0,"Not Exists","Exists")</f>
        <v>Not Exists</v>
      </c>
      <c r="N899" t="str">
        <f t="shared" si="45"/>
        <v>Exists</v>
      </c>
      <c r="O899" t="str">
        <f t="shared" si="43"/>
        <v>Exists</v>
      </c>
      <c r="P899" t="str">
        <f t="shared" si="44"/>
        <v>Exists</v>
      </c>
    </row>
    <row r="900" spans="1:16">
      <c r="A900" s="50" t="s">
        <v>841</v>
      </c>
      <c r="B900" s="50" t="s">
        <v>844</v>
      </c>
      <c r="C900" s="50" t="s">
        <v>256</v>
      </c>
      <c r="D900" s="50">
        <v>50</v>
      </c>
      <c r="E900" s="50" t="s">
        <v>837</v>
      </c>
      <c r="F900" s="50" t="s">
        <v>816</v>
      </c>
      <c r="G900" s="50" t="s">
        <v>256</v>
      </c>
      <c r="H900" s="50">
        <v>17</v>
      </c>
      <c r="M900" t="str">
        <f>IF(COUNTIF($A:$A,E900)=0,"Not Exists","Exists")</f>
        <v>Not Exists</v>
      </c>
      <c r="N900" t="str">
        <f t="shared" si="45"/>
        <v>Exists</v>
      </c>
      <c r="O900" t="str">
        <f t="shared" ref="O900:O963" si="46">IF(COUNTIF($E:$E,A900)=0,"Not Exists","Exists")</f>
        <v>Exists</v>
      </c>
      <c r="P900" t="str">
        <f t="shared" ref="P900:P963" si="47">IF(COUNTIF($F:$F,B900)=0,"Not Exists","Exists")</f>
        <v>Exists</v>
      </c>
    </row>
    <row r="901" spans="1:16">
      <c r="A901" s="50" t="s">
        <v>841</v>
      </c>
      <c r="B901" s="50" t="s">
        <v>845</v>
      </c>
      <c r="C901" s="50" t="s">
        <v>251</v>
      </c>
      <c r="D901" s="50">
        <v>1</v>
      </c>
      <c r="E901" s="50" t="s">
        <v>837</v>
      </c>
      <c r="F901" s="50" t="s">
        <v>817</v>
      </c>
      <c r="G901" s="50" t="s">
        <v>254</v>
      </c>
      <c r="H901" s="50">
        <v>22</v>
      </c>
      <c r="M901" t="str">
        <f>IF(COUNTIF($A:$A,E901)=0,"Not Exists","Exists")</f>
        <v>Not Exists</v>
      </c>
      <c r="N901" t="str">
        <f t="shared" si="45"/>
        <v>Exists</v>
      </c>
      <c r="O901" t="str">
        <f t="shared" si="46"/>
        <v>Exists</v>
      </c>
      <c r="P901" t="str">
        <f t="shared" si="47"/>
        <v>Exists</v>
      </c>
    </row>
    <row r="902" spans="1:16">
      <c r="A902" s="50" t="s">
        <v>841</v>
      </c>
      <c r="B902" s="50" t="s">
        <v>846</v>
      </c>
      <c r="C902" s="50" t="s">
        <v>256</v>
      </c>
      <c r="D902" s="50">
        <v>50</v>
      </c>
      <c r="E902" s="50" t="s">
        <v>837</v>
      </c>
      <c r="F902" s="50" t="s">
        <v>746</v>
      </c>
      <c r="G902" s="50" t="s">
        <v>256</v>
      </c>
      <c r="H902" s="50">
        <v>50</v>
      </c>
      <c r="M902" t="str">
        <f>IF(COUNTIF($A:$A,E902)=0,"Not Exists","Exists")</f>
        <v>Not Exists</v>
      </c>
      <c r="N902" t="str">
        <f t="shared" si="45"/>
        <v>Exists</v>
      </c>
      <c r="O902" t="str">
        <f t="shared" si="46"/>
        <v>Exists</v>
      </c>
      <c r="P902" t="str">
        <f t="shared" si="47"/>
        <v>Exists</v>
      </c>
    </row>
    <row r="903" spans="1:16">
      <c r="A903" s="50" t="s">
        <v>841</v>
      </c>
      <c r="B903" s="50" t="s">
        <v>847</v>
      </c>
      <c r="C903" s="50" t="s">
        <v>254</v>
      </c>
      <c r="D903" s="50">
        <v>22</v>
      </c>
      <c r="E903" s="50" t="s">
        <v>837</v>
      </c>
      <c r="F903" s="50" t="s">
        <v>747</v>
      </c>
      <c r="G903" s="50" t="s">
        <v>256</v>
      </c>
      <c r="H903" s="50">
        <v>50</v>
      </c>
      <c r="M903" t="str">
        <f>IF(COUNTIF($A:$A,E903)=0,"Not Exists","Exists")</f>
        <v>Not Exists</v>
      </c>
      <c r="N903" t="str">
        <f t="shared" si="45"/>
        <v>Exists</v>
      </c>
      <c r="O903" t="str">
        <f t="shared" si="46"/>
        <v>Exists</v>
      </c>
      <c r="P903" t="str">
        <f t="shared" si="47"/>
        <v>Exists</v>
      </c>
    </row>
    <row r="904" spans="1:16">
      <c r="A904" s="50" t="s">
        <v>841</v>
      </c>
      <c r="B904" s="50" t="s">
        <v>848</v>
      </c>
      <c r="C904" s="50" t="s">
        <v>254</v>
      </c>
      <c r="D904" s="50">
        <v>22</v>
      </c>
      <c r="E904" s="50" t="s">
        <v>837</v>
      </c>
      <c r="F904" s="50" t="s">
        <v>748</v>
      </c>
      <c r="G904" s="50" t="s">
        <v>254</v>
      </c>
      <c r="H904" s="50">
        <v>22</v>
      </c>
      <c r="M904" t="str">
        <f>IF(COUNTIF($A:$A,E904)=0,"Not Exists","Exists")</f>
        <v>Not Exists</v>
      </c>
      <c r="N904" t="str">
        <f t="shared" si="45"/>
        <v>Exists</v>
      </c>
      <c r="O904" t="str">
        <f t="shared" si="46"/>
        <v>Exists</v>
      </c>
      <c r="P904" t="str">
        <f t="shared" si="47"/>
        <v>Exists</v>
      </c>
    </row>
    <row r="905" spans="1:16">
      <c r="A905" s="50" t="s">
        <v>841</v>
      </c>
      <c r="B905" s="50" t="s">
        <v>849</v>
      </c>
      <c r="C905" s="50" t="s">
        <v>254</v>
      </c>
      <c r="D905" s="50">
        <v>22</v>
      </c>
      <c r="E905" s="50" t="s">
        <v>837</v>
      </c>
      <c r="F905" s="50" t="s">
        <v>818</v>
      </c>
      <c r="G905" s="50" t="s">
        <v>256</v>
      </c>
      <c r="H905" s="50">
        <v>50</v>
      </c>
      <c r="M905" t="str">
        <f>IF(COUNTIF($A:$A,E905)=0,"Not Exists","Exists")</f>
        <v>Not Exists</v>
      </c>
      <c r="N905" t="str">
        <f t="shared" si="45"/>
        <v>Exists</v>
      </c>
      <c r="O905" t="str">
        <f t="shared" si="46"/>
        <v>Exists</v>
      </c>
      <c r="P905" t="str">
        <f t="shared" si="47"/>
        <v>Exists</v>
      </c>
    </row>
    <row r="906" spans="1:16">
      <c r="A906" s="50" t="s">
        <v>850</v>
      </c>
      <c r="B906" s="50" t="s">
        <v>612</v>
      </c>
      <c r="C906" s="50" t="s">
        <v>256</v>
      </c>
      <c r="D906" s="50">
        <v>50</v>
      </c>
      <c r="E906" s="50" t="s">
        <v>837</v>
      </c>
      <c r="F906" s="50" t="s">
        <v>833</v>
      </c>
      <c r="G906" s="50" t="s">
        <v>254</v>
      </c>
      <c r="H906" s="50">
        <v>22</v>
      </c>
      <c r="M906" t="str">
        <f>IF(COUNTIF($A:$A,E906)=0,"Not Exists","Exists")</f>
        <v>Not Exists</v>
      </c>
      <c r="N906" t="str">
        <f t="shared" si="45"/>
        <v>Not Exists</v>
      </c>
      <c r="O906" t="str">
        <f t="shared" si="46"/>
        <v>Not Exists</v>
      </c>
      <c r="P906" t="str">
        <f t="shared" si="47"/>
        <v>Exists</v>
      </c>
    </row>
    <row r="907" spans="1:16">
      <c r="A907" s="50" t="s">
        <v>850</v>
      </c>
      <c r="B907" s="50" t="s">
        <v>355</v>
      </c>
      <c r="C907" s="50" t="s">
        <v>256</v>
      </c>
      <c r="D907" s="50">
        <v>50</v>
      </c>
      <c r="E907" s="50" t="s">
        <v>837</v>
      </c>
      <c r="F907" s="50" t="s">
        <v>819</v>
      </c>
      <c r="G907" s="50" t="s">
        <v>256</v>
      </c>
      <c r="H907" s="50">
        <v>1</v>
      </c>
      <c r="M907" t="str">
        <f>IF(COUNTIF($A:$A,E907)=0,"Not Exists","Exists")</f>
        <v>Not Exists</v>
      </c>
      <c r="N907" t="str">
        <f t="shared" si="45"/>
        <v>Exists</v>
      </c>
      <c r="O907" t="str">
        <f t="shared" si="46"/>
        <v>Not Exists</v>
      </c>
      <c r="P907" t="str">
        <f t="shared" si="47"/>
        <v>Exists</v>
      </c>
    </row>
    <row r="908" spans="1:16">
      <c r="A908" s="50" t="s">
        <v>850</v>
      </c>
      <c r="B908" s="50" t="s">
        <v>851</v>
      </c>
      <c r="C908" s="50" t="s">
        <v>251</v>
      </c>
      <c r="D908" s="50">
        <v>2</v>
      </c>
      <c r="E908" s="50" t="s">
        <v>837</v>
      </c>
      <c r="F908" s="50" t="s">
        <v>535</v>
      </c>
      <c r="G908" s="50" t="s">
        <v>256</v>
      </c>
      <c r="H908" s="50">
        <v>50</v>
      </c>
      <c r="M908" t="str">
        <f>IF(COUNTIF($A:$A,E908)=0,"Not Exists","Exists")</f>
        <v>Not Exists</v>
      </c>
      <c r="N908" t="str">
        <f t="shared" si="45"/>
        <v>Exists</v>
      </c>
      <c r="O908" t="str">
        <f t="shared" si="46"/>
        <v>Not Exists</v>
      </c>
      <c r="P908" t="str">
        <f t="shared" si="47"/>
        <v>Exists</v>
      </c>
    </row>
    <row r="909" spans="1:16">
      <c r="A909" s="50" t="s">
        <v>850</v>
      </c>
      <c r="B909" s="50" t="s">
        <v>702</v>
      </c>
      <c r="C909" s="50" t="s">
        <v>251</v>
      </c>
      <c r="D909" s="50">
        <v>17</v>
      </c>
      <c r="E909" s="50" t="s">
        <v>837</v>
      </c>
      <c r="F909" s="50" t="s">
        <v>826</v>
      </c>
      <c r="G909" s="50" t="s">
        <v>256</v>
      </c>
      <c r="H909" s="50">
        <v>1</v>
      </c>
      <c r="M909" t="str">
        <f>IF(COUNTIF($A:$A,E909)=0,"Not Exists","Exists")</f>
        <v>Not Exists</v>
      </c>
      <c r="N909" t="str">
        <f t="shared" si="45"/>
        <v>Exists</v>
      </c>
      <c r="O909" t="str">
        <f t="shared" si="46"/>
        <v>Not Exists</v>
      </c>
      <c r="P909" t="str">
        <f t="shared" si="47"/>
        <v>Exists</v>
      </c>
    </row>
    <row r="910" spans="1:16">
      <c r="A910" s="50" t="s">
        <v>850</v>
      </c>
      <c r="B910" s="50" t="s">
        <v>703</v>
      </c>
      <c r="C910" s="50" t="s">
        <v>251</v>
      </c>
      <c r="D910" s="50">
        <v>17</v>
      </c>
      <c r="E910" s="50" t="s">
        <v>837</v>
      </c>
      <c r="F910" s="50" t="s">
        <v>315</v>
      </c>
      <c r="G910" s="50" t="s">
        <v>256</v>
      </c>
      <c r="H910" s="50">
        <v>17</v>
      </c>
      <c r="M910" t="str">
        <f>IF(COUNTIF($A:$A,E910)=0,"Not Exists","Exists")</f>
        <v>Not Exists</v>
      </c>
      <c r="N910" t="str">
        <f t="shared" si="45"/>
        <v>Exists</v>
      </c>
      <c r="O910" t="str">
        <f t="shared" si="46"/>
        <v>Not Exists</v>
      </c>
      <c r="P910" t="str">
        <f t="shared" si="47"/>
        <v>Exists</v>
      </c>
    </row>
    <row r="911" spans="1:16">
      <c r="A911" s="50" t="s">
        <v>850</v>
      </c>
      <c r="B911" s="50" t="s">
        <v>728</v>
      </c>
      <c r="C911" s="50" t="s">
        <v>254</v>
      </c>
      <c r="D911" s="50">
        <v>22</v>
      </c>
      <c r="E911" s="50" t="s">
        <v>837</v>
      </c>
      <c r="F911" s="50" t="s">
        <v>317</v>
      </c>
      <c r="G911" s="50" t="s">
        <v>256</v>
      </c>
      <c r="H911" s="50">
        <v>17</v>
      </c>
      <c r="M911" t="str">
        <f>IF(COUNTIF($A:$A,E911)=0,"Not Exists","Exists")</f>
        <v>Not Exists</v>
      </c>
      <c r="N911" t="str">
        <f t="shared" si="45"/>
        <v>Exists</v>
      </c>
      <c r="O911" t="str">
        <f t="shared" si="46"/>
        <v>Not Exists</v>
      </c>
      <c r="P911" t="str">
        <f t="shared" si="47"/>
        <v>Exists</v>
      </c>
    </row>
    <row r="912" spans="1:16">
      <c r="A912" s="50" t="s">
        <v>850</v>
      </c>
      <c r="B912" s="50" t="s">
        <v>729</v>
      </c>
      <c r="C912" s="50" t="s">
        <v>254</v>
      </c>
      <c r="D912" s="50">
        <v>22</v>
      </c>
      <c r="E912" s="50" t="s">
        <v>837</v>
      </c>
      <c r="F912" s="50" t="s">
        <v>316</v>
      </c>
      <c r="G912" s="50" t="s">
        <v>256</v>
      </c>
      <c r="H912" s="50">
        <v>50</v>
      </c>
      <c r="M912" t="str">
        <f>IF(COUNTIF($A:$A,E912)=0,"Not Exists","Exists")</f>
        <v>Not Exists</v>
      </c>
      <c r="N912" t="str">
        <f t="shared" si="45"/>
        <v>Exists</v>
      </c>
      <c r="O912" t="str">
        <f t="shared" si="46"/>
        <v>Not Exists</v>
      </c>
      <c r="P912" t="str">
        <f t="shared" si="47"/>
        <v>Exists</v>
      </c>
    </row>
    <row r="913" spans="1:16">
      <c r="A913" s="50" t="s">
        <v>850</v>
      </c>
      <c r="B913" s="50" t="s">
        <v>730</v>
      </c>
      <c r="C913" s="50" t="s">
        <v>254</v>
      </c>
      <c r="D913" s="50">
        <v>22</v>
      </c>
      <c r="E913" s="50" t="s">
        <v>837</v>
      </c>
      <c r="F913" s="50" t="s">
        <v>318</v>
      </c>
      <c r="G913" s="50" t="s">
        <v>256</v>
      </c>
      <c r="H913" s="50">
        <v>50</v>
      </c>
      <c r="M913" t="str">
        <f>IF(COUNTIF($A:$A,E913)=0,"Not Exists","Exists")</f>
        <v>Not Exists</v>
      </c>
      <c r="N913" t="str">
        <f t="shared" si="45"/>
        <v>Exists</v>
      </c>
      <c r="O913" t="str">
        <f t="shared" si="46"/>
        <v>Not Exists</v>
      </c>
      <c r="P913" t="str">
        <f t="shared" si="47"/>
        <v>Exists</v>
      </c>
    </row>
    <row r="914" spans="1:16">
      <c r="A914" s="50" t="s">
        <v>850</v>
      </c>
      <c r="B914" s="50" t="s">
        <v>731</v>
      </c>
      <c r="C914" s="50" t="s">
        <v>254</v>
      </c>
      <c r="D914" s="50">
        <v>22</v>
      </c>
      <c r="E914" s="50" t="s">
        <v>852</v>
      </c>
      <c r="F914" s="50" t="s">
        <v>822</v>
      </c>
      <c r="G914" s="50" t="s">
        <v>256</v>
      </c>
      <c r="H914" s="50">
        <v>50</v>
      </c>
      <c r="M914" t="str">
        <f>IF(COUNTIF($A:$A,E914)=0,"Not Exists","Exists")</f>
        <v>Not Exists</v>
      </c>
      <c r="N914" t="str">
        <f t="shared" si="45"/>
        <v>Not Exists</v>
      </c>
      <c r="O914" t="str">
        <f t="shared" si="46"/>
        <v>Not Exists</v>
      </c>
      <c r="P914" t="str">
        <f t="shared" si="47"/>
        <v>Exists</v>
      </c>
    </row>
    <row r="915" spans="1:16">
      <c r="A915" s="50" t="s">
        <v>850</v>
      </c>
      <c r="B915" s="50" t="s">
        <v>776</v>
      </c>
      <c r="C915" s="50" t="s">
        <v>251</v>
      </c>
      <c r="D915" s="50">
        <v>17</v>
      </c>
      <c r="E915" s="50" t="s">
        <v>852</v>
      </c>
      <c r="F915" s="50" t="s">
        <v>355</v>
      </c>
      <c r="G915" s="50" t="s">
        <v>256</v>
      </c>
      <c r="H915" s="50">
        <v>50</v>
      </c>
      <c r="M915" t="str">
        <f>IF(COUNTIF($A:$A,E915)=0,"Not Exists","Exists")</f>
        <v>Not Exists</v>
      </c>
      <c r="N915" t="str">
        <f t="shared" si="45"/>
        <v>Exists</v>
      </c>
      <c r="O915" t="str">
        <f t="shared" si="46"/>
        <v>Not Exists</v>
      </c>
      <c r="P915" t="str">
        <f t="shared" si="47"/>
        <v>Exists</v>
      </c>
    </row>
    <row r="916" spans="1:16">
      <c r="A916" s="50" t="s">
        <v>850</v>
      </c>
      <c r="B916" s="50" t="s">
        <v>853</v>
      </c>
      <c r="C916" s="50" t="s">
        <v>256</v>
      </c>
      <c r="D916" s="50">
        <v>450</v>
      </c>
      <c r="E916" s="50" t="s">
        <v>852</v>
      </c>
      <c r="F916" s="50" t="s">
        <v>851</v>
      </c>
      <c r="G916" s="50" t="s">
        <v>256</v>
      </c>
      <c r="H916" s="50">
        <v>2</v>
      </c>
      <c r="M916" t="str">
        <f>IF(COUNTIF($A:$A,E916)=0,"Not Exists","Exists")</f>
        <v>Not Exists</v>
      </c>
      <c r="N916" t="str">
        <f t="shared" si="45"/>
        <v>Exists</v>
      </c>
      <c r="O916" t="str">
        <f t="shared" si="46"/>
        <v>Not Exists</v>
      </c>
      <c r="P916" t="str">
        <f t="shared" si="47"/>
        <v>Not Exists</v>
      </c>
    </row>
    <row r="917" spans="1:16">
      <c r="A917" s="50" t="s">
        <v>850</v>
      </c>
      <c r="B917" s="50" t="s">
        <v>854</v>
      </c>
      <c r="C917" s="50" t="s">
        <v>256</v>
      </c>
      <c r="D917" s="50">
        <v>450</v>
      </c>
      <c r="E917" s="50" t="s">
        <v>852</v>
      </c>
      <c r="F917" s="50" t="s">
        <v>702</v>
      </c>
      <c r="G917" s="50" t="s">
        <v>256</v>
      </c>
      <c r="H917" s="50">
        <v>17</v>
      </c>
      <c r="M917" t="str">
        <f>IF(COUNTIF($A:$A,E917)=0,"Not Exists","Exists")</f>
        <v>Not Exists</v>
      </c>
      <c r="N917" t="str">
        <f t="shared" si="45"/>
        <v>Exists</v>
      </c>
      <c r="O917" t="str">
        <f t="shared" si="46"/>
        <v>Not Exists</v>
      </c>
      <c r="P917" t="str">
        <f t="shared" si="47"/>
        <v>Exists</v>
      </c>
    </row>
    <row r="918" spans="1:16">
      <c r="A918" s="50" t="s">
        <v>850</v>
      </c>
      <c r="B918" s="50" t="s">
        <v>466</v>
      </c>
      <c r="C918" s="50" t="s">
        <v>251</v>
      </c>
      <c r="D918" s="50">
        <v>1</v>
      </c>
      <c r="E918" s="50" t="s">
        <v>852</v>
      </c>
      <c r="F918" s="50" t="s">
        <v>703</v>
      </c>
      <c r="G918" s="50" t="s">
        <v>256</v>
      </c>
      <c r="H918" s="50">
        <v>17</v>
      </c>
      <c r="M918" t="str">
        <f>IF(COUNTIF($A:$A,E918)=0,"Not Exists","Exists")</f>
        <v>Not Exists</v>
      </c>
      <c r="N918" t="str">
        <f t="shared" si="45"/>
        <v>Exists</v>
      </c>
      <c r="O918" t="str">
        <f t="shared" si="46"/>
        <v>Not Exists</v>
      </c>
      <c r="P918" t="str">
        <f t="shared" si="47"/>
        <v>Exists</v>
      </c>
    </row>
    <row r="919" spans="1:16">
      <c r="A919" s="50" t="s">
        <v>850</v>
      </c>
      <c r="B919" s="50" t="s">
        <v>315</v>
      </c>
      <c r="C919" s="50" t="s">
        <v>251</v>
      </c>
      <c r="D919" s="50">
        <v>17</v>
      </c>
      <c r="E919" s="50" t="s">
        <v>852</v>
      </c>
      <c r="F919" s="50" t="s">
        <v>728</v>
      </c>
      <c r="G919" s="50" t="s">
        <v>254</v>
      </c>
      <c r="H919" s="50">
        <v>22</v>
      </c>
      <c r="M919" t="str">
        <f>IF(COUNTIF($A:$A,E919)=0,"Not Exists","Exists")</f>
        <v>Not Exists</v>
      </c>
      <c r="N919" t="str">
        <f t="shared" si="45"/>
        <v>Exists</v>
      </c>
      <c r="O919" t="str">
        <f t="shared" si="46"/>
        <v>Not Exists</v>
      </c>
      <c r="P919" t="str">
        <f t="shared" si="47"/>
        <v>Exists</v>
      </c>
    </row>
    <row r="920" spans="1:16">
      <c r="A920" s="50" t="s">
        <v>850</v>
      </c>
      <c r="B920" s="50" t="s">
        <v>317</v>
      </c>
      <c r="C920" s="50" t="s">
        <v>251</v>
      </c>
      <c r="D920" s="50">
        <v>17</v>
      </c>
      <c r="E920" s="50" t="s">
        <v>852</v>
      </c>
      <c r="F920" s="50" t="s">
        <v>729</v>
      </c>
      <c r="G920" s="50" t="s">
        <v>254</v>
      </c>
      <c r="H920" s="50">
        <v>22</v>
      </c>
      <c r="M920" t="str">
        <f>IF(COUNTIF($A:$A,E920)=0,"Not Exists","Exists")</f>
        <v>Not Exists</v>
      </c>
      <c r="N920" t="str">
        <f t="shared" si="45"/>
        <v>Exists</v>
      </c>
      <c r="O920" t="str">
        <f t="shared" si="46"/>
        <v>Not Exists</v>
      </c>
      <c r="P920" t="str">
        <f t="shared" si="47"/>
        <v>Exists</v>
      </c>
    </row>
    <row r="921" spans="1:16">
      <c r="A921" s="50" t="s">
        <v>850</v>
      </c>
      <c r="B921" s="50" t="s">
        <v>316</v>
      </c>
      <c r="C921" s="50" t="s">
        <v>256</v>
      </c>
      <c r="D921" s="50">
        <v>50</v>
      </c>
      <c r="E921" s="50" t="s">
        <v>852</v>
      </c>
      <c r="F921" s="50" t="s">
        <v>730</v>
      </c>
      <c r="G921" s="50" t="s">
        <v>254</v>
      </c>
      <c r="H921" s="50">
        <v>22</v>
      </c>
      <c r="M921" t="str">
        <f>IF(COUNTIF($A:$A,E921)=0,"Not Exists","Exists")</f>
        <v>Not Exists</v>
      </c>
      <c r="N921" t="str">
        <f t="shared" si="45"/>
        <v>Exists</v>
      </c>
      <c r="O921" t="str">
        <f t="shared" si="46"/>
        <v>Not Exists</v>
      </c>
      <c r="P921" t="str">
        <f t="shared" si="47"/>
        <v>Exists</v>
      </c>
    </row>
    <row r="922" spans="1:16">
      <c r="A922" s="50" t="s">
        <v>850</v>
      </c>
      <c r="B922" s="50" t="s">
        <v>318</v>
      </c>
      <c r="C922" s="50" t="s">
        <v>256</v>
      </c>
      <c r="D922" s="50">
        <v>50</v>
      </c>
      <c r="E922" s="50" t="s">
        <v>852</v>
      </c>
      <c r="F922" s="50" t="s">
        <v>731</v>
      </c>
      <c r="G922" s="50" t="s">
        <v>254</v>
      </c>
      <c r="H922" s="50">
        <v>22</v>
      </c>
      <c r="M922" t="str">
        <f>IF(COUNTIF($A:$A,E922)=0,"Not Exists","Exists")</f>
        <v>Not Exists</v>
      </c>
      <c r="N922" t="str">
        <f t="shared" si="45"/>
        <v>Exists</v>
      </c>
      <c r="O922" t="str">
        <f t="shared" si="46"/>
        <v>Not Exists</v>
      </c>
      <c r="P922" t="str">
        <f t="shared" si="47"/>
        <v>Exists</v>
      </c>
    </row>
    <row r="923" spans="1:16">
      <c r="A923" s="50" t="s">
        <v>850</v>
      </c>
      <c r="B923" s="50" t="s">
        <v>436</v>
      </c>
      <c r="C923" s="50" t="s">
        <v>256</v>
      </c>
      <c r="D923" s="50">
        <v>50</v>
      </c>
      <c r="E923" s="50" t="s">
        <v>852</v>
      </c>
      <c r="F923" s="50" t="s">
        <v>776</v>
      </c>
      <c r="G923" s="50" t="s">
        <v>256</v>
      </c>
      <c r="H923" s="50">
        <v>17</v>
      </c>
      <c r="M923" t="str">
        <f>IF(COUNTIF($A:$A,E923)=0,"Not Exists","Exists")</f>
        <v>Not Exists</v>
      </c>
      <c r="N923" t="str">
        <f t="shared" ref="N923:N986" si="48">IF(COUNTIF($A:$B,F923)=0,"Not Exists","Exists")</f>
        <v>Exists</v>
      </c>
      <c r="O923" t="str">
        <f t="shared" si="46"/>
        <v>Not Exists</v>
      </c>
      <c r="P923" t="str">
        <f t="shared" si="47"/>
        <v>Not Exists</v>
      </c>
    </row>
    <row r="924" spans="1:16">
      <c r="A924" s="50" t="s">
        <v>850</v>
      </c>
      <c r="B924" s="50" t="s">
        <v>855</v>
      </c>
      <c r="C924" s="50" t="s">
        <v>256</v>
      </c>
      <c r="D924" s="50">
        <v>450</v>
      </c>
      <c r="E924" s="50" t="s">
        <v>852</v>
      </c>
      <c r="F924" s="50" t="s">
        <v>855</v>
      </c>
      <c r="G924" s="50" t="s">
        <v>256</v>
      </c>
      <c r="H924" s="50">
        <v>450</v>
      </c>
      <c r="M924" t="str">
        <f>IF(COUNTIF($A:$A,E924)=0,"Not Exists","Exists")</f>
        <v>Not Exists</v>
      </c>
      <c r="N924" t="str">
        <f t="shared" si="48"/>
        <v>Exists</v>
      </c>
      <c r="O924" t="str">
        <f t="shared" si="46"/>
        <v>Not Exists</v>
      </c>
      <c r="P924" t="str">
        <f t="shared" si="47"/>
        <v>Exists</v>
      </c>
    </row>
    <row r="925" spans="1:16">
      <c r="A925" s="50" t="s">
        <v>856</v>
      </c>
      <c r="B925" s="50" t="s">
        <v>857</v>
      </c>
      <c r="C925" s="50" t="s">
        <v>256</v>
      </c>
      <c r="D925" s="50">
        <v>50</v>
      </c>
      <c r="E925" s="50" t="s">
        <v>852</v>
      </c>
      <c r="F925" s="50" t="s">
        <v>854</v>
      </c>
      <c r="G925" s="50" t="s">
        <v>256</v>
      </c>
      <c r="H925" s="50">
        <v>450</v>
      </c>
      <c r="M925" t="str">
        <f>IF(COUNTIF($A:$A,E925)=0,"Not Exists","Exists")</f>
        <v>Not Exists</v>
      </c>
      <c r="N925" t="str">
        <f t="shared" si="48"/>
        <v>Exists</v>
      </c>
      <c r="O925" t="str">
        <f t="shared" si="46"/>
        <v>Not Exists</v>
      </c>
      <c r="P925" t="str">
        <f t="shared" si="47"/>
        <v>Not Exists</v>
      </c>
    </row>
    <row r="926" spans="1:16">
      <c r="A926" s="50" t="s">
        <v>856</v>
      </c>
      <c r="B926" s="50" t="s">
        <v>390</v>
      </c>
      <c r="C926" s="50" t="s">
        <v>256</v>
      </c>
      <c r="D926" s="50">
        <v>4000</v>
      </c>
      <c r="E926" s="50" t="s">
        <v>852</v>
      </c>
      <c r="F926" s="50" t="s">
        <v>315</v>
      </c>
      <c r="G926" s="50" t="s">
        <v>256</v>
      </c>
      <c r="H926" s="50">
        <v>17</v>
      </c>
      <c r="M926" t="str">
        <f>IF(COUNTIF($A:$A,E926)=0,"Not Exists","Exists")</f>
        <v>Not Exists</v>
      </c>
      <c r="N926" t="str">
        <f t="shared" si="48"/>
        <v>Exists</v>
      </c>
      <c r="O926" t="str">
        <f t="shared" si="46"/>
        <v>Not Exists</v>
      </c>
      <c r="P926" t="str">
        <f t="shared" si="47"/>
        <v>Exists</v>
      </c>
    </row>
    <row r="927" spans="1:16">
      <c r="A927" s="50" t="s">
        <v>856</v>
      </c>
      <c r="B927" s="50" t="s">
        <v>858</v>
      </c>
      <c r="C927" s="50" t="s">
        <v>256</v>
      </c>
      <c r="D927" s="50">
        <v>3000</v>
      </c>
      <c r="E927" s="50" t="s">
        <v>852</v>
      </c>
      <c r="F927" s="50" t="s">
        <v>317</v>
      </c>
      <c r="G927" s="50" t="s">
        <v>256</v>
      </c>
      <c r="H927" s="50">
        <v>17</v>
      </c>
      <c r="M927" t="str">
        <f>IF(COUNTIF($A:$A,E927)=0,"Not Exists","Exists")</f>
        <v>Not Exists</v>
      </c>
      <c r="N927" t="str">
        <f t="shared" si="48"/>
        <v>Exists</v>
      </c>
      <c r="O927" t="str">
        <f t="shared" si="46"/>
        <v>Not Exists</v>
      </c>
      <c r="P927" t="str">
        <f t="shared" si="47"/>
        <v>Not Exists</v>
      </c>
    </row>
    <row r="928" spans="1:16">
      <c r="A928" s="50" t="s">
        <v>856</v>
      </c>
      <c r="B928" s="50" t="s">
        <v>315</v>
      </c>
      <c r="C928" s="50" t="s">
        <v>251</v>
      </c>
      <c r="D928" s="50">
        <v>17</v>
      </c>
      <c r="E928" s="50" t="s">
        <v>852</v>
      </c>
      <c r="F928" s="50" t="s">
        <v>316</v>
      </c>
      <c r="G928" s="50" t="s">
        <v>256</v>
      </c>
      <c r="H928" s="50">
        <v>50</v>
      </c>
      <c r="M928" t="str">
        <f>IF(COUNTIF($A:$A,E928)=0,"Not Exists","Exists")</f>
        <v>Not Exists</v>
      </c>
      <c r="N928" t="str">
        <f t="shared" si="48"/>
        <v>Exists</v>
      </c>
      <c r="O928" t="str">
        <f t="shared" si="46"/>
        <v>Not Exists</v>
      </c>
      <c r="P928" t="str">
        <f t="shared" si="47"/>
        <v>Exists</v>
      </c>
    </row>
    <row r="929" spans="1:16">
      <c r="A929" s="50" t="s">
        <v>856</v>
      </c>
      <c r="B929" s="50" t="s">
        <v>859</v>
      </c>
      <c r="C929" s="50" t="s">
        <v>256</v>
      </c>
      <c r="D929" s="50">
        <v>50</v>
      </c>
      <c r="E929" s="50" t="s">
        <v>852</v>
      </c>
      <c r="F929" s="50" t="s">
        <v>318</v>
      </c>
      <c r="G929" s="50" t="s">
        <v>256</v>
      </c>
      <c r="H929" s="50">
        <v>50</v>
      </c>
      <c r="M929" t="str">
        <f>IF(COUNTIF($A:$A,E929)=0,"Not Exists","Exists")</f>
        <v>Not Exists</v>
      </c>
      <c r="N929" t="str">
        <f t="shared" si="48"/>
        <v>Exists</v>
      </c>
      <c r="O929" t="str">
        <f t="shared" si="46"/>
        <v>Not Exists</v>
      </c>
      <c r="P929" t="str">
        <f t="shared" si="47"/>
        <v>Exists</v>
      </c>
    </row>
    <row r="930" spans="1:16">
      <c r="A930" s="50" t="s">
        <v>856</v>
      </c>
      <c r="B930" s="50" t="s">
        <v>317</v>
      </c>
      <c r="C930" s="50" t="s">
        <v>251</v>
      </c>
      <c r="D930" s="50">
        <v>17</v>
      </c>
      <c r="E930" s="50" t="s">
        <v>860</v>
      </c>
      <c r="F930" s="50" t="s">
        <v>822</v>
      </c>
      <c r="G930" s="50" t="s">
        <v>256</v>
      </c>
      <c r="H930" s="50">
        <v>50</v>
      </c>
      <c r="M930" t="str">
        <f>IF(COUNTIF($A:$A,E930)=0,"Not Exists","Exists")</f>
        <v>Not Exists</v>
      </c>
      <c r="N930" t="str">
        <f t="shared" si="48"/>
        <v>Not Exists</v>
      </c>
      <c r="O930" t="str">
        <f t="shared" si="46"/>
        <v>Not Exists</v>
      </c>
      <c r="P930" t="str">
        <f t="shared" si="47"/>
        <v>Exists</v>
      </c>
    </row>
    <row r="931" spans="1:16">
      <c r="A931" s="50" t="s">
        <v>856</v>
      </c>
      <c r="B931" s="50" t="s">
        <v>861</v>
      </c>
      <c r="C931" s="50" t="s">
        <v>256</v>
      </c>
      <c r="D931" s="50">
        <v>50</v>
      </c>
      <c r="E931" s="50" t="s">
        <v>860</v>
      </c>
      <c r="F931" s="50" t="s">
        <v>355</v>
      </c>
      <c r="G931" s="50" t="s">
        <v>256</v>
      </c>
      <c r="H931" s="50">
        <v>50</v>
      </c>
      <c r="M931" t="str">
        <f>IF(COUNTIF($A:$A,E931)=0,"Not Exists","Exists")</f>
        <v>Not Exists</v>
      </c>
      <c r="N931" t="str">
        <f t="shared" si="48"/>
        <v>Exists</v>
      </c>
      <c r="O931" t="str">
        <f t="shared" si="46"/>
        <v>Not Exists</v>
      </c>
      <c r="P931" t="str">
        <f t="shared" si="47"/>
        <v>Exists</v>
      </c>
    </row>
    <row r="932" spans="1:16">
      <c r="A932" s="50" t="s">
        <v>856</v>
      </c>
      <c r="B932" s="50" t="s">
        <v>436</v>
      </c>
      <c r="C932" s="50" t="s">
        <v>256</v>
      </c>
      <c r="D932" s="50">
        <v>50</v>
      </c>
      <c r="E932" s="50" t="s">
        <v>860</v>
      </c>
      <c r="F932" s="50" t="s">
        <v>851</v>
      </c>
      <c r="G932" s="50" t="s">
        <v>256</v>
      </c>
      <c r="H932" s="50">
        <v>2</v>
      </c>
      <c r="M932" t="str">
        <f>IF(COUNTIF($A:$A,E932)=0,"Not Exists","Exists")</f>
        <v>Not Exists</v>
      </c>
      <c r="N932" t="str">
        <f t="shared" si="48"/>
        <v>Exists</v>
      </c>
      <c r="O932" t="str">
        <f t="shared" si="46"/>
        <v>Not Exists</v>
      </c>
      <c r="P932" t="str">
        <f t="shared" si="47"/>
        <v>Not Exists</v>
      </c>
    </row>
    <row r="933" spans="1:16">
      <c r="A933" s="50" t="s">
        <v>862</v>
      </c>
      <c r="B933" s="50" t="s">
        <v>736</v>
      </c>
      <c r="C933" s="50" t="s">
        <v>254</v>
      </c>
      <c r="D933" s="50">
        <v>22</v>
      </c>
      <c r="E933" s="50" t="s">
        <v>860</v>
      </c>
      <c r="F933" s="50" t="s">
        <v>702</v>
      </c>
      <c r="G933" s="50" t="s">
        <v>256</v>
      </c>
      <c r="H933" s="50">
        <v>17</v>
      </c>
      <c r="M933" t="str">
        <f>IF(COUNTIF($A:$A,E933)=0,"Not Exists","Exists")</f>
        <v>Not Exists</v>
      </c>
      <c r="N933" t="str">
        <f t="shared" si="48"/>
        <v>Exists</v>
      </c>
      <c r="O933" t="str">
        <f t="shared" si="46"/>
        <v>Exists</v>
      </c>
      <c r="P933" t="str">
        <f t="shared" si="47"/>
        <v>Not Exists</v>
      </c>
    </row>
    <row r="934" spans="1:16">
      <c r="A934" s="50" t="s">
        <v>862</v>
      </c>
      <c r="B934" s="50" t="s">
        <v>811</v>
      </c>
      <c r="C934" s="50" t="s">
        <v>254</v>
      </c>
      <c r="D934" s="50">
        <v>22</v>
      </c>
      <c r="E934" s="50" t="s">
        <v>860</v>
      </c>
      <c r="F934" s="50" t="s">
        <v>703</v>
      </c>
      <c r="G934" s="50" t="s">
        <v>256</v>
      </c>
      <c r="H934" s="50">
        <v>17</v>
      </c>
      <c r="M934" t="str">
        <f>IF(COUNTIF($A:$A,E934)=0,"Not Exists","Exists")</f>
        <v>Not Exists</v>
      </c>
      <c r="N934" t="str">
        <f t="shared" si="48"/>
        <v>Exists</v>
      </c>
      <c r="O934" t="str">
        <f t="shared" si="46"/>
        <v>Exists</v>
      </c>
      <c r="P934" t="str">
        <f t="shared" si="47"/>
        <v>Not Exists</v>
      </c>
    </row>
    <row r="935" spans="1:16">
      <c r="A935" s="50" t="s">
        <v>862</v>
      </c>
      <c r="B935" s="50" t="s">
        <v>466</v>
      </c>
      <c r="C935" s="50" t="s">
        <v>251</v>
      </c>
      <c r="D935" s="50">
        <v>1</v>
      </c>
      <c r="E935" s="50" t="s">
        <v>860</v>
      </c>
      <c r="F935" s="50" t="s">
        <v>728</v>
      </c>
      <c r="G935" s="50" t="s">
        <v>254</v>
      </c>
      <c r="H935" s="50">
        <v>22</v>
      </c>
      <c r="M935" t="str">
        <f>IF(COUNTIF($A:$A,E935)=0,"Not Exists","Exists")</f>
        <v>Not Exists</v>
      </c>
      <c r="N935" t="str">
        <f t="shared" si="48"/>
        <v>Exists</v>
      </c>
      <c r="O935" t="str">
        <f t="shared" si="46"/>
        <v>Exists</v>
      </c>
      <c r="P935" t="str">
        <f t="shared" si="47"/>
        <v>Exists</v>
      </c>
    </row>
    <row r="936" spans="1:16">
      <c r="A936" s="50" t="s">
        <v>862</v>
      </c>
      <c r="B936" s="50" t="s">
        <v>863</v>
      </c>
      <c r="C936" s="50" t="s">
        <v>251</v>
      </c>
      <c r="D936" s="50">
        <v>1</v>
      </c>
      <c r="E936" s="50" t="s">
        <v>860</v>
      </c>
      <c r="F936" s="50" t="s">
        <v>729</v>
      </c>
      <c r="G936" s="50" t="s">
        <v>254</v>
      </c>
      <c r="H936" s="50">
        <v>22</v>
      </c>
      <c r="M936" t="str">
        <f>IF(COUNTIF($A:$A,E936)=0,"Not Exists","Exists")</f>
        <v>Not Exists</v>
      </c>
      <c r="N936" t="str">
        <f t="shared" si="48"/>
        <v>Exists</v>
      </c>
      <c r="O936" t="str">
        <f t="shared" si="46"/>
        <v>Exists</v>
      </c>
      <c r="P936" t="str">
        <f t="shared" si="47"/>
        <v>Exists</v>
      </c>
    </row>
    <row r="937" spans="1:16">
      <c r="A937" s="50" t="s">
        <v>862</v>
      </c>
      <c r="B937" s="50" t="s">
        <v>712</v>
      </c>
      <c r="C937" s="50" t="s">
        <v>256</v>
      </c>
      <c r="D937" s="50">
        <v>50</v>
      </c>
      <c r="E937" s="50" t="s">
        <v>860</v>
      </c>
      <c r="F937" s="50" t="s">
        <v>730</v>
      </c>
      <c r="G937" s="50" t="s">
        <v>254</v>
      </c>
      <c r="H937" s="50">
        <v>22</v>
      </c>
      <c r="M937" t="str">
        <f>IF(COUNTIF($A:$A,E937)=0,"Not Exists","Exists")</f>
        <v>Not Exists</v>
      </c>
      <c r="N937" t="str">
        <f t="shared" si="48"/>
        <v>Exists</v>
      </c>
      <c r="O937" t="str">
        <f t="shared" si="46"/>
        <v>Exists</v>
      </c>
      <c r="P937" t="str">
        <f t="shared" si="47"/>
        <v>Exists</v>
      </c>
    </row>
    <row r="938" spans="1:16">
      <c r="A938" s="50" t="s">
        <v>862</v>
      </c>
      <c r="B938" s="50" t="s">
        <v>701</v>
      </c>
      <c r="C938" s="50" t="s">
        <v>256</v>
      </c>
      <c r="D938" s="50">
        <v>450</v>
      </c>
      <c r="E938" s="50" t="s">
        <v>860</v>
      </c>
      <c r="F938" s="50" t="s">
        <v>731</v>
      </c>
      <c r="G938" s="50" t="s">
        <v>254</v>
      </c>
      <c r="H938" s="50">
        <v>22</v>
      </c>
      <c r="M938" t="str">
        <f>IF(COUNTIF($A:$A,E938)=0,"Not Exists","Exists")</f>
        <v>Not Exists</v>
      </c>
      <c r="N938" t="str">
        <f t="shared" si="48"/>
        <v>Exists</v>
      </c>
      <c r="O938" t="str">
        <f t="shared" si="46"/>
        <v>Exists</v>
      </c>
      <c r="P938" t="str">
        <f t="shared" si="47"/>
        <v>Exists</v>
      </c>
    </row>
    <row r="939" spans="1:16">
      <c r="A939" s="50" t="s">
        <v>862</v>
      </c>
      <c r="B939" s="50" t="s">
        <v>864</v>
      </c>
      <c r="C939" s="50" t="s">
        <v>256</v>
      </c>
      <c r="D939" s="50">
        <v>450</v>
      </c>
      <c r="E939" s="50" t="s">
        <v>860</v>
      </c>
      <c r="F939" s="50" t="s">
        <v>776</v>
      </c>
      <c r="G939" s="50" t="s">
        <v>256</v>
      </c>
      <c r="H939" s="50">
        <v>17</v>
      </c>
      <c r="M939" t="str">
        <f>IF(COUNTIF($A:$A,E939)=0,"Not Exists","Exists")</f>
        <v>Not Exists</v>
      </c>
      <c r="N939" t="str">
        <f t="shared" si="48"/>
        <v>Exists</v>
      </c>
      <c r="O939" t="str">
        <f t="shared" si="46"/>
        <v>Exists</v>
      </c>
      <c r="P939" t="str">
        <f t="shared" si="47"/>
        <v>Exists</v>
      </c>
    </row>
    <row r="940" spans="1:16">
      <c r="A940" s="50" t="s">
        <v>862</v>
      </c>
      <c r="B940" s="50" t="s">
        <v>865</v>
      </c>
      <c r="C940" s="50" t="s">
        <v>256</v>
      </c>
      <c r="D940" s="50">
        <v>450</v>
      </c>
      <c r="E940" s="50" t="s">
        <v>860</v>
      </c>
      <c r="F940" s="50" t="s">
        <v>855</v>
      </c>
      <c r="G940" s="50" t="s">
        <v>256</v>
      </c>
      <c r="H940" s="50">
        <v>450</v>
      </c>
      <c r="M940" t="str">
        <f>IF(COUNTIF($A:$A,E940)=0,"Not Exists","Exists")</f>
        <v>Not Exists</v>
      </c>
      <c r="N940" t="str">
        <f t="shared" si="48"/>
        <v>Exists</v>
      </c>
      <c r="O940" t="str">
        <f t="shared" si="46"/>
        <v>Exists</v>
      </c>
      <c r="P940" t="str">
        <f t="shared" si="47"/>
        <v>Exists</v>
      </c>
    </row>
    <row r="941" spans="1:16">
      <c r="A941" s="50" t="s">
        <v>862</v>
      </c>
      <c r="B941" s="50" t="s">
        <v>866</v>
      </c>
      <c r="C941" s="50" t="s">
        <v>256</v>
      </c>
      <c r="D941" s="50">
        <v>450</v>
      </c>
      <c r="E941" s="50" t="s">
        <v>860</v>
      </c>
      <c r="F941" s="50" t="s">
        <v>854</v>
      </c>
      <c r="G941" s="50" t="s">
        <v>256</v>
      </c>
      <c r="H941" s="50">
        <v>450</v>
      </c>
      <c r="M941" t="str">
        <f>IF(COUNTIF($A:$A,E941)=0,"Not Exists","Exists")</f>
        <v>Not Exists</v>
      </c>
      <c r="N941" t="str">
        <f t="shared" si="48"/>
        <v>Exists</v>
      </c>
      <c r="O941" t="str">
        <f t="shared" si="46"/>
        <v>Exists</v>
      </c>
      <c r="P941" t="str">
        <f t="shared" si="47"/>
        <v>Exists</v>
      </c>
    </row>
    <row r="942" spans="1:16">
      <c r="A942" s="50" t="s">
        <v>862</v>
      </c>
      <c r="B942" s="50" t="s">
        <v>867</v>
      </c>
      <c r="C942" s="50" t="s">
        <v>254</v>
      </c>
      <c r="D942" s="50">
        <v>22</v>
      </c>
      <c r="E942" s="50" t="s">
        <v>860</v>
      </c>
      <c r="F942" s="50" t="s">
        <v>466</v>
      </c>
      <c r="G942" s="50" t="s">
        <v>256</v>
      </c>
      <c r="H942" s="50">
        <v>1</v>
      </c>
      <c r="M942" t="str">
        <f>IF(COUNTIF($A:$A,E942)=0,"Not Exists","Exists")</f>
        <v>Not Exists</v>
      </c>
      <c r="N942" t="str">
        <f t="shared" si="48"/>
        <v>Exists</v>
      </c>
      <c r="O942" t="str">
        <f t="shared" si="46"/>
        <v>Exists</v>
      </c>
      <c r="P942" t="str">
        <f t="shared" si="47"/>
        <v>Exists</v>
      </c>
    </row>
    <row r="943" spans="1:16">
      <c r="A943" s="50" t="s">
        <v>862</v>
      </c>
      <c r="B943" s="50" t="s">
        <v>868</v>
      </c>
      <c r="C943" s="50" t="s">
        <v>251</v>
      </c>
      <c r="D943" s="50">
        <v>1</v>
      </c>
      <c r="E943" s="50" t="s">
        <v>860</v>
      </c>
      <c r="F943" s="50" t="s">
        <v>315</v>
      </c>
      <c r="G943" s="50" t="s">
        <v>256</v>
      </c>
      <c r="H943" s="50">
        <v>17</v>
      </c>
      <c r="M943" t="str">
        <f>IF(COUNTIF($A:$A,E943)=0,"Not Exists","Exists")</f>
        <v>Not Exists</v>
      </c>
      <c r="N943" t="str">
        <f t="shared" si="48"/>
        <v>Exists</v>
      </c>
      <c r="O943" t="str">
        <f t="shared" si="46"/>
        <v>Exists</v>
      </c>
      <c r="P943" t="str">
        <f t="shared" si="47"/>
        <v>Exists</v>
      </c>
    </row>
    <row r="944" spans="1:16">
      <c r="A944" s="50" t="s">
        <v>862</v>
      </c>
      <c r="B944" s="50" t="s">
        <v>869</v>
      </c>
      <c r="C944" s="50" t="s">
        <v>254</v>
      </c>
      <c r="D944" s="50">
        <v>22</v>
      </c>
      <c r="E944" s="50" t="s">
        <v>860</v>
      </c>
      <c r="F944" s="50" t="s">
        <v>317</v>
      </c>
      <c r="G944" s="50" t="s">
        <v>256</v>
      </c>
      <c r="H944" s="50">
        <v>17</v>
      </c>
      <c r="M944" t="str">
        <f>IF(COUNTIF($A:$A,E944)=0,"Not Exists","Exists")</f>
        <v>Not Exists</v>
      </c>
      <c r="N944" t="str">
        <f t="shared" si="48"/>
        <v>Exists</v>
      </c>
      <c r="O944" t="str">
        <f t="shared" si="46"/>
        <v>Exists</v>
      </c>
      <c r="P944" t="str">
        <f t="shared" si="47"/>
        <v>Exists</v>
      </c>
    </row>
    <row r="945" spans="1:16">
      <c r="A945" s="50" t="s">
        <v>862</v>
      </c>
      <c r="B945" s="50" t="s">
        <v>826</v>
      </c>
      <c r="C945" s="50" t="s">
        <v>251</v>
      </c>
      <c r="D945" s="50">
        <v>1</v>
      </c>
      <c r="E945" s="50" t="s">
        <v>860</v>
      </c>
      <c r="F945" s="50" t="s">
        <v>316</v>
      </c>
      <c r="G945" s="50" t="s">
        <v>256</v>
      </c>
      <c r="H945" s="50">
        <v>50</v>
      </c>
      <c r="M945" t="str">
        <f>IF(COUNTIF($A:$A,E945)=0,"Not Exists","Exists")</f>
        <v>Not Exists</v>
      </c>
      <c r="N945" t="str">
        <f t="shared" si="48"/>
        <v>Exists</v>
      </c>
      <c r="O945" t="str">
        <f t="shared" si="46"/>
        <v>Exists</v>
      </c>
      <c r="P945" t="str">
        <f t="shared" si="47"/>
        <v>Exists</v>
      </c>
    </row>
    <row r="946" spans="1:16">
      <c r="A946" s="50" t="s">
        <v>862</v>
      </c>
      <c r="B946" s="50" t="s">
        <v>870</v>
      </c>
      <c r="C946" s="50" t="s">
        <v>254</v>
      </c>
      <c r="D946" s="50">
        <v>22</v>
      </c>
      <c r="E946" s="50" t="s">
        <v>860</v>
      </c>
      <c r="F946" s="50" t="s">
        <v>318</v>
      </c>
      <c r="G946" s="50" t="s">
        <v>256</v>
      </c>
      <c r="H946" s="50">
        <v>50</v>
      </c>
      <c r="M946" t="str">
        <f>IF(COUNTIF($A:$A,E946)=0,"Not Exists","Exists")</f>
        <v>Not Exists</v>
      </c>
      <c r="N946" t="str">
        <f t="shared" si="48"/>
        <v>Exists</v>
      </c>
      <c r="O946" t="str">
        <f t="shared" si="46"/>
        <v>Exists</v>
      </c>
      <c r="P946" t="str">
        <f t="shared" si="47"/>
        <v>Exists</v>
      </c>
    </row>
    <row r="947" spans="1:16">
      <c r="A947" s="50" t="s">
        <v>862</v>
      </c>
      <c r="B947" s="50" t="s">
        <v>315</v>
      </c>
      <c r="C947" s="50" t="s">
        <v>251</v>
      </c>
      <c r="D947" s="50">
        <v>17</v>
      </c>
      <c r="E947" s="50" t="s">
        <v>871</v>
      </c>
      <c r="F947" s="50" t="s">
        <v>822</v>
      </c>
      <c r="G947" s="50" t="s">
        <v>256</v>
      </c>
      <c r="H947" s="50">
        <v>50</v>
      </c>
      <c r="M947" t="str">
        <f>IF(COUNTIF($A:$A,E947)=0,"Not Exists","Exists")</f>
        <v>Not Exists</v>
      </c>
      <c r="N947" t="str">
        <f t="shared" si="48"/>
        <v>Not Exists</v>
      </c>
      <c r="O947" t="str">
        <f t="shared" si="46"/>
        <v>Exists</v>
      </c>
      <c r="P947" t="str">
        <f t="shared" si="47"/>
        <v>Exists</v>
      </c>
    </row>
    <row r="948" spans="1:16">
      <c r="A948" s="50" t="s">
        <v>862</v>
      </c>
      <c r="B948" s="50" t="s">
        <v>317</v>
      </c>
      <c r="C948" s="50" t="s">
        <v>251</v>
      </c>
      <c r="D948" s="50">
        <v>17</v>
      </c>
      <c r="E948" s="50" t="s">
        <v>871</v>
      </c>
      <c r="F948" s="50" t="s">
        <v>872</v>
      </c>
      <c r="G948" s="50" t="s">
        <v>256</v>
      </c>
      <c r="H948" s="50">
        <v>2</v>
      </c>
      <c r="M948" t="str">
        <f>IF(COUNTIF($A:$A,E948)=0,"Not Exists","Exists")</f>
        <v>Not Exists</v>
      </c>
      <c r="N948" t="str">
        <f t="shared" si="48"/>
        <v>Not Exists</v>
      </c>
      <c r="O948" t="str">
        <f t="shared" si="46"/>
        <v>Exists</v>
      </c>
      <c r="P948" t="str">
        <f t="shared" si="47"/>
        <v>Exists</v>
      </c>
    </row>
    <row r="949" spans="1:16">
      <c r="A949" s="50" t="s">
        <v>862</v>
      </c>
      <c r="B949" s="50" t="s">
        <v>316</v>
      </c>
      <c r="C949" s="50" t="s">
        <v>256</v>
      </c>
      <c r="D949" s="50">
        <v>50</v>
      </c>
      <c r="E949" s="50" t="s">
        <v>871</v>
      </c>
      <c r="F949" s="50" t="s">
        <v>873</v>
      </c>
      <c r="G949" s="50" t="s">
        <v>256</v>
      </c>
      <c r="H949" s="50">
        <v>50</v>
      </c>
      <c r="M949" t="str">
        <f>IF(COUNTIF($A:$A,E949)=0,"Not Exists","Exists")</f>
        <v>Not Exists</v>
      </c>
      <c r="N949" t="str">
        <f t="shared" si="48"/>
        <v>Not Exists</v>
      </c>
      <c r="O949" t="str">
        <f t="shared" si="46"/>
        <v>Exists</v>
      </c>
      <c r="P949" t="str">
        <f t="shared" si="47"/>
        <v>Exists</v>
      </c>
    </row>
    <row r="950" spans="1:16">
      <c r="A950" s="50" t="s">
        <v>862</v>
      </c>
      <c r="B950" s="50" t="s">
        <v>318</v>
      </c>
      <c r="C950" s="50" t="s">
        <v>256</v>
      </c>
      <c r="D950" s="50">
        <v>50</v>
      </c>
      <c r="E950" s="50" t="s">
        <v>871</v>
      </c>
      <c r="F950" s="50" t="s">
        <v>701</v>
      </c>
      <c r="G950" s="50" t="s">
        <v>256</v>
      </c>
      <c r="H950" s="50">
        <v>50</v>
      </c>
      <c r="M950" t="str">
        <f>IF(COUNTIF($A:$A,E950)=0,"Not Exists","Exists")</f>
        <v>Not Exists</v>
      </c>
      <c r="N950" t="str">
        <f t="shared" si="48"/>
        <v>Exists</v>
      </c>
      <c r="O950" t="str">
        <f t="shared" si="46"/>
        <v>Exists</v>
      </c>
      <c r="P950" t="str">
        <f t="shared" si="47"/>
        <v>Exists</v>
      </c>
    </row>
    <row r="951" spans="1:16">
      <c r="A951" s="50" t="s">
        <v>862</v>
      </c>
      <c r="B951" s="50" t="s">
        <v>436</v>
      </c>
      <c r="C951" s="50" t="s">
        <v>256</v>
      </c>
      <c r="D951" s="50">
        <v>50</v>
      </c>
      <c r="E951" s="50" t="s">
        <v>871</v>
      </c>
      <c r="F951" s="50" t="s">
        <v>874</v>
      </c>
      <c r="G951" s="50" t="s">
        <v>256</v>
      </c>
      <c r="H951" s="50">
        <v>4000</v>
      </c>
      <c r="M951" t="str">
        <f>IF(COUNTIF($A:$A,E951)=0,"Not Exists","Exists")</f>
        <v>Not Exists</v>
      </c>
      <c r="N951" t="str">
        <f t="shared" si="48"/>
        <v>Not Exists</v>
      </c>
      <c r="O951" t="str">
        <f t="shared" si="46"/>
        <v>Exists</v>
      </c>
      <c r="P951" t="str">
        <f t="shared" si="47"/>
        <v>Not Exists</v>
      </c>
    </row>
    <row r="952" spans="1:16">
      <c r="A952" s="50" t="s">
        <v>862</v>
      </c>
      <c r="B952" s="50" t="s">
        <v>875</v>
      </c>
      <c r="C952" s="50" t="s">
        <v>256</v>
      </c>
      <c r="D952" s="50">
        <v>10</v>
      </c>
      <c r="E952" s="50" t="s">
        <v>871</v>
      </c>
      <c r="F952" s="50" t="s">
        <v>315</v>
      </c>
      <c r="G952" s="50" t="s">
        <v>256</v>
      </c>
      <c r="H952" s="50">
        <v>17</v>
      </c>
      <c r="M952" t="str">
        <f>IF(COUNTIF($A:$A,E952)=0,"Not Exists","Exists")</f>
        <v>Not Exists</v>
      </c>
      <c r="N952" t="str">
        <f t="shared" si="48"/>
        <v>Exists</v>
      </c>
      <c r="O952" t="str">
        <f t="shared" si="46"/>
        <v>Exists</v>
      </c>
      <c r="P952" t="str">
        <f t="shared" si="47"/>
        <v>Exists</v>
      </c>
    </row>
    <row r="953" spans="1:16">
      <c r="A953" s="50" t="s">
        <v>876</v>
      </c>
      <c r="B953" s="50" t="s">
        <v>877</v>
      </c>
      <c r="C953" s="50" t="s">
        <v>256</v>
      </c>
      <c r="D953" s="50">
        <v>50</v>
      </c>
      <c r="E953" s="50" t="s">
        <v>871</v>
      </c>
      <c r="F953" s="50" t="s">
        <v>317</v>
      </c>
      <c r="G953" s="50" t="s">
        <v>256</v>
      </c>
      <c r="H953" s="50">
        <v>17</v>
      </c>
      <c r="M953" t="str">
        <f>IF(COUNTIF($A:$A,E953)=0,"Not Exists","Exists")</f>
        <v>Not Exists</v>
      </c>
      <c r="N953" t="str">
        <f t="shared" si="48"/>
        <v>Exists</v>
      </c>
      <c r="O953" t="str">
        <f t="shared" si="46"/>
        <v>Not Exists</v>
      </c>
      <c r="P953" t="str">
        <f t="shared" si="47"/>
        <v>Not Exists</v>
      </c>
    </row>
    <row r="954" spans="1:16">
      <c r="A954" s="50" t="s">
        <v>876</v>
      </c>
      <c r="B954" s="50" t="s">
        <v>878</v>
      </c>
      <c r="C954" s="50" t="s">
        <v>254</v>
      </c>
      <c r="D954" s="50">
        <v>22</v>
      </c>
      <c r="E954" s="50" t="s">
        <v>871</v>
      </c>
      <c r="F954" s="50" t="s">
        <v>316</v>
      </c>
      <c r="G954" s="50" t="s">
        <v>256</v>
      </c>
      <c r="H954" s="50">
        <v>50</v>
      </c>
      <c r="M954" t="str">
        <f>IF(COUNTIF($A:$A,E954)=0,"Not Exists","Exists")</f>
        <v>Not Exists</v>
      </c>
      <c r="N954" t="str">
        <f t="shared" si="48"/>
        <v>Exists</v>
      </c>
      <c r="O954" t="str">
        <f t="shared" si="46"/>
        <v>Not Exists</v>
      </c>
      <c r="P954" t="str">
        <f t="shared" si="47"/>
        <v>Not Exists</v>
      </c>
    </row>
    <row r="955" spans="1:16">
      <c r="A955" s="50" t="s">
        <v>876</v>
      </c>
      <c r="B955" s="50" t="s">
        <v>879</v>
      </c>
      <c r="C955" s="50" t="s">
        <v>256</v>
      </c>
      <c r="D955" s="50">
        <v>450</v>
      </c>
      <c r="E955" s="50" t="s">
        <v>871</v>
      </c>
      <c r="F955" s="50" t="s">
        <v>318</v>
      </c>
      <c r="G955" s="50" t="s">
        <v>256</v>
      </c>
      <c r="H955" s="50">
        <v>50</v>
      </c>
      <c r="M955" t="str">
        <f>IF(COUNTIF($A:$A,E955)=0,"Not Exists","Exists")</f>
        <v>Not Exists</v>
      </c>
      <c r="N955" t="str">
        <f t="shared" si="48"/>
        <v>Exists</v>
      </c>
      <c r="O955" t="str">
        <f t="shared" si="46"/>
        <v>Not Exists</v>
      </c>
      <c r="P955" t="str">
        <f t="shared" si="47"/>
        <v>Not Exists</v>
      </c>
    </row>
    <row r="956" spans="1:16">
      <c r="A956" s="50" t="s">
        <v>876</v>
      </c>
      <c r="B956" s="50" t="s">
        <v>315</v>
      </c>
      <c r="C956" s="50" t="s">
        <v>251</v>
      </c>
      <c r="D956" s="50">
        <v>17</v>
      </c>
      <c r="E956" s="50" t="s">
        <v>880</v>
      </c>
      <c r="F956" s="50" t="s">
        <v>822</v>
      </c>
      <c r="G956" s="50" t="s">
        <v>256</v>
      </c>
      <c r="H956" s="50">
        <v>50</v>
      </c>
      <c r="M956" t="str">
        <f>IF(COUNTIF($A:$A,E956)=0,"Not Exists","Exists")</f>
        <v>Not Exists</v>
      </c>
      <c r="N956" t="str">
        <f t="shared" si="48"/>
        <v>Not Exists</v>
      </c>
      <c r="O956" t="str">
        <f t="shared" si="46"/>
        <v>Not Exists</v>
      </c>
      <c r="P956" t="str">
        <f t="shared" si="47"/>
        <v>Exists</v>
      </c>
    </row>
    <row r="957" spans="1:16">
      <c r="A957" s="50" t="s">
        <v>876</v>
      </c>
      <c r="B957" s="50" t="s">
        <v>317</v>
      </c>
      <c r="C957" s="50" t="s">
        <v>251</v>
      </c>
      <c r="D957" s="50">
        <v>17</v>
      </c>
      <c r="E957" s="50" t="s">
        <v>880</v>
      </c>
      <c r="F957" s="50" t="s">
        <v>466</v>
      </c>
      <c r="G957" s="50" t="s">
        <v>256</v>
      </c>
      <c r="H957" s="50">
        <v>1</v>
      </c>
      <c r="M957" t="str">
        <f>IF(COUNTIF($A:$A,E957)=0,"Not Exists","Exists")</f>
        <v>Not Exists</v>
      </c>
      <c r="N957" t="str">
        <f t="shared" si="48"/>
        <v>Exists</v>
      </c>
      <c r="O957" t="str">
        <f t="shared" si="46"/>
        <v>Not Exists</v>
      </c>
      <c r="P957" t="str">
        <f t="shared" si="47"/>
        <v>Exists</v>
      </c>
    </row>
    <row r="958" spans="1:16">
      <c r="A958" s="50" t="s">
        <v>876</v>
      </c>
      <c r="B958" s="50" t="s">
        <v>316</v>
      </c>
      <c r="C958" s="50" t="s">
        <v>256</v>
      </c>
      <c r="D958" s="50">
        <v>50</v>
      </c>
      <c r="E958" s="50" t="s">
        <v>880</v>
      </c>
      <c r="F958" s="50" t="s">
        <v>872</v>
      </c>
      <c r="G958" s="50" t="s">
        <v>256</v>
      </c>
      <c r="H958" s="50">
        <v>2</v>
      </c>
      <c r="M958" t="str">
        <f>IF(COUNTIF($A:$A,E958)=0,"Not Exists","Exists")</f>
        <v>Not Exists</v>
      </c>
      <c r="N958" t="str">
        <f t="shared" si="48"/>
        <v>Not Exists</v>
      </c>
      <c r="O958" t="str">
        <f t="shared" si="46"/>
        <v>Not Exists</v>
      </c>
      <c r="P958" t="str">
        <f t="shared" si="47"/>
        <v>Exists</v>
      </c>
    </row>
    <row r="959" spans="1:16">
      <c r="A959" s="50" t="s">
        <v>876</v>
      </c>
      <c r="B959" s="50" t="s">
        <v>318</v>
      </c>
      <c r="C959" s="50" t="s">
        <v>256</v>
      </c>
      <c r="D959" s="50">
        <v>50</v>
      </c>
      <c r="E959" s="50" t="s">
        <v>880</v>
      </c>
      <c r="F959" s="50" t="s">
        <v>873</v>
      </c>
      <c r="G959" s="50" t="s">
        <v>256</v>
      </c>
      <c r="H959" s="50">
        <v>50</v>
      </c>
      <c r="M959" t="str">
        <f>IF(COUNTIF($A:$A,E959)=0,"Not Exists","Exists")</f>
        <v>Not Exists</v>
      </c>
      <c r="N959" t="str">
        <f t="shared" si="48"/>
        <v>Not Exists</v>
      </c>
      <c r="O959" t="str">
        <f t="shared" si="46"/>
        <v>Not Exists</v>
      </c>
      <c r="P959" t="str">
        <f t="shared" si="47"/>
        <v>Exists</v>
      </c>
    </row>
    <row r="960" spans="1:16">
      <c r="A960" s="50" t="s">
        <v>876</v>
      </c>
      <c r="B960" s="50" t="s">
        <v>436</v>
      </c>
      <c r="C960" s="50" t="s">
        <v>256</v>
      </c>
      <c r="D960" s="50">
        <v>50</v>
      </c>
      <c r="E960" s="50" t="s">
        <v>880</v>
      </c>
      <c r="F960" s="50" t="s">
        <v>701</v>
      </c>
      <c r="G960" s="50" t="s">
        <v>256</v>
      </c>
      <c r="H960" s="50">
        <v>50</v>
      </c>
      <c r="M960" t="str">
        <f>IF(COUNTIF($A:$A,E960)=0,"Not Exists","Exists")</f>
        <v>Not Exists</v>
      </c>
      <c r="N960" t="str">
        <f t="shared" si="48"/>
        <v>Exists</v>
      </c>
      <c r="O960" t="str">
        <f t="shared" si="46"/>
        <v>Not Exists</v>
      </c>
      <c r="P960" t="str">
        <f t="shared" si="47"/>
        <v>Not Exists</v>
      </c>
    </row>
    <row r="961" spans="1:16">
      <c r="A961" s="50" t="s">
        <v>881</v>
      </c>
      <c r="B961" s="50" t="s">
        <v>882</v>
      </c>
      <c r="C961" s="50" t="s">
        <v>251</v>
      </c>
      <c r="D961" s="50">
        <v>2</v>
      </c>
      <c r="E961" s="50" t="s">
        <v>880</v>
      </c>
      <c r="F961" s="50" t="s">
        <v>315</v>
      </c>
      <c r="G961" s="50" t="s">
        <v>256</v>
      </c>
      <c r="H961" s="50">
        <v>17</v>
      </c>
      <c r="M961" t="str">
        <f>IF(COUNTIF($A:$A,E961)=0,"Not Exists","Exists")</f>
        <v>Not Exists</v>
      </c>
      <c r="N961" t="str">
        <f t="shared" si="48"/>
        <v>Exists</v>
      </c>
      <c r="O961" t="str">
        <f t="shared" si="46"/>
        <v>Exists</v>
      </c>
      <c r="P961" t="str">
        <f t="shared" si="47"/>
        <v>Exists</v>
      </c>
    </row>
    <row r="962" spans="1:16">
      <c r="A962" s="50" t="s">
        <v>881</v>
      </c>
      <c r="B962" s="50" t="s">
        <v>883</v>
      </c>
      <c r="C962" s="50" t="s">
        <v>256</v>
      </c>
      <c r="D962" s="50">
        <v>30</v>
      </c>
      <c r="E962" s="50" t="s">
        <v>880</v>
      </c>
      <c r="F962" s="50" t="s">
        <v>317</v>
      </c>
      <c r="G962" s="50" t="s">
        <v>256</v>
      </c>
      <c r="H962" s="50">
        <v>17</v>
      </c>
      <c r="M962" t="str">
        <f>IF(COUNTIF($A:$A,E962)=0,"Not Exists","Exists")</f>
        <v>Not Exists</v>
      </c>
      <c r="N962" t="str">
        <f t="shared" si="48"/>
        <v>Exists</v>
      </c>
      <c r="O962" t="str">
        <f t="shared" si="46"/>
        <v>Exists</v>
      </c>
      <c r="P962" t="str">
        <f t="shared" si="47"/>
        <v>Exists</v>
      </c>
    </row>
    <row r="963" spans="1:16">
      <c r="A963" s="50" t="s">
        <v>881</v>
      </c>
      <c r="B963" s="50" t="s">
        <v>884</v>
      </c>
      <c r="C963" s="50" t="s">
        <v>256</v>
      </c>
      <c r="D963" s="50">
        <v>8</v>
      </c>
      <c r="E963" s="50" t="s">
        <v>880</v>
      </c>
      <c r="F963" s="50" t="s">
        <v>316</v>
      </c>
      <c r="G963" s="50" t="s">
        <v>256</v>
      </c>
      <c r="H963" s="50">
        <v>50</v>
      </c>
      <c r="M963" t="str">
        <f>IF(COUNTIF($A:$A,E963)=0,"Not Exists","Exists")</f>
        <v>Not Exists</v>
      </c>
      <c r="N963" t="str">
        <f t="shared" si="48"/>
        <v>Exists</v>
      </c>
      <c r="O963" t="str">
        <f t="shared" si="46"/>
        <v>Exists</v>
      </c>
      <c r="P963" t="str">
        <f t="shared" si="47"/>
        <v>Exists</v>
      </c>
    </row>
    <row r="964" spans="1:16">
      <c r="A964" s="50" t="s">
        <v>881</v>
      </c>
      <c r="B964" s="50" t="s">
        <v>885</v>
      </c>
      <c r="C964" s="50" t="s">
        <v>256</v>
      </c>
      <c r="D964" s="50">
        <v>9</v>
      </c>
      <c r="E964" s="50" t="s">
        <v>880</v>
      </c>
      <c r="F964" s="50" t="s">
        <v>318</v>
      </c>
      <c r="G964" s="50" t="s">
        <v>256</v>
      </c>
      <c r="H964" s="50">
        <v>50</v>
      </c>
      <c r="M964" t="str">
        <f>IF(COUNTIF($A:$A,E964)=0,"Not Exists","Exists")</f>
        <v>Not Exists</v>
      </c>
      <c r="N964" t="str">
        <f t="shared" si="48"/>
        <v>Exists</v>
      </c>
      <c r="O964" t="str">
        <f t="shared" ref="O964:O1027" si="49">IF(COUNTIF($E:$E,A964)=0,"Not Exists","Exists")</f>
        <v>Exists</v>
      </c>
      <c r="P964" t="str">
        <f t="shared" ref="P964:P1027" si="50">IF(COUNTIF($F:$F,B964)=0,"Not Exists","Exists")</f>
        <v>Exists</v>
      </c>
    </row>
    <row r="965" spans="1:16">
      <c r="A965" s="50" t="s">
        <v>881</v>
      </c>
      <c r="B965" s="50" t="s">
        <v>886</v>
      </c>
      <c r="C965" s="50" t="s">
        <v>256</v>
      </c>
      <c r="D965" s="50">
        <v>50</v>
      </c>
      <c r="E965" s="50" t="s">
        <v>887</v>
      </c>
      <c r="F965" s="50" t="s">
        <v>822</v>
      </c>
      <c r="G965" s="50" t="s">
        <v>256</v>
      </c>
      <c r="H965" s="50">
        <v>50</v>
      </c>
      <c r="M965" t="str">
        <f>IF(COUNTIF($A:$A,E965)=0,"Not Exists","Exists")</f>
        <v>Not Exists</v>
      </c>
      <c r="N965" t="str">
        <f t="shared" si="48"/>
        <v>Not Exists</v>
      </c>
      <c r="O965" t="str">
        <f t="shared" si="49"/>
        <v>Exists</v>
      </c>
      <c r="P965" t="str">
        <f t="shared" si="50"/>
        <v>Exists</v>
      </c>
    </row>
    <row r="966" spans="1:16">
      <c r="A966" s="50" t="s">
        <v>881</v>
      </c>
      <c r="B966" s="50" t="s">
        <v>434</v>
      </c>
      <c r="C966" s="50" t="s">
        <v>256</v>
      </c>
      <c r="D966" s="50">
        <v>4</v>
      </c>
      <c r="E966" s="50" t="s">
        <v>887</v>
      </c>
      <c r="F966" s="50" t="s">
        <v>355</v>
      </c>
      <c r="G966" s="50" t="s">
        <v>256</v>
      </c>
      <c r="H966" s="50">
        <v>50</v>
      </c>
      <c r="M966" t="str">
        <f>IF(COUNTIF($A:$A,E966)=0,"Not Exists","Exists")</f>
        <v>Not Exists</v>
      </c>
      <c r="N966" t="str">
        <f t="shared" si="48"/>
        <v>Exists</v>
      </c>
      <c r="O966" t="str">
        <f t="shared" si="49"/>
        <v>Exists</v>
      </c>
      <c r="P966" t="str">
        <f t="shared" si="50"/>
        <v>Exists</v>
      </c>
    </row>
    <row r="967" spans="1:16">
      <c r="A967" s="50" t="s">
        <v>881</v>
      </c>
      <c r="B967" s="50" t="s">
        <v>888</v>
      </c>
      <c r="C967" s="50" t="s">
        <v>256</v>
      </c>
      <c r="D967" s="50">
        <v>1</v>
      </c>
      <c r="E967" s="50" t="s">
        <v>887</v>
      </c>
      <c r="F967" s="50" t="s">
        <v>851</v>
      </c>
      <c r="G967" s="50" t="s">
        <v>256</v>
      </c>
      <c r="H967" s="50">
        <v>2</v>
      </c>
      <c r="M967" t="str">
        <f>IF(COUNTIF($A:$A,E967)=0,"Not Exists","Exists")</f>
        <v>Not Exists</v>
      </c>
      <c r="N967" t="str">
        <f t="shared" si="48"/>
        <v>Exists</v>
      </c>
      <c r="O967" t="str">
        <f t="shared" si="49"/>
        <v>Exists</v>
      </c>
      <c r="P967" t="str">
        <f t="shared" si="50"/>
        <v>Exists</v>
      </c>
    </row>
    <row r="968" spans="1:16">
      <c r="A968" s="50" t="s">
        <v>881</v>
      </c>
      <c r="B968" s="50" t="s">
        <v>889</v>
      </c>
      <c r="C968" s="50" t="s">
        <v>256</v>
      </c>
      <c r="D968" s="50">
        <v>2</v>
      </c>
      <c r="E968" s="50" t="s">
        <v>887</v>
      </c>
      <c r="F968" s="50" t="s">
        <v>702</v>
      </c>
      <c r="G968" s="50" t="s">
        <v>256</v>
      </c>
      <c r="H968" s="50">
        <v>17</v>
      </c>
      <c r="M968" t="str">
        <f>IF(COUNTIF($A:$A,E968)=0,"Not Exists","Exists")</f>
        <v>Not Exists</v>
      </c>
      <c r="N968" t="str">
        <f t="shared" si="48"/>
        <v>Exists</v>
      </c>
      <c r="O968" t="str">
        <f t="shared" si="49"/>
        <v>Exists</v>
      </c>
      <c r="P968" t="str">
        <f t="shared" si="50"/>
        <v>Exists</v>
      </c>
    </row>
    <row r="969" spans="1:16">
      <c r="A969" s="50" t="s">
        <v>881</v>
      </c>
      <c r="B969" s="50" t="s">
        <v>890</v>
      </c>
      <c r="C969" s="50" t="s">
        <v>256</v>
      </c>
      <c r="D969" s="50">
        <v>1</v>
      </c>
      <c r="E969" s="50" t="s">
        <v>887</v>
      </c>
      <c r="F969" s="50" t="s">
        <v>703</v>
      </c>
      <c r="G969" s="50" t="s">
        <v>256</v>
      </c>
      <c r="H969" s="50">
        <v>17</v>
      </c>
      <c r="M969" t="str">
        <f>IF(COUNTIF($A:$A,E969)=0,"Not Exists","Exists")</f>
        <v>Not Exists</v>
      </c>
      <c r="N969" t="str">
        <f t="shared" si="48"/>
        <v>Exists</v>
      </c>
      <c r="O969" t="str">
        <f t="shared" si="49"/>
        <v>Exists</v>
      </c>
      <c r="P969" t="str">
        <f t="shared" si="50"/>
        <v>Exists</v>
      </c>
    </row>
    <row r="970" spans="1:16">
      <c r="A970" s="50" t="s">
        <v>881</v>
      </c>
      <c r="B970" s="50" t="s">
        <v>891</v>
      </c>
      <c r="C970" s="50" t="s">
        <v>256</v>
      </c>
      <c r="D970" s="50">
        <v>4000</v>
      </c>
      <c r="E970" s="50" t="s">
        <v>887</v>
      </c>
      <c r="F970" s="50" t="s">
        <v>728</v>
      </c>
      <c r="G970" s="50" t="s">
        <v>254</v>
      </c>
      <c r="H970" s="50">
        <v>22</v>
      </c>
      <c r="M970" t="str">
        <f>IF(COUNTIF($A:$A,E970)=0,"Not Exists","Exists")</f>
        <v>Not Exists</v>
      </c>
      <c r="N970" t="str">
        <f t="shared" si="48"/>
        <v>Exists</v>
      </c>
      <c r="O970" t="str">
        <f t="shared" si="49"/>
        <v>Exists</v>
      </c>
      <c r="P970" t="str">
        <f t="shared" si="50"/>
        <v>Exists</v>
      </c>
    </row>
    <row r="971" spans="1:16">
      <c r="A971" s="50" t="s">
        <v>881</v>
      </c>
      <c r="B971" s="50" t="s">
        <v>892</v>
      </c>
      <c r="C971" s="50" t="s">
        <v>256</v>
      </c>
      <c r="D971" s="50">
        <v>100</v>
      </c>
      <c r="E971" s="50" t="s">
        <v>887</v>
      </c>
      <c r="F971" s="50" t="s">
        <v>729</v>
      </c>
      <c r="G971" s="50" t="s">
        <v>254</v>
      </c>
      <c r="H971" s="50">
        <v>22</v>
      </c>
      <c r="M971" t="str">
        <f>IF(COUNTIF($A:$A,E971)=0,"Not Exists","Exists")</f>
        <v>Not Exists</v>
      </c>
      <c r="N971" t="str">
        <f t="shared" si="48"/>
        <v>Exists</v>
      </c>
      <c r="O971" t="str">
        <f t="shared" si="49"/>
        <v>Exists</v>
      </c>
      <c r="P971" t="str">
        <f t="shared" si="50"/>
        <v>Exists</v>
      </c>
    </row>
    <row r="972" spans="1:16">
      <c r="A972" s="50" t="s">
        <v>881</v>
      </c>
      <c r="B972" s="50" t="s">
        <v>424</v>
      </c>
      <c r="C972" s="50" t="s">
        <v>256</v>
      </c>
      <c r="D972" s="50">
        <v>36</v>
      </c>
      <c r="E972" s="50" t="s">
        <v>887</v>
      </c>
      <c r="F972" s="50" t="s">
        <v>730</v>
      </c>
      <c r="G972" s="50" t="s">
        <v>254</v>
      </c>
      <c r="H972" s="50">
        <v>22</v>
      </c>
      <c r="M972" t="str">
        <f>IF(COUNTIF($A:$A,E972)=0,"Not Exists","Exists")</f>
        <v>Not Exists</v>
      </c>
      <c r="N972" t="str">
        <f t="shared" si="48"/>
        <v>Exists</v>
      </c>
      <c r="O972" t="str">
        <f t="shared" si="49"/>
        <v>Exists</v>
      </c>
      <c r="P972" t="str">
        <f t="shared" si="50"/>
        <v>Exists</v>
      </c>
    </row>
    <row r="973" spans="1:16">
      <c r="A973" s="50" t="s">
        <v>881</v>
      </c>
      <c r="B973" s="50" t="s">
        <v>355</v>
      </c>
      <c r="C973" s="50" t="s">
        <v>256</v>
      </c>
      <c r="D973" s="50">
        <v>30</v>
      </c>
      <c r="E973" s="50" t="s">
        <v>887</v>
      </c>
      <c r="F973" s="50" t="s">
        <v>731</v>
      </c>
      <c r="G973" s="50" t="s">
        <v>254</v>
      </c>
      <c r="H973" s="50">
        <v>22</v>
      </c>
      <c r="M973" t="str">
        <f>IF(COUNTIF($A:$A,E973)=0,"Not Exists","Exists")</f>
        <v>Not Exists</v>
      </c>
      <c r="N973" t="str">
        <f t="shared" si="48"/>
        <v>Exists</v>
      </c>
      <c r="O973" t="str">
        <f t="shared" si="49"/>
        <v>Exists</v>
      </c>
      <c r="P973" t="str">
        <f t="shared" si="50"/>
        <v>Exists</v>
      </c>
    </row>
    <row r="974" spans="1:16">
      <c r="A974" s="50" t="s">
        <v>881</v>
      </c>
      <c r="B974" s="50" t="s">
        <v>893</v>
      </c>
      <c r="C974" s="50" t="s">
        <v>256</v>
      </c>
      <c r="D974" s="50">
        <v>8</v>
      </c>
      <c r="E974" s="50" t="s">
        <v>887</v>
      </c>
      <c r="F974" s="50" t="s">
        <v>776</v>
      </c>
      <c r="G974" s="50" t="s">
        <v>256</v>
      </c>
      <c r="H974" s="50">
        <v>17</v>
      </c>
      <c r="M974" t="str">
        <f>IF(COUNTIF($A:$A,E974)=0,"Not Exists","Exists")</f>
        <v>Not Exists</v>
      </c>
      <c r="N974" t="str">
        <f t="shared" si="48"/>
        <v>Exists</v>
      </c>
      <c r="O974" t="str">
        <f t="shared" si="49"/>
        <v>Exists</v>
      </c>
      <c r="P974" t="str">
        <f t="shared" si="50"/>
        <v>Exists</v>
      </c>
    </row>
    <row r="975" spans="1:16">
      <c r="A975" s="50" t="s">
        <v>881</v>
      </c>
      <c r="B975" s="50" t="s">
        <v>894</v>
      </c>
      <c r="C975" s="50" t="s">
        <v>256</v>
      </c>
      <c r="D975" s="50">
        <v>9</v>
      </c>
      <c r="E975" s="50" t="s">
        <v>887</v>
      </c>
      <c r="F975" s="50" t="s">
        <v>855</v>
      </c>
      <c r="G975" s="50" t="s">
        <v>256</v>
      </c>
      <c r="H975" s="50">
        <v>450</v>
      </c>
      <c r="M975" t="str">
        <f>IF(COUNTIF($A:$A,E975)=0,"Not Exists","Exists")</f>
        <v>Not Exists</v>
      </c>
      <c r="N975" t="str">
        <f t="shared" si="48"/>
        <v>Exists</v>
      </c>
      <c r="O975" t="str">
        <f t="shared" si="49"/>
        <v>Exists</v>
      </c>
      <c r="P975" t="str">
        <f t="shared" si="50"/>
        <v>Exists</v>
      </c>
    </row>
    <row r="976" spans="1:16">
      <c r="A976" s="50" t="s">
        <v>881</v>
      </c>
      <c r="B976" s="50" t="s">
        <v>315</v>
      </c>
      <c r="C976" s="50" t="s">
        <v>251</v>
      </c>
      <c r="D976" s="50">
        <v>17</v>
      </c>
      <c r="E976" s="50" t="s">
        <v>887</v>
      </c>
      <c r="F976" s="50" t="s">
        <v>854</v>
      </c>
      <c r="G976" s="50" t="s">
        <v>256</v>
      </c>
      <c r="H976" s="50">
        <v>450</v>
      </c>
      <c r="M976" t="str">
        <f>IF(COUNTIF($A:$A,E976)=0,"Not Exists","Exists")</f>
        <v>Not Exists</v>
      </c>
      <c r="N976" t="str">
        <f t="shared" si="48"/>
        <v>Exists</v>
      </c>
      <c r="O976" t="str">
        <f t="shared" si="49"/>
        <v>Exists</v>
      </c>
      <c r="P976" t="str">
        <f t="shared" si="50"/>
        <v>Exists</v>
      </c>
    </row>
    <row r="977" spans="1:16">
      <c r="A977" s="50" t="s">
        <v>881</v>
      </c>
      <c r="B977" s="50" t="s">
        <v>317</v>
      </c>
      <c r="C977" s="50" t="s">
        <v>251</v>
      </c>
      <c r="D977" s="50">
        <v>17</v>
      </c>
      <c r="E977" s="50" t="s">
        <v>887</v>
      </c>
      <c r="F977" s="50" t="s">
        <v>315</v>
      </c>
      <c r="G977" s="50" t="s">
        <v>256</v>
      </c>
      <c r="H977" s="50">
        <v>17</v>
      </c>
      <c r="M977" t="str">
        <f>IF(COUNTIF($A:$A,E977)=0,"Not Exists","Exists")</f>
        <v>Not Exists</v>
      </c>
      <c r="N977" t="str">
        <f t="shared" si="48"/>
        <v>Exists</v>
      </c>
      <c r="O977" t="str">
        <f t="shared" si="49"/>
        <v>Exists</v>
      </c>
      <c r="P977" t="str">
        <f t="shared" si="50"/>
        <v>Exists</v>
      </c>
    </row>
    <row r="978" spans="1:16">
      <c r="A978" s="50" t="s">
        <v>881</v>
      </c>
      <c r="B978" s="50" t="s">
        <v>316</v>
      </c>
      <c r="C978" s="50" t="s">
        <v>256</v>
      </c>
      <c r="D978" s="50">
        <v>50</v>
      </c>
      <c r="E978" s="50" t="s">
        <v>887</v>
      </c>
      <c r="F978" s="50" t="s">
        <v>317</v>
      </c>
      <c r="G978" s="50" t="s">
        <v>256</v>
      </c>
      <c r="H978" s="50">
        <v>17</v>
      </c>
      <c r="M978" t="str">
        <f>IF(COUNTIF($A:$A,E978)=0,"Not Exists","Exists")</f>
        <v>Not Exists</v>
      </c>
      <c r="N978" t="str">
        <f t="shared" si="48"/>
        <v>Exists</v>
      </c>
      <c r="O978" t="str">
        <f t="shared" si="49"/>
        <v>Exists</v>
      </c>
      <c r="P978" t="str">
        <f t="shared" si="50"/>
        <v>Exists</v>
      </c>
    </row>
    <row r="979" spans="1:16">
      <c r="A979" s="50" t="s">
        <v>881</v>
      </c>
      <c r="B979" s="50" t="s">
        <v>318</v>
      </c>
      <c r="C979" s="50" t="s">
        <v>256</v>
      </c>
      <c r="D979" s="50">
        <v>50</v>
      </c>
      <c r="E979" s="50" t="s">
        <v>887</v>
      </c>
      <c r="F979" s="50" t="s">
        <v>316</v>
      </c>
      <c r="G979" s="50" t="s">
        <v>256</v>
      </c>
      <c r="H979" s="50">
        <v>50</v>
      </c>
      <c r="M979" t="str">
        <f>IF(COUNTIF($A:$A,E979)=0,"Not Exists","Exists")</f>
        <v>Not Exists</v>
      </c>
      <c r="N979" t="str">
        <f t="shared" si="48"/>
        <v>Exists</v>
      </c>
      <c r="O979" t="str">
        <f t="shared" si="49"/>
        <v>Exists</v>
      </c>
      <c r="P979" t="str">
        <f t="shared" si="50"/>
        <v>Exists</v>
      </c>
    </row>
    <row r="980" spans="1:16">
      <c r="A980" s="50" t="s">
        <v>881</v>
      </c>
      <c r="B980" s="50" t="s">
        <v>436</v>
      </c>
      <c r="C980" s="50" t="s">
        <v>256</v>
      </c>
      <c r="D980" s="50">
        <v>50</v>
      </c>
      <c r="E980" s="50" t="s">
        <v>887</v>
      </c>
      <c r="F980" s="50" t="s">
        <v>318</v>
      </c>
      <c r="G980" s="50" t="s">
        <v>256</v>
      </c>
      <c r="H980" s="50">
        <v>50</v>
      </c>
      <c r="M980" t="str">
        <f>IF(COUNTIF($A:$A,E980)=0,"Not Exists","Exists")</f>
        <v>Not Exists</v>
      </c>
      <c r="N980" t="str">
        <f t="shared" si="48"/>
        <v>Exists</v>
      </c>
      <c r="O980" t="str">
        <f t="shared" si="49"/>
        <v>Exists</v>
      </c>
      <c r="P980" t="str">
        <f t="shared" si="50"/>
        <v>Not Exists</v>
      </c>
    </row>
    <row r="981" spans="1:16">
      <c r="A981" s="50" t="s">
        <v>895</v>
      </c>
      <c r="B981" s="50" t="s">
        <v>350</v>
      </c>
      <c r="C981" s="50" t="s">
        <v>256</v>
      </c>
      <c r="D981" s="50">
        <v>30</v>
      </c>
      <c r="E981" s="50" t="s">
        <v>896</v>
      </c>
      <c r="F981" s="50" t="s">
        <v>822</v>
      </c>
      <c r="G981" s="50" t="s">
        <v>256</v>
      </c>
      <c r="H981" s="50">
        <v>50</v>
      </c>
      <c r="M981" t="str">
        <f>IF(COUNTIF($A:$A,E981)=0,"Not Exists","Exists")</f>
        <v>Not Exists</v>
      </c>
      <c r="N981" t="str">
        <f t="shared" si="48"/>
        <v>Not Exists</v>
      </c>
      <c r="O981" t="str">
        <f t="shared" si="49"/>
        <v>Not Exists</v>
      </c>
      <c r="P981" t="str">
        <f t="shared" si="50"/>
        <v>Exists</v>
      </c>
    </row>
    <row r="982" spans="1:16">
      <c r="A982" s="50" t="s">
        <v>895</v>
      </c>
      <c r="B982" s="50" t="s">
        <v>897</v>
      </c>
      <c r="C982" s="50" t="s">
        <v>256</v>
      </c>
      <c r="D982" s="50">
        <v>7</v>
      </c>
      <c r="E982" s="50" t="s">
        <v>896</v>
      </c>
      <c r="F982" s="50" t="s">
        <v>355</v>
      </c>
      <c r="G982" s="50" t="s">
        <v>256</v>
      </c>
      <c r="H982" s="50">
        <v>50</v>
      </c>
      <c r="M982" t="str">
        <f>IF(COUNTIF($A:$A,E982)=0,"Not Exists","Exists")</f>
        <v>Not Exists</v>
      </c>
      <c r="N982" t="str">
        <f t="shared" si="48"/>
        <v>Exists</v>
      </c>
      <c r="O982" t="str">
        <f t="shared" si="49"/>
        <v>Not Exists</v>
      </c>
      <c r="P982" t="str">
        <f t="shared" si="50"/>
        <v>Exists</v>
      </c>
    </row>
    <row r="983" spans="1:16">
      <c r="A983" s="50" t="s">
        <v>895</v>
      </c>
      <c r="B983" s="50" t="s">
        <v>898</v>
      </c>
      <c r="C983" s="50" t="s">
        <v>256</v>
      </c>
      <c r="D983" s="50">
        <v>5</v>
      </c>
      <c r="E983" s="50" t="s">
        <v>896</v>
      </c>
      <c r="F983" s="50" t="s">
        <v>851</v>
      </c>
      <c r="G983" s="50" t="s">
        <v>256</v>
      </c>
      <c r="H983" s="50">
        <v>2</v>
      </c>
      <c r="M983" t="str">
        <f>IF(COUNTIF($A:$A,E983)=0,"Not Exists","Exists")</f>
        <v>Not Exists</v>
      </c>
      <c r="N983" t="str">
        <f t="shared" si="48"/>
        <v>Exists</v>
      </c>
      <c r="O983" t="str">
        <f t="shared" si="49"/>
        <v>Not Exists</v>
      </c>
      <c r="P983" t="str">
        <f t="shared" si="50"/>
        <v>Not Exists</v>
      </c>
    </row>
    <row r="984" spans="1:16">
      <c r="A984" s="50" t="s">
        <v>895</v>
      </c>
      <c r="B984" s="50" t="s">
        <v>899</v>
      </c>
      <c r="C984" s="50" t="s">
        <v>256</v>
      </c>
      <c r="D984" s="50">
        <v>1</v>
      </c>
      <c r="E984" s="50" t="s">
        <v>896</v>
      </c>
      <c r="F984" s="50" t="s">
        <v>702</v>
      </c>
      <c r="G984" s="50" t="s">
        <v>256</v>
      </c>
      <c r="H984" s="50">
        <v>17</v>
      </c>
      <c r="M984" t="str">
        <f>IF(COUNTIF($A:$A,E984)=0,"Not Exists","Exists")</f>
        <v>Not Exists</v>
      </c>
      <c r="N984" t="str">
        <f t="shared" si="48"/>
        <v>Exists</v>
      </c>
      <c r="O984" t="str">
        <f t="shared" si="49"/>
        <v>Not Exists</v>
      </c>
      <c r="P984" t="str">
        <f t="shared" si="50"/>
        <v>Not Exists</v>
      </c>
    </row>
    <row r="985" spans="1:16">
      <c r="A985" s="50" t="s">
        <v>895</v>
      </c>
      <c r="B985" s="50" t="s">
        <v>900</v>
      </c>
      <c r="C985" s="50" t="s">
        <v>256</v>
      </c>
      <c r="D985" s="50">
        <v>30</v>
      </c>
      <c r="E985" s="50" t="s">
        <v>896</v>
      </c>
      <c r="F985" s="50" t="s">
        <v>703</v>
      </c>
      <c r="G985" s="50" t="s">
        <v>256</v>
      </c>
      <c r="H985" s="50">
        <v>17</v>
      </c>
      <c r="M985" t="str">
        <f>IF(COUNTIF($A:$A,E985)=0,"Not Exists","Exists")</f>
        <v>Not Exists</v>
      </c>
      <c r="N985" t="str">
        <f t="shared" si="48"/>
        <v>Exists</v>
      </c>
      <c r="O985" t="str">
        <f t="shared" si="49"/>
        <v>Not Exists</v>
      </c>
      <c r="P985" t="str">
        <f t="shared" si="50"/>
        <v>Not Exists</v>
      </c>
    </row>
    <row r="986" spans="1:16">
      <c r="A986" s="50" t="s">
        <v>895</v>
      </c>
      <c r="B986" s="50" t="s">
        <v>901</v>
      </c>
      <c r="C986" s="50" t="s">
        <v>256</v>
      </c>
      <c r="D986" s="50">
        <v>30</v>
      </c>
      <c r="E986" s="50" t="s">
        <v>896</v>
      </c>
      <c r="F986" s="50" t="s">
        <v>728</v>
      </c>
      <c r="G986" s="50" t="s">
        <v>254</v>
      </c>
      <c r="H986" s="50">
        <v>22</v>
      </c>
      <c r="M986" t="str">
        <f>IF(COUNTIF($A:$A,E986)=0,"Not Exists","Exists")</f>
        <v>Not Exists</v>
      </c>
      <c r="N986" t="str">
        <f t="shared" si="48"/>
        <v>Exists</v>
      </c>
      <c r="O986" t="str">
        <f t="shared" si="49"/>
        <v>Not Exists</v>
      </c>
      <c r="P986" t="str">
        <f t="shared" si="50"/>
        <v>Not Exists</v>
      </c>
    </row>
    <row r="987" spans="1:16">
      <c r="A987" s="50" t="s">
        <v>895</v>
      </c>
      <c r="B987" s="50" t="s">
        <v>902</v>
      </c>
      <c r="C987" s="50" t="s">
        <v>256</v>
      </c>
      <c r="D987" s="50">
        <v>30</v>
      </c>
      <c r="E987" s="50" t="s">
        <v>896</v>
      </c>
      <c r="F987" s="50" t="s">
        <v>729</v>
      </c>
      <c r="G987" s="50" t="s">
        <v>254</v>
      </c>
      <c r="H987" s="50">
        <v>22</v>
      </c>
      <c r="M987" t="str">
        <f>IF(COUNTIF($A:$A,E987)=0,"Not Exists","Exists")</f>
        <v>Not Exists</v>
      </c>
      <c r="N987" t="str">
        <f t="shared" ref="N987:N1020" si="51">IF(COUNTIF($A:$B,F987)=0,"Not Exists","Exists")</f>
        <v>Exists</v>
      </c>
      <c r="O987" t="str">
        <f t="shared" si="49"/>
        <v>Not Exists</v>
      </c>
      <c r="P987" t="str">
        <f t="shared" si="50"/>
        <v>Not Exists</v>
      </c>
    </row>
    <row r="988" spans="1:16">
      <c r="A988" s="50" t="s">
        <v>895</v>
      </c>
      <c r="B988" s="50" t="s">
        <v>903</v>
      </c>
      <c r="C988" s="50" t="s">
        <v>256</v>
      </c>
      <c r="D988" s="50">
        <v>30</v>
      </c>
      <c r="E988" s="50" t="s">
        <v>896</v>
      </c>
      <c r="F988" s="50" t="s">
        <v>730</v>
      </c>
      <c r="G988" s="50" t="s">
        <v>254</v>
      </c>
      <c r="H988" s="50">
        <v>22</v>
      </c>
      <c r="M988" t="str">
        <f>IF(COUNTIF($A:$A,E988)=0,"Not Exists","Exists")</f>
        <v>Not Exists</v>
      </c>
      <c r="N988" t="str">
        <f t="shared" si="51"/>
        <v>Exists</v>
      </c>
      <c r="O988" t="str">
        <f t="shared" si="49"/>
        <v>Not Exists</v>
      </c>
      <c r="P988" t="str">
        <f t="shared" si="50"/>
        <v>Exists</v>
      </c>
    </row>
    <row r="989" spans="1:16">
      <c r="A989" s="50" t="s">
        <v>895</v>
      </c>
      <c r="B989" s="50" t="s">
        <v>904</v>
      </c>
      <c r="C989" s="50" t="s">
        <v>256</v>
      </c>
      <c r="D989" s="50">
        <v>30</v>
      </c>
      <c r="E989" s="50" t="s">
        <v>896</v>
      </c>
      <c r="F989" s="50" t="s">
        <v>731</v>
      </c>
      <c r="G989" s="50" t="s">
        <v>254</v>
      </c>
      <c r="H989" s="50">
        <v>22</v>
      </c>
      <c r="M989" t="str">
        <f>IF(COUNTIF($A:$A,E989)=0,"Not Exists","Exists")</f>
        <v>Not Exists</v>
      </c>
      <c r="N989" t="str">
        <f t="shared" si="51"/>
        <v>Exists</v>
      </c>
      <c r="O989" t="str">
        <f t="shared" si="49"/>
        <v>Not Exists</v>
      </c>
      <c r="P989" t="str">
        <f t="shared" si="50"/>
        <v>Exists</v>
      </c>
    </row>
    <row r="990" spans="1:16">
      <c r="A990" s="50" t="s">
        <v>895</v>
      </c>
      <c r="B990" s="50" t="s">
        <v>905</v>
      </c>
      <c r="C990" s="50" t="s">
        <v>256</v>
      </c>
      <c r="D990" s="50">
        <v>30</v>
      </c>
      <c r="E990" s="50" t="s">
        <v>896</v>
      </c>
      <c r="F990" s="50" t="s">
        <v>776</v>
      </c>
      <c r="G990" s="50" t="s">
        <v>256</v>
      </c>
      <c r="H990" s="50">
        <v>17</v>
      </c>
      <c r="M990" t="str">
        <f>IF(COUNTIF($A:$A,E990)=0,"Not Exists","Exists")</f>
        <v>Not Exists</v>
      </c>
      <c r="N990" t="str">
        <f t="shared" si="51"/>
        <v>Exists</v>
      </c>
      <c r="O990" t="str">
        <f t="shared" si="49"/>
        <v>Not Exists</v>
      </c>
      <c r="P990" t="str">
        <f t="shared" si="50"/>
        <v>Not Exists</v>
      </c>
    </row>
    <row r="991" spans="1:16">
      <c r="A991" s="50" t="s">
        <v>895</v>
      </c>
      <c r="B991" s="50" t="s">
        <v>906</v>
      </c>
      <c r="C991" s="50" t="s">
        <v>256</v>
      </c>
      <c r="D991" s="50">
        <v>14</v>
      </c>
      <c r="E991" s="50" t="s">
        <v>896</v>
      </c>
      <c r="F991" s="50" t="s">
        <v>855</v>
      </c>
      <c r="G991" s="50" t="s">
        <v>256</v>
      </c>
      <c r="H991" s="50">
        <v>450</v>
      </c>
      <c r="M991" t="str">
        <f>IF(COUNTIF($A:$A,E991)=0,"Not Exists","Exists")</f>
        <v>Not Exists</v>
      </c>
      <c r="N991" t="str">
        <f t="shared" si="51"/>
        <v>Exists</v>
      </c>
      <c r="O991" t="str">
        <f t="shared" si="49"/>
        <v>Not Exists</v>
      </c>
      <c r="P991" t="str">
        <f t="shared" si="50"/>
        <v>Exists</v>
      </c>
    </row>
    <row r="992" spans="1:16">
      <c r="A992" s="50" t="s">
        <v>895</v>
      </c>
      <c r="B992" s="50" t="s">
        <v>907</v>
      </c>
      <c r="C992" s="50" t="s">
        <v>254</v>
      </c>
      <c r="D992" s="50">
        <v>22</v>
      </c>
      <c r="E992" s="50" t="s">
        <v>896</v>
      </c>
      <c r="F992" s="50" t="s">
        <v>854</v>
      </c>
      <c r="G992" s="50" t="s">
        <v>256</v>
      </c>
      <c r="H992" s="50">
        <v>450</v>
      </c>
      <c r="M992" t="str">
        <f>IF(COUNTIF($A:$A,E992)=0,"Not Exists","Exists")</f>
        <v>Not Exists</v>
      </c>
      <c r="N992" t="str">
        <f t="shared" si="51"/>
        <v>Exists</v>
      </c>
      <c r="O992" t="str">
        <f t="shared" si="49"/>
        <v>Not Exists</v>
      </c>
      <c r="P992" t="str">
        <f t="shared" si="50"/>
        <v>Exists</v>
      </c>
    </row>
    <row r="993" spans="1:16">
      <c r="A993" s="50" t="s">
        <v>895</v>
      </c>
      <c r="B993" s="50" t="s">
        <v>908</v>
      </c>
      <c r="C993" s="50" t="s">
        <v>256</v>
      </c>
      <c r="D993" s="50">
        <v>4000</v>
      </c>
      <c r="E993" s="50" t="s">
        <v>896</v>
      </c>
      <c r="F993" s="50" t="s">
        <v>466</v>
      </c>
      <c r="G993" s="50" t="s">
        <v>256</v>
      </c>
      <c r="H993" s="50">
        <v>1</v>
      </c>
      <c r="M993" t="str">
        <f>IF(COUNTIF($A:$A,E993)=0,"Not Exists","Exists")</f>
        <v>Not Exists</v>
      </c>
      <c r="N993" t="str">
        <f t="shared" si="51"/>
        <v>Exists</v>
      </c>
      <c r="O993" t="str">
        <f t="shared" si="49"/>
        <v>Not Exists</v>
      </c>
      <c r="P993" t="str">
        <f t="shared" si="50"/>
        <v>Exists</v>
      </c>
    </row>
    <row r="994" spans="1:16">
      <c r="A994" s="50" t="s">
        <v>895</v>
      </c>
      <c r="B994" s="50" t="s">
        <v>909</v>
      </c>
      <c r="C994" s="50" t="s">
        <v>256</v>
      </c>
      <c r="D994" s="50">
        <v>4000</v>
      </c>
      <c r="E994" s="50" t="s">
        <v>896</v>
      </c>
      <c r="F994" s="50" t="s">
        <v>315</v>
      </c>
      <c r="G994" s="50" t="s">
        <v>256</v>
      </c>
      <c r="H994" s="50">
        <v>17</v>
      </c>
      <c r="M994" t="str">
        <f>IF(COUNTIF($A:$A,E994)=0,"Not Exists","Exists")</f>
        <v>Not Exists</v>
      </c>
      <c r="N994" t="str">
        <f t="shared" si="51"/>
        <v>Exists</v>
      </c>
      <c r="O994" t="str">
        <f t="shared" si="49"/>
        <v>Not Exists</v>
      </c>
      <c r="P994" t="str">
        <f t="shared" si="50"/>
        <v>Exists</v>
      </c>
    </row>
    <row r="995" spans="1:16">
      <c r="A995" s="50" t="s">
        <v>895</v>
      </c>
      <c r="B995" s="50" t="s">
        <v>910</v>
      </c>
      <c r="C995" s="50" t="s">
        <v>256</v>
      </c>
      <c r="D995" s="50">
        <v>4000</v>
      </c>
      <c r="E995" s="50" t="s">
        <v>896</v>
      </c>
      <c r="F995" s="50" t="s">
        <v>317</v>
      </c>
      <c r="G995" s="50" t="s">
        <v>256</v>
      </c>
      <c r="H995" s="50">
        <v>17</v>
      </c>
      <c r="M995" t="str">
        <f>IF(COUNTIF($A:$A,E995)=0,"Not Exists","Exists")</f>
        <v>Not Exists</v>
      </c>
      <c r="N995" t="str">
        <f t="shared" si="51"/>
        <v>Exists</v>
      </c>
      <c r="O995" t="str">
        <f t="shared" si="49"/>
        <v>Not Exists</v>
      </c>
      <c r="P995" t="str">
        <f t="shared" si="50"/>
        <v>Not Exists</v>
      </c>
    </row>
    <row r="996" spans="1:16">
      <c r="A996" s="50" t="s">
        <v>895</v>
      </c>
      <c r="B996" s="50" t="s">
        <v>911</v>
      </c>
      <c r="C996" s="50" t="s">
        <v>256</v>
      </c>
      <c r="D996" s="50">
        <v>4000</v>
      </c>
      <c r="E996" s="50" t="s">
        <v>896</v>
      </c>
      <c r="F996" s="50" t="s">
        <v>316</v>
      </c>
      <c r="G996" s="50" t="s">
        <v>256</v>
      </c>
      <c r="H996" s="50">
        <v>50</v>
      </c>
      <c r="M996" t="str">
        <f>IF(COUNTIF($A:$A,E996)=0,"Not Exists","Exists")</f>
        <v>Not Exists</v>
      </c>
      <c r="N996" t="str">
        <f t="shared" si="51"/>
        <v>Exists</v>
      </c>
      <c r="O996" t="str">
        <f t="shared" si="49"/>
        <v>Not Exists</v>
      </c>
      <c r="P996" t="str">
        <f t="shared" si="50"/>
        <v>Exists</v>
      </c>
    </row>
    <row r="997" spans="1:16">
      <c r="A997" s="50" t="s">
        <v>895</v>
      </c>
      <c r="B997" s="50" t="s">
        <v>912</v>
      </c>
      <c r="C997" s="50" t="s">
        <v>256</v>
      </c>
      <c r="D997" s="50">
        <v>4000</v>
      </c>
      <c r="E997" s="50" t="s">
        <v>896</v>
      </c>
      <c r="F997" s="50" t="s">
        <v>318</v>
      </c>
      <c r="G997" s="50" t="s">
        <v>256</v>
      </c>
      <c r="H997" s="50">
        <v>50</v>
      </c>
      <c r="M997" t="str">
        <f>IF(COUNTIF($A:$A,E997)=0,"Not Exists","Exists")</f>
        <v>Not Exists</v>
      </c>
      <c r="N997" t="str">
        <f t="shared" si="51"/>
        <v>Exists</v>
      </c>
      <c r="O997" t="str">
        <f t="shared" si="49"/>
        <v>Not Exists</v>
      </c>
      <c r="P997" t="str">
        <f t="shared" si="50"/>
        <v>Exists</v>
      </c>
    </row>
    <row r="998" spans="1:16">
      <c r="A998" s="50" t="s">
        <v>895</v>
      </c>
      <c r="B998" s="50" t="s">
        <v>913</v>
      </c>
      <c r="C998" s="50" t="s">
        <v>256</v>
      </c>
      <c r="D998" s="50">
        <v>4000</v>
      </c>
      <c r="E998" s="50" t="s">
        <v>783</v>
      </c>
      <c r="F998" s="50" t="s">
        <v>780</v>
      </c>
      <c r="G998" s="50" t="s">
        <v>256</v>
      </c>
      <c r="H998" s="50">
        <v>20</v>
      </c>
      <c r="M998" t="str">
        <f>IF(COUNTIF($A:$A,E998)=0,"Not Exists","Exists")</f>
        <v>Exists</v>
      </c>
      <c r="N998" t="str">
        <f t="shared" si="51"/>
        <v>Exists</v>
      </c>
      <c r="O998" t="str">
        <f t="shared" si="49"/>
        <v>Not Exists</v>
      </c>
      <c r="P998" t="str">
        <f t="shared" si="50"/>
        <v>Not Exists</v>
      </c>
    </row>
    <row r="999" spans="1:16">
      <c r="A999" s="50" t="s">
        <v>895</v>
      </c>
      <c r="B999" s="50" t="s">
        <v>914</v>
      </c>
      <c r="C999" s="50" t="s">
        <v>256</v>
      </c>
      <c r="D999" s="50">
        <v>30</v>
      </c>
      <c r="E999" s="50" t="s">
        <v>783</v>
      </c>
      <c r="F999" s="50" t="s">
        <v>317</v>
      </c>
      <c r="G999" s="50" t="s">
        <v>251</v>
      </c>
      <c r="H999" s="50">
        <v>17</v>
      </c>
      <c r="M999" t="str">
        <f>IF(COUNTIF($A:$A,E999)=0,"Not Exists","Exists")</f>
        <v>Exists</v>
      </c>
      <c r="N999" t="str">
        <f t="shared" si="51"/>
        <v>Exists</v>
      </c>
      <c r="O999" t="str">
        <f t="shared" si="49"/>
        <v>Not Exists</v>
      </c>
      <c r="P999" t="str">
        <f t="shared" si="50"/>
        <v>Exists</v>
      </c>
    </row>
    <row r="1000" spans="1:16">
      <c r="A1000" s="50" t="s">
        <v>895</v>
      </c>
      <c r="B1000" s="50" t="s">
        <v>915</v>
      </c>
      <c r="C1000" s="50" t="s">
        <v>256</v>
      </c>
      <c r="D1000" s="50">
        <v>200</v>
      </c>
      <c r="E1000" s="50" t="s">
        <v>783</v>
      </c>
      <c r="F1000" s="50" t="s">
        <v>318</v>
      </c>
      <c r="G1000" s="50" t="s">
        <v>256</v>
      </c>
      <c r="H1000" s="50">
        <v>50</v>
      </c>
      <c r="M1000" t="str">
        <f>IF(COUNTIF($A:$A,E1000)=0,"Not Exists","Exists")</f>
        <v>Exists</v>
      </c>
      <c r="N1000" t="str">
        <f t="shared" si="51"/>
        <v>Exists</v>
      </c>
      <c r="O1000" t="str">
        <f t="shared" si="49"/>
        <v>Not Exists</v>
      </c>
      <c r="P1000" t="str">
        <f t="shared" si="50"/>
        <v>Exists</v>
      </c>
    </row>
    <row r="1001" spans="1:16">
      <c r="A1001" s="50" t="s">
        <v>895</v>
      </c>
      <c r="B1001" s="50" t="s">
        <v>916</v>
      </c>
      <c r="C1001" s="50" t="s">
        <v>256</v>
      </c>
      <c r="D1001" s="50">
        <v>200</v>
      </c>
      <c r="E1001" s="50" t="s">
        <v>783</v>
      </c>
      <c r="F1001" s="50" t="s">
        <v>315</v>
      </c>
      <c r="G1001" s="50" t="s">
        <v>251</v>
      </c>
      <c r="H1001" s="50">
        <v>17</v>
      </c>
      <c r="M1001" t="str">
        <f>IF(COUNTIF($A:$A,E1001)=0,"Not Exists","Exists")</f>
        <v>Exists</v>
      </c>
      <c r="N1001" t="str">
        <f t="shared" si="51"/>
        <v>Exists</v>
      </c>
      <c r="O1001" t="str">
        <f t="shared" si="49"/>
        <v>Not Exists</v>
      </c>
      <c r="P1001" t="str">
        <f t="shared" si="50"/>
        <v>Exists</v>
      </c>
    </row>
    <row r="1002" spans="1:16">
      <c r="A1002" s="50" t="s">
        <v>895</v>
      </c>
      <c r="B1002" s="50" t="s">
        <v>917</v>
      </c>
      <c r="C1002" s="50" t="s">
        <v>256</v>
      </c>
      <c r="D1002" s="50">
        <v>1</v>
      </c>
      <c r="E1002" s="50" t="s">
        <v>783</v>
      </c>
      <c r="F1002" s="50" t="s">
        <v>316</v>
      </c>
      <c r="G1002" s="50" t="s">
        <v>256</v>
      </c>
      <c r="H1002" s="50">
        <v>50</v>
      </c>
      <c r="M1002" t="str">
        <f>IF(COUNTIF($A:$A,E1002)=0,"Not Exists","Exists")</f>
        <v>Exists</v>
      </c>
      <c r="N1002" t="str">
        <f t="shared" si="51"/>
        <v>Exists</v>
      </c>
      <c r="O1002" t="str">
        <f t="shared" si="49"/>
        <v>Not Exists</v>
      </c>
      <c r="P1002" t="str">
        <f t="shared" si="50"/>
        <v>Not Exists</v>
      </c>
    </row>
    <row r="1003" spans="1:16">
      <c r="A1003" s="50" t="s">
        <v>895</v>
      </c>
      <c r="B1003" s="50" t="s">
        <v>918</v>
      </c>
      <c r="C1003" s="50" t="s">
        <v>256</v>
      </c>
      <c r="D1003" s="50">
        <v>30</v>
      </c>
      <c r="E1003" s="50" t="s">
        <v>783</v>
      </c>
      <c r="F1003" s="50" t="s">
        <v>784</v>
      </c>
      <c r="G1003" s="50" t="s">
        <v>256</v>
      </c>
      <c r="H1003" s="50">
        <v>100</v>
      </c>
      <c r="M1003" t="str">
        <f>IF(COUNTIF($A:$A,E1003)=0,"Not Exists","Exists")</f>
        <v>Exists</v>
      </c>
      <c r="N1003" t="str">
        <f t="shared" si="51"/>
        <v>Exists</v>
      </c>
      <c r="O1003" t="str">
        <f t="shared" si="49"/>
        <v>Not Exists</v>
      </c>
      <c r="P1003" t="str">
        <f t="shared" si="50"/>
        <v>Not Exists</v>
      </c>
    </row>
    <row r="1004" spans="1:16">
      <c r="A1004" s="50" t="s">
        <v>895</v>
      </c>
      <c r="B1004" s="50" t="s">
        <v>919</v>
      </c>
      <c r="C1004" s="50" t="s">
        <v>256</v>
      </c>
      <c r="D1004" s="50">
        <v>30</v>
      </c>
      <c r="E1004" s="50" t="s">
        <v>783</v>
      </c>
      <c r="F1004" s="50" t="s">
        <v>612</v>
      </c>
      <c r="G1004" s="50" t="s">
        <v>256</v>
      </c>
      <c r="H1004" s="50">
        <v>50</v>
      </c>
      <c r="M1004" t="str">
        <f>IF(COUNTIF($A:$A,E1004)=0,"Not Exists","Exists")</f>
        <v>Exists</v>
      </c>
      <c r="N1004" t="str">
        <f t="shared" si="51"/>
        <v>Exists</v>
      </c>
      <c r="O1004" t="str">
        <f t="shared" si="49"/>
        <v>Not Exists</v>
      </c>
      <c r="P1004" t="str">
        <f t="shared" si="50"/>
        <v>Not Exists</v>
      </c>
    </row>
    <row r="1005" spans="1:16">
      <c r="A1005" s="50" t="s">
        <v>895</v>
      </c>
      <c r="B1005" s="50" t="s">
        <v>365</v>
      </c>
      <c r="C1005" s="50" t="s">
        <v>256</v>
      </c>
      <c r="D1005" s="50">
        <v>14</v>
      </c>
      <c r="E1005" s="50" t="s">
        <v>783</v>
      </c>
      <c r="F1005" s="50" t="s">
        <v>478</v>
      </c>
      <c r="G1005" s="50" t="s">
        <v>256</v>
      </c>
      <c r="H1005" s="50">
        <v>50</v>
      </c>
      <c r="M1005" t="str">
        <f>IF(COUNTIF($A:$A,E1005)=0,"Not Exists","Exists")</f>
        <v>Exists</v>
      </c>
      <c r="N1005" t="str">
        <f t="shared" si="51"/>
        <v>Exists</v>
      </c>
      <c r="O1005" t="str">
        <f t="shared" si="49"/>
        <v>Not Exists</v>
      </c>
      <c r="P1005" t="str">
        <f t="shared" si="50"/>
        <v>Not Exists</v>
      </c>
    </row>
    <row r="1006" spans="1:16">
      <c r="A1006" s="50" t="s">
        <v>895</v>
      </c>
      <c r="B1006" s="50" t="s">
        <v>364</v>
      </c>
      <c r="C1006" s="50" t="s">
        <v>256</v>
      </c>
      <c r="D1006" s="50">
        <v>14</v>
      </c>
      <c r="E1006" s="50" t="s">
        <v>783</v>
      </c>
      <c r="F1006" s="50" t="s">
        <v>785</v>
      </c>
      <c r="G1006" s="50" t="s">
        <v>254</v>
      </c>
      <c r="H1006" s="50">
        <v>22</v>
      </c>
      <c r="M1006" t="str">
        <f>IF(COUNTIF($A:$A,E1006)=0,"Not Exists","Exists")</f>
        <v>Exists</v>
      </c>
      <c r="N1006" t="str">
        <f t="shared" si="51"/>
        <v>Exists</v>
      </c>
      <c r="O1006" t="str">
        <f t="shared" si="49"/>
        <v>Not Exists</v>
      </c>
      <c r="P1006" t="str">
        <f t="shared" si="50"/>
        <v>Not Exists</v>
      </c>
    </row>
    <row r="1007" spans="1:16">
      <c r="A1007" s="50" t="s">
        <v>895</v>
      </c>
      <c r="B1007" s="50" t="s">
        <v>436</v>
      </c>
      <c r="C1007" s="50" t="s">
        <v>256</v>
      </c>
      <c r="D1007" s="50">
        <v>50</v>
      </c>
      <c r="E1007" s="50" t="s">
        <v>783</v>
      </c>
      <c r="F1007" s="50" t="s">
        <v>786</v>
      </c>
      <c r="G1007" s="50" t="s">
        <v>256</v>
      </c>
      <c r="H1007" s="50">
        <v>1</v>
      </c>
      <c r="M1007" t="str">
        <f>IF(COUNTIF($A:$A,E1007)=0,"Not Exists","Exists")</f>
        <v>Exists</v>
      </c>
      <c r="N1007" t="str">
        <f t="shared" si="51"/>
        <v>Exists</v>
      </c>
      <c r="O1007" t="str">
        <f t="shared" si="49"/>
        <v>Not Exists</v>
      </c>
      <c r="P1007" t="str">
        <f t="shared" si="50"/>
        <v>Not Exists</v>
      </c>
    </row>
    <row r="1008" spans="1:16">
      <c r="A1008" s="50" t="s">
        <v>920</v>
      </c>
      <c r="B1008" s="50" t="s">
        <v>357</v>
      </c>
      <c r="C1008" s="50" t="s">
        <v>256</v>
      </c>
      <c r="D1008" s="50">
        <v>50</v>
      </c>
      <c r="E1008" s="50" t="s">
        <v>783</v>
      </c>
      <c r="F1008" s="50" t="s">
        <v>788</v>
      </c>
      <c r="G1008" s="50" t="s">
        <v>256</v>
      </c>
      <c r="H1008" s="50">
        <v>2000</v>
      </c>
      <c r="M1008" t="str">
        <f>IF(COUNTIF($A:$A,E1008)=0,"Not Exists","Exists")</f>
        <v>Exists</v>
      </c>
      <c r="N1008" t="str">
        <f t="shared" si="51"/>
        <v>Exists</v>
      </c>
      <c r="O1008" t="str">
        <f t="shared" si="49"/>
        <v>Not Exists</v>
      </c>
      <c r="P1008" t="str">
        <f t="shared" si="50"/>
        <v>Exists</v>
      </c>
    </row>
    <row r="1009" spans="1:16">
      <c r="A1009" s="50" t="s">
        <v>920</v>
      </c>
      <c r="B1009" s="50" t="s">
        <v>616</v>
      </c>
      <c r="C1009" s="50" t="s">
        <v>256</v>
      </c>
      <c r="D1009" s="50">
        <v>14</v>
      </c>
      <c r="E1009" s="50" t="s">
        <v>783</v>
      </c>
      <c r="F1009" s="50" t="s">
        <v>789</v>
      </c>
      <c r="G1009" s="50" t="s">
        <v>256</v>
      </c>
      <c r="H1009" s="50">
        <v>2000</v>
      </c>
      <c r="M1009" t="str">
        <f>IF(COUNTIF($A:$A,E1009)=0,"Not Exists","Exists")</f>
        <v>Exists</v>
      </c>
      <c r="N1009" t="str">
        <f t="shared" si="51"/>
        <v>Exists</v>
      </c>
      <c r="O1009" t="str">
        <f t="shared" si="49"/>
        <v>Not Exists</v>
      </c>
      <c r="P1009" t="str">
        <f t="shared" si="50"/>
        <v>Exists</v>
      </c>
    </row>
    <row r="1010" spans="1:16">
      <c r="A1010" s="50" t="s">
        <v>920</v>
      </c>
      <c r="B1010" s="50" t="s">
        <v>618</v>
      </c>
      <c r="C1010" s="50" t="s">
        <v>256</v>
      </c>
      <c r="D1010" s="50">
        <v>14</v>
      </c>
      <c r="E1010" s="50" t="s">
        <v>783</v>
      </c>
      <c r="F1010" s="50" t="s">
        <v>790</v>
      </c>
      <c r="G1010" s="50" t="s">
        <v>256</v>
      </c>
      <c r="H1010" s="50">
        <v>2000</v>
      </c>
      <c r="M1010" t="str">
        <f>IF(COUNTIF($A:$A,E1010)=0,"Not Exists","Exists")</f>
        <v>Exists</v>
      </c>
      <c r="N1010" t="str">
        <f t="shared" si="51"/>
        <v>Exists</v>
      </c>
      <c r="O1010" t="str">
        <f t="shared" si="49"/>
        <v>Not Exists</v>
      </c>
      <c r="P1010" t="str">
        <f t="shared" si="50"/>
        <v>Exists</v>
      </c>
    </row>
    <row r="1011" spans="1:16">
      <c r="A1011" s="50" t="s">
        <v>920</v>
      </c>
      <c r="B1011" s="50" t="s">
        <v>620</v>
      </c>
      <c r="C1011" s="50" t="s">
        <v>251</v>
      </c>
      <c r="D1011" s="50">
        <v>1</v>
      </c>
      <c r="E1011" s="50" t="s">
        <v>783</v>
      </c>
      <c r="F1011" s="50" t="s">
        <v>791</v>
      </c>
      <c r="G1011" s="50" t="s">
        <v>256</v>
      </c>
      <c r="H1011" s="50">
        <v>2000</v>
      </c>
      <c r="M1011" t="str">
        <f>IF(COUNTIF($A:$A,E1011)=0,"Not Exists","Exists")</f>
        <v>Exists</v>
      </c>
      <c r="N1011" t="str">
        <f t="shared" si="51"/>
        <v>Exists</v>
      </c>
      <c r="O1011" t="str">
        <f t="shared" si="49"/>
        <v>Not Exists</v>
      </c>
      <c r="P1011" t="str">
        <f t="shared" si="50"/>
        <v>Exists</v>
      </c>
    </row>
    <row r="1012" spans="1:16">
      <c r="A1012" s="50" t="s">
        <v>920</v>
      </c>
      <c r="B1012" s="50" t="s">
        <v>373</v>
      </c>
      <c r="C1012" s="50" t="s">
        <v>251</v>
      </c>
      <c r="D1012" s="50">
        <v>1</v>
      </c>
      <c r="E1012" s="50" t="s">
        <v>783</v>
      </c>
      <c r="F1012" s="50" t="s">
        <v>921</v>
      </c>
      <c r="G1012" s="50" t="s">
        <v>256</v>
      </c>
      <c r="H1012" s="50">
        <v>2000</v>
      </c>
      <c r="M1012" t="str">
        <f>IF(COUNTIF($A:$A,E1012)=0,"Not Exists","Exists")</f>
        <v>Exists</v>
      </c>
      <c r="N1012" t="str">
        <f t="shared" si="51"/>
        <v>Not Exists</v>
      </c>
      <c r="O1012" t="str">
        <f t="shared" si="49"/>
        <v>Not Exists</v>
      </c>
      <c r="P1012" t="str">
        <f t="shared" si="50"/>
        <v>Exists</v>
      </c>
    </row>
    <row r="1013" spans="1:16">
      <c r="A1013" s="50" t="s">
        <v>920</v>
      </c>
      <c r="B1013" s="50" t="s">
        <v>622</v>
      </c>
      <c r="C1013" s="50" t="s">
        <v>256</v>
      </c>
      <c r="D1013" s="50">
        <v>500</v>
      </c>
      <c r="E1013" s="50" t="s">
        <v>783</v>
      </c>
      <c r="F1013" s="50" t="s">
        <v>922</v>
      </c>
      <c r="G1013" s="50" t="s">
        <v>256</v>
      </c>
      <c r="H1013" s="50">
        <v>2000</v>
      </c>
      <c r="M1013" t="str">
        <f>IF(COUNTIF($A:$A,E1013)=0,"Not Exists","Exists")</f>
        <v>Exists</v>
      </c>
      <c r="N1013" t="str">
        <f t="shared" si="51"/>
        <v>Not Exists</v>
      </c>
      <c r="O1013" t="str">
        <f t="shared" si="49"/>
        <v>Not Exists</v>
      </c>
      <c r="P1013" t="str">
        <f t="shared" si="50"/>
        <v>Exists</v>
      </c>
    </row>
    <row r="1014" spans="1:16">
      <c r="A1014" s="50" t="s">
        <v>920</v>
      </c>
      <c r="B1014" s="50" t="s">
        <v>315</v>
      </c>
      <c r="C1014" s="50" t="s">
        <v>251</v>
      </c>
      <c r="D1014" s="50">
        <v>17</v>
      </c>
      <c r="E1014" s="50" t="s">
        <v>783</v>
      </c>
      <c r="F1014" s="50" t="s">
        <v>923</v>
      </c>
      <c r="G1014" s="50" t="s">
        <v>256</v>
      </c>
      <c r="H1014" s="50">
        <v>2000</v>
      </c>
      <c r="M1014" t="str">
        <f>IF(COUNTIF($A:$A,E1014)=0,"Not Exists","Exists")</f>
        <v>Exists</v>
      </c>
      <c r="N1014" t="str">
        <f t="shared" si="51"/>
        <v>Not Exists</v>
      </c>
      <c r="O1014" t="str">
        <f t="shared" si="49"/>
        <v>Not Exists</v>
      </c>
      <c r="P1014" t="str">
        <f t="shared" si="50"/>
        <v>Exists</v>
      </c>
    </row>
    <row r="1015" spans="1:16">
      <c r="A1015" s="50" t="s">
        <v>920</v>
      </c>
      <c r="B1015" s="50" t="s">
        <v>317</v>
      </c>
      <c r="C1015" s="50" t="s">
        <v>251</v>
      </c>
      <c r="D1015" s="50">
        <v>17</v>
      </c>
      <c r="E1015" s="50" t="s">
        <v>783</v>
      </c>
      <c r="F1015" s="50" t="s">
        <v>792</v>
      </c>
      <c r="G1015" s="50" t="s">
        <v>256</v>
      </c>
      <c r="H1015" s="50">
        <v>100</v>
      </c>
      <c r="M1015" t="str">
        <f>IF(COUNTIF($A:$A,E1015)=0,"Not Exists","Exists")</f>
        <v>Exists</v>
      </c>
      <c r="N1015" t="str">
        <f t="shared" si="51"/>
        <v>Exists</v>
      </c>
      <c r="O1015" t="str">
        <f t="shared" si="49"/>
        <v>Not Exists</v>
      </c>
      <c r="P1015" t="str">
        <f t="shared" si="50"/>
        <v>Exists</v>
      </c>
    </row>
    <row r="1016" spans="1:16">
      <c r="A1016" s="50" t="s">
        <v>920</v>
      </c>
      <c r="B1016" s="50" t="s">
        <v>316</v>
      </c>
      <c r="C1016" s="50" t="s">
        <v>256</v>
      </c>
      <c r="D1016" s="50">
        <v>50</v>
      </c>
      <c r="E1016" s="50" t="s">
        <v>783</v>
      </c>
      <c r="F1016" s="50" t="s">
        <v>924</v>
      </c>
      <c r="G1016" s="50" t="s">
        <v>256</v>
      </c>
      <c r="H1016" s="50">
        <v>100</v>
      </c>
      <c r="M1016" t="str">
        <f>IF(COUNTIF($A:$A,E1016)=0,"Not Exists","Exists")</f>
        <v>Exists</v>
      </c>
      <c r="N1016" t="str">
        <f t="shared" si="51"/>
        <v>Not Exists</v>
      </c>
      <c r="O1016" t="str">
        <f t="shared" si="49"/>
        <v>Not Exists</v>
      </c>
      <c r="P1016" t="str">
        <f t="shared" si="50"/>
        <v>Exists</v>
      </c>
    </row>
    <row r="1017" spans="1:16">
      <c r="A1017" s="50" t="s">
        <v>920</v>
      </c>
      <c r="B1017" s="50" t="s">
        <v>318</v>
      </c>
      <c r="C1017" s="50" t="s">
        <v>256</v>
      </c>
      <c r="D1017" s="50">
        <v>50</v>
      </c>
      <c r="E1017" s="50" t="s">
        <v>783</v>
      </c>
      <c r="F1017" s="50" t="s">
        <v>599</v>
      </c>
      <c r="G1017" s="50" t="s">
        <v>256</v>
      </c>
      <c r="H1017" s="50">
        <v>8</v>
      </c>
      <c r="M1017" t="str">
        <f>IF(COUNTIF($A:$A,E1017)=0,"Not Exists","Exists")</f>
        <v>Exists</v>
      </c>
      <c r="N1017" t="str">
        <f t="shared" si="51"/>
        <v>Not Exists</v>
      </c>
      <c r="O1017" t="str">
        <f t="shared" si="49"/>
        <v>Not Exists</v>
      </c>
      <c r="P1017" t="str">
        <f t="shared" si="50"/>
        <v>Exists</v>
      </c>
    </row>
    <row r="1018" spans="1:16">
      <c r="A1018" s="50" t="s">
        <v>920</v>
      </c>
      <c r="B1018" s="50" t="s">
        <v>436</v>
      </c>
      <c r="C1018" s="50" t="s">
        <v>256</v>
      </c>
      <c r="D1018" s="50">
        <v>50</v>
      </c>
      <c r="E1018" s="50" t="s">
        <v>783</v>
      </c>
      <c r="F1018" s="50" t="s">
        <v>782</v>
      </c>
      <c r="G1018" s="50" t="s">
        <v>254</v>
      </c>
      <c r="H1018" s="50">
        <v>22</v>
      </c>
      <c r="M1018" t="str">
        <f>IF(COUNTIF($A:$A,E1018)=0,"Not Exists","Exists")</f>
        <v>Exists</v>
      </c>
      <c r="N1018" t="str">
        <f t="shared" si="51"/>
        <v>Exists</v>
      </c>
      <c r="O1018" t="str">
        <f t="shared" si="49"/>
        <v>Not Exists</v>
      </c>
      <c r="P1018" t="str">
        <f t="shared" si="50"/>
        <v>Not Exists</v>
      </c>
    </row>
    <row r="1019" spans="1:16">
      <c r="A1019" s="50" t="s">
        <v>925</v>
      </c>
      <c r="B1019" s="50" t="s">
        <v>926</v>
      </c>
      <c r="C1019" s="50" t="s">
        <v>256</v>
      </c>
      <c r="D1019" s="50">
        <v>57</v>
      </c>
      <c r="E1019" s="50" t="s">
        <v>783</v>
      </c>
      <c r="F1019" s="50" t="s">
        <v>597</v>
      </c>
      <c r="G1019" s="50" t="s">
        <v>256</v>
      </c>
      <c r="H1019" s="50">
        <v>4</v>
      </c>
      <c r="M1019" t="str">
        <f>IF(COUNTIF($A:$A,E1019)=0,"Not Exists","Exists")</f>
        <v>Exists</v>
      </c>
      <c r="N1019" t="str">
        <f t="shared" si="51"/>
        <v>Not Exists</v>
      </c>
      <c r="O1019" t="str">
        <f t="shared" si="49"/>
        <v>Exists</v>
      </c>
      <c r="P1019" t="str">
        <f t="shared" si="50"/>
        <v>Exists</v>
      </c>
    </row>
    <row r="1020" spans="1:16">
      <c r="A1020" s="50" t="s">
        <v>925</v>
      </c>
      <c r="B1020" s="50" t="s">
        <v>424</v>
      </c>
      <c r="C1020" s="50" t="s">
        <v>256</v>
      </c>
      <c r="D1020" s="50">
        <v>50</v>
      </c>
      <c r="E1020" s="50" t="s">
        <v>783</v>
      </c>
      <c r="F1020" s="50" t="s">
        <v>787</v>
      </c>
      <c r="G1020" s="50" t="s">
        <v>256</v>
      </c>
      <c r="H1020" s="50">
        <v>200</v>
      </c>
      <c r="M1020" t="str">
        <f>IF(COUNTIF($A:$A,E1020)=0,"Not Exists","Exists")</f>
        <v>Exists</v>
      </c>
      <c r="N1020" t="str">
        <f t="shared" si="51"/>
        <v>Exists</v>
      </c>
      <c r="O1020" t="str">
        <f t="shared" si="49"/>
        <v>Exists</v>
      </c>
      <c r="P1020" t="str">
        <f t="shared" si="50"/>
        <v>Exists</v>
      </c>
    </row>
    <row r="1021" spans="1:16">
      <c r="A1021" s="50" t="s">
        <v>925</v>
      </c>
      <c r="B1021" s="50" t="s">
        <v>927</v>
      </c>
      <c r="C1021" s="50" t="s">
        <v>254</v>
      </c>
      <c r="D1021" s="50">
        <v>22</v>
      </c>
      <c r="E1021" s="50" t="s">
        <v>928</v>
      </c>
      <c r="F1021" s="50" t="s">
        <v>929</v>
      </c>
      <c r="G1021" s="50" t="s">
        <v>256</v>
      </c>
      <c r="H1021" s="50">
        <v>2</v>
      </c>
      <c r="M1021" t="str">
        <f>IF(COUNTIF($A:$A,E1021)=0,"Not Exists","Exists")</f>
        <v>Not Exists</v>
      </c>
      <c r="N1021" t="str">
        <f t="shared" ref="N1021:N1084" si="52">IF(COUNTIF($A:$B,F1021)=0,"Not Exists","Exists")</f>
        <v>Not Exists</v>
      </c>
      <c r="O1021" t="str">
        <f t="shared" si="49"/>
        <v>Exists</v>
      </c>
      <c r="P1021" t="str">
        <f t="shared" si="50"/>
        <v>Exists</v>
      </c>
    </row>
    <row r="1022" spans="1:16">
      <c r="A1022" s="50" t="s">
        <v>925</v>
      </c>
      <c r="B1022" s="50" t="s">
        <v>436</v>
      </c>
      <c r="C1022" s="50" t="s">
        <v>256</v>
      </c>
      <c r="D1022" s="50">
        <v>50</v>
      </c>
      <c r="E1022" s="50" t="s">
        <v>928</v>
      </c>
      <c r="F1022" s="50" t="s">
        <v>780</v>
      </c>
      <c r="G1022" s="50" t="s">
        <v>256</v>
      </c>
      <c r="H1022" s="50">
        <v>20</v>
      </c>
      <c r="M1022" t="str">
        <f>IF(COUNTIF($A:$A,E1022)=0,"Not Exists","Exists")</f>
        <v>Not Exists</v>
      </c>
      <c r="N1022" t="str">
        <f t="shared" si="52"/>
        <v>Exists</v>
      </c>
      <c r="O1022" t="str">
        <f t="shared" si="49"/>
        <v>Exists</v>
      </c>
      <c r="P1022" t="str">
        <f t="shared" si="50"/>
        <v>Not Exists</v>
      </c>
    </row>
    <row r="1023" spans="1:16">
      <c r="A1023" s="50" t="s">
        <v>925</v>
      </c>
      <c r="B1023" s="50" t="s">
        <v>930</v>
      </c>
      <c r="C1023" s="50" t="s">
        <v>256</v>
      </c>
      <c r="D1023" s="50">
        <v>50</v>
      </c>
      <c r="E1023" s="50" t="s">
        <v>928</v>
      </c>
      <c r="F1023" s="50" t="s">
        <v>796</v>
      </c>
      <c r="G1023" s="50" t="s">
        <v>254</v>
      </c>
      <c r="H1023" s="50">
        <v>22</v>
      </c>
      <c r="M1023" t="str">
        <f>IF(COUNTIF($A:$A,E1023)=0,"Not Exists","Exists")</f>
        <v>Not Exists</v>
      </c>
      <c r="N1023" t="str">
        <f t="shared" si="52"/>
        <v>Exists</v>
      </c>
      <c r="O1023" t="str">
        <f t="shared" si="49"/>
        <v>Exists</v>
      </c>
      <c r="P1023" t="str">
        <f t="shared" si="50"/>
        <v>Exists</v>
      </c>
    </row>
    <row r="1024" spans="1:16">
      <c r="A1024" s="50" t="s">
        <v>925</v>
      </c>
      <c r="B1024" s="50" t="s">
        <v>931</v>
      </c>
      <c r="C1024" s="50" t="s">
        <v>256</v>
      </c>
      <c r="D1024" s="50">
        <v>50</v>
      </c>
      <c r="E1024" s="50" t="s">
        <v>928</v>
      </c>
      <c r="F1024" s="50" t="s">
        <v>932</v>
      </c>
      <c r="G1024" s="50" t="s">
        <v>256</v>
      </c>
      <c r="H1024" s="50">
        <v>17</v>
      </c>
      <c r="M1024" t="str">
        <f>IF(COUNTIF($A:$A,E1024)=0,"Not Exists","Exists")</f>
        <v>Not Exists</v>
      </c>
      <c r="N1024" t="str">
        <f t="shared" si="52"/>
        <v>Not Exists</v>
      </c>
      <c r="O1024" t="str">
        <f t="shared" si="49"/>
        <v>Exists</v>
      </c>
      <c r="P1024" t="str">
        <f t="shared" si="50"/>
        <v>Exists</v>
      </c>
    </row>
    <row r="1025" spans="1:16">
      <c r="A1025" s="50" t="s">
        <v>925</v>
      </c>
      <c r="B1025" s="50" t="s">
        <v>357</v>
      </c>
      <c r="C1025" s="50" t="s">
        <v>256</v>
      </c>
      <c r="D1025" s="50">
        <v>50</v>
      </c>
      <c r="E1025" s="50" t="s">
        <v>928</v>
      </c>
      <c r="F1025" s="50" t="s">
        <v>595</v>
      </c>
      <c r="G1025" s="50" t="s">
        <v>256</v>
      </c>
      <c r="H1025" s="50">
        <v>7</v>
      </c>
      <c r="M1025" t="str">
        <f>IF(COUNTIF($A:$A,E1025)=0,"Not Exists","Exists")</f>
        <v>Not Exists</v>
      </c>
      <c r="N1025" t="str">
        <f t="shared" si="52"/>
        <v>Not Exists</v>
      </c>
      <c r="O1025" t="str">
        <f t="shared" si="49"/>
        <v>Exists</v>
      </c>
      <c r="P1025" t="str">
        <f t="shared" si="50"/>
        <v>Exists</v>
      </c>
    </row>
    <row r="1026" spans="1:16">
      <c r="A1026" s="50" t="s">
        <v>925</v>
      </c>
      <c r="B1026" s="50" t="s">
        <v>430</v>
      </c>
      <c r="C1026" s="50" t="s">
        <v>256</v>
      </c>
      <c r="D1026" s="50">
        <v>50</v>
      </c>
      <c r="E1026" s="50" t="s">
        <v>928</v>
      </c>
      <c r="F1026" s="50" t="s">
        <v>933</v>
      </c>
      <c r="G1026" s="50" t="s">
        <v>256</v>
      </c>
      <c r="H1026" s="50">
        <v>50</v>
      </c>
      <c r="M1026" t="str">
        <f>IF(COUNTIF($A:$A,E1026)=0,"Not Exists","Exists")</f>
        <v>Not Exists</v>
      </c>
      <c r="N1026" t="str">
        <f t="shared" si="52"/>
        <v>Not Exists</v>
      </c>
      <c r="O1026" t="str">
        <f t="shared" si="49"/>
        <v>Exists</v>
      </c>
      <c r="P1026" t="str">
        <f t="shared" si="50"/>
        <v>Exists</v>
      </c>
    </row>
    <row r="1027" spans="1:16">
      <c r="A1027" s="50" t="s">
        <v>925</v>
      </c>
      <c r="B1027" s="50" t="s">
        <v>934</v>
      </c>
      <c r="C1027" s="50" t="s">
        <v>256</v>
      </c>
      <c r="D1027" s="50">
        <v>500</v>
      </c>
      <c r="E1027" s="50" t="s">
        <v>928</v>
      </c>
      <c r="F1027" s="50" t="s">
        <v>597</v>
      </c>
      <c r="G1027" s="50" t="s">
        <v>256</v>
      </c>
      <c r="H1027" s="50">
        <v>4</v>
      </c>
      <c r="M1027" t="str">
        <f>IF(COUNTIF($A:$A,E1027)=0,"Not Exists","Exists")</f>
        <v>Not Exists</v>
      </c>
      <c r="N1027" t="str">
        <f t="shared" si="52"/>
        <v>Not Exists</v>
      </c>
      <c r="O1027" t="str">
        <f t="shared" si="49"/>
        <v>Exists</v>
      </c>
      <c r="P1027" t="str">
        <f t="shared" si="50"/>
        <v>Exists</v>
      </c>
    </row>
    <row r="1028" spans="1:16">
      <c r="A1028" s="50" t="s">
        <v>925</v>
      </c>
      <c r="B1028" s="50" t="s">
        <v>935</v>
      </c>
      <c r="C1028" s="50" t="s">
        <v>256</v>
      </c>
      <c r="D1028" s="50">
        <v>50</v>
      </c>
      <c r="E1028" s="50" t="s">
        <v>928</v>
      </c>
      <c r="F1028" s="50" t="s">
        <v>599</v>
      </c>
      <c r="G1028" s="50" t="s">
        <v>256</v>
      </c>
      <c r="H1028" s="50">
        <v>8</v>
      </c>
      <c r="M1028" t="str">
        <f>IF(COUNTIF($A:$A,E1028)=0,"Not Exists","Exists")</f>
        <v>Not Exists</v>
      </c>
      <c r="N1028" t="str">
        <f t="shared" si="52"/>
        <v>Not Exists</v>
      </c>
      <c r="O1028" t="str">
        <f t="shared" ref="O1028:O1091" si="53">IF(COUNTIF($E:$E,A1028)=0,"Not Exists","Exists")</f>
        <v>Exists</v>
      </c>
      <c r="P1028" t="str">
        <f t="shared" ref="P1028:P1091" si="54">IF(COUNTIF($F:$F,B1028)=0,"Not Exists","Exists")</f>
        <v>Exists</v>
      </c>
    </row>
    <row r="1029" spans="1:16">
      <c r="A1029" s="50" t="s">
        <v>925</v>
      </c>
      <c r="B1029" s="50" t="s">
        <v>936</v>
      </c>
      <c r="C1029" s="50" t="s">
        <v>256</v>
      </c>
      <c r="D1029" s="50">
        <v>500</v>
      </c>
      <c r="E1029" s="50" t="s">
        <v>928</v>
      </c>
      <c r="F1029" s="50" t="s">
        <v>628</v>
      </c>
      <c r="G1029" s="50" t="s">
        <v>256</v>
      </c>
      <c r="H1029" s="50">
        <v>1</v>
      </c>
      <c r="M1029" t="str">
        <f>IF(COUNTIF($A:$A,E1029)=0,"Not Exists","Exists")</f>
        <v>Not Exists</v>
      </c>
      <c r="N1029" t="str">
        <f t="shared" si="52"/>
        <v>Not Exists</v>
      </c>
      <c r="O1029" t="str">
        <f t="shared" si="53"/>
        <v>Exists</v>
      </c>
      <c r="P1029" t="str">
        <f t="shared" si="54"/>
        <v>Exists</v>
      </c>
    </row>
    <row r="1030" spans="1:16">
      <c r="A1030" s="50" t="s">
        <v>925</v>
      </c>
      <c r="B1030" s="50" t="s">
        <v>937</v>
      </c>
      <c r="C1030" s="50" t="s">
        <v>256</v>
      </c>
      <c r="D1030" s="50">
        <v>50</v>
      </c>
      <c r="E1030" s="50" t="s">
        <v>928</v>
      </c>
      <c r="F1030" s="50" t="s">
        <v>630</v>
      </c>
      <c r="G1030" s="50" t="s">
        <v>256</v>
      </c>
      <c r="H1030" s="50">
        <v>1</v>
      </c>
      <c r="M1030" t="str">
        <f>IF(COUNTIF($A:$A,E1030)=0,"Not Exists","Exists")</f>
        <v>Not Exists</v>
      </c>
      <c r="N1030" t="str">
        <f t="shared" si="52"/>
        <v>Not Exists</v>
      </c>
      <c r="O1030" t="str">
        <f t="shared" si="53"/>
        <v>Exists</v>
      </c>
      <c r="P1030" t="str">
        <f t="shared" si="54"/>
        <v>Exists</v>
      </c>
    </row>
    <row r="1031" spans="1:16">
      <c r="A1031" s="50" t="s">
        <v>925</v>
      </c>
      <c r="B1031" s="50" t="s">
        <v>938</v>
      </c>
      <c r="C1031" s="50" t="s">
        <v>256</v>
      </c>
      <c r="D1031" s="50">
        <v>50</v>
      </c>
      <c r="E1031" s="50" t="s">
        <v>928</v>
      </c>
      <c r="F1031" s="50" t="s">
        <v>939</v>
      </c>
      <c r="G1031" s="50" t="s">
        <v>256</v>
      </c>
      <c r="H1031" s="50">
        <v>8</v>
      </c>
      <c r="M1031" t="str">
        <f>IF(COUNTIF($A:$A,E1031)=0,"Not Exists","Exists")</f>
        <v>Not Exists</v>
      </c>
      <c r="N1031" t="str">
        <f t="shared" si="52"/>
        <v>Not Exists</v>
      </c>
      <c r="O1031" t="str">
        <f t="shared" si="53"/>
        <v>Exists</v>
      </c>
      <c r="P1031" t="str">
        <f t="shared" si="54"/>
        <v>Exists</v>
      </c>
    </row>
    <row r="1032" spans="1:16">
      <c r="A1032" s="50" t="s">
        <v>925</v>
      </c>
      <c r="B1032" s="50" t="s">
        <v>940</v>
      </c>
      <c r="C1032" s="50" t="s">
        <v>256</v>
      </c>
      <c r="D1032" s="50">
        <v>450</v>
      </c>
      <c r="E1032" s="50" t="s">
        <v>928</v>
      </c>
      <c r="F1032" s="50" t="s">
        <v>941</v>
      </c>
      <c r="G1032" s="50" t="s">
        <v>256</v>
      </c>
      <c r="H1032" s="50">
        <v>1</v>
      </c>
      <c r="M1032" t="str">
        <f>IF(COUNTIF($A:$A,E1032)=0,"Not Exists","Exists")</f>
        <v>Not Exists</v>
      </c>
      <c r="N1032" t="str">
        <f t="shared" si="52"/>
        <v>Not Exists</v>
      </c>
      <c r="O1032" t="str">
        <f t="shared" si="53"/>
        <v>Exists</v>
      </c>
      <c r="P1032" t="str">
        <f t="shared" si="54"/>
        <v>Exists</v>
      </c>
    </row>
    <row r="1033" spans="1:16">
      <c r="A1033" s="50" t="s">
        <v>925</v>
      </c>
      <c r="B1033" s="50" t="s">
        <v>942</v>
      </c>
      <c r="C1033" s="50" t="s">
        <v>251</v>
      </c>
      <c r="D1033" s="50">
        <v>17</v>
      </c>
      <c r="E1033" s="50" t="s">
        <v>928</v>
      </c>
      <c r="F1033" s="50" t="s">
        <v>943</v>
      </c>
      <c r="G1033" s="50" t="s">
        <v>254</v>
      </c>
      <c r="H1033" s="50">
        <v>22</v>
      </c>
      <c r="M1033" t="str">
        <f>IF(COUNTIF($A:$A,E1033)=0,"Not Exists","Exists")</f>
        <v>Not Exists</v>
      </c>
      <c r="N1033" t="str">
        <f t="shared" si="52"/>
        <v>Not Exists</v>
      </c>
      <c r="O1033" t="str">
        <f t="shared" si="53"/>
        <v>Exists</v>
      </c>
      <c r="P1033" t="str">
        <f t="shared" si="54"/>
        <v>Exists</v>
      </c>
    </row>
    <row r="1034" spans="1:16">
      <c r="A1034" s="50" t="s">
        <v>925</v>
      </c>
      <c r="B1034" s="50" t="s">
        <v>944</v>
      </c>
      <c r="C1034" s="50" t="s">
        <v>251</v>
      </c>
      <c r="D1034" s="50">
        <v>17</v>
      </c>
      <c r="E1034" s="50" t="s">
        <v>928</v>
      </c>
      <c r="F1034" s="50" t="s">
        <v>945</v>
      </c>
      <c r="G1034" s="50" t="s">
        <v>254</v>
      </c>
      <c r="H1034" s="50">
        <v>22</v>
      </c>
      <c r="M1034" t="str">
        <f>IF(COUNTIF($A:$A,E1034)=0,"Not Exists","Exists")</f>
        <v>Not Exists</v>
      </c>
      <c r="N1034" t="str">
        <f t="shared" si="52"/>
        <v>Not Exists</v>
      </c>
      <c r="O1034" t="str">
        <f t="shared" si="53"/>
        <v>Exists</v>
      </c>
      <c r="P1034" t="str">
        <f t="shared" si="54"/>
        <v>Exists</v>
      </c>
    </row>
    <row r="1035" spans="1:16">
      <c r="A1035" s="50" t="s">
        <v>925</v>
      </c>
      <c r="B1035" s="50" t="s">
        <v>946</v>
      </c>
      <c r="C1035" s="50" t="s">
        <v>256</v>
      </c>
      <c r="D1035" s="50">
        <v>20</v>
      </c>
      <c r="E1035" s="50" t="s">
        <v>928</v>
      </c>
      <c r="F1035" s="50" t="s">
        <v>947</v>
      </c>
      <c r="G1035" s="50" t="s">
        <v>256</v>
      </c>
      <c r="H1035" s="50">
        <v>9</v>
      </c>
      <c r="M1035" t="str">
        <f>IF(COUNTIF($A:$A,E1035)=0,"Not Exists","Exists")</f>
        <v>Not Exists</v>
      </c>
      <c r="N1035" t="str">
        <f t="shared" si="52"/>
        <v>Not Exists</v>
      </c>
      <c r="O1035" t="str">
        <f t="shared" si="53"/>
        <v>Exists</v>
      </c>
      <c r="P1035" t="str">
        <f t="shared" si="54"/>
        <v>Exists</v>
      </c>
    </row>
    <row r="1036" spans="1:16">
      <c r="A1036" s="50" t="s">
        <v>925</v>
      </c>
      <c r="B1036" s="50" t="s">
        <v>948</v>
      </c>
      <c r="C1036" s="50" t="s">
        <v>251</v>
      </c>
      <c r="D1036" s="50">
        <v>1</v>
      </c>
      <c r="E1036" s="50" t="s">
        <v>928</v>
      </c>
      <c r="F1036" s="50" t="s">
        <v>949</v>
      </c>
      <c r="G1036" s="50" t="s">
        <v>256</v>
      </c>
      <c r="H1036" s="50">
        <v>9</v>
      </c>
      <c r="M1036" t="str">
        <f>IF(COUNTIF($A:$A,E1036)=0,"Not Exists","Exists")</f>
        <v>Not Exists</v>
      </c>
      <c r="N1036" t="str">
        <f t="shared" si="52"/>
        <v>Not Exists</v>
      </c>
      <c r="O1036" t="str">
        <f t="shared" si="53"/>
        <v>Exists</v>
      </c>
      <c r="P1036" t="str">
        <f t="shared" si="54"/>
        <v>Exists</v>
      </c>
    </row>
    <row r="1037" spans="1:16">
      <c r="A1037" s="50" t="s">
        <v>925</v>
      </c>
      <c r="B1037" s="50" t="s">
        <v>950</v>
      </c>
      <c r="C1037" s="50" t="s">
        <v>251</v>
      </c>
      <c r="D1037" s="50">
        <v>1</v>
      </c>
      <c r="E1037" s="50" t="s">
        <v>928</v>
      </c>
      <c r="F1037" s="50" t="s">
        <v>951</v>
      </c>
      <c r="G1037" s="50" t="s">
        <v>256</v>
      </c>
      <c r="H1037" s="50">
        <v>9</v>
      </c>
      <c r="M1037" t="str">
        <f>IF(COUNTIF($A:$A,E1037)=0,"Not Exists","Exists")</f>
        <v>Not Exists</v>
      </c>
      <c r="N1037" t="str">
        <f t="shared" si="52"/>
        <v>Not Exists</v>
      </c>
      <c r="O1037" t="str">
        <f t="shared" si="53"/>
        <v>Exists</v>
      </c>
      <c r="P1037" t="str">
        <f t="shared" si="54"/>
        <v>Exists</v>
      </c>
    </row>
    <row r="1038" spans="1:16">
      <c r="A1038" s="50" t="s">
        <v>925</v>
      </c>
      <c r="B1038" s="50" t="s">
        <v>952</v>
      </c>
      <c r="C1038" s="50" t="s">
        <v>256</v>
      </c>
      <c r="D1038" s="50">
        <v>500</v>
      </c>
      <c r="E1038" s="50" t="s">
        <v>928</v>
      </c>
      <c r="F1038" s="50" t="s">
        <v>953</v>
      </c>
      <c r="G1038" s="50" t="s">
        <v>256</v>
      </c>
      <c r="H1038" s="50">
        <v>9</v>
      </c>
      <c r="M1038" t="str">
        <f>IF(COUNTIF($A:$A,E1038)=0,"Not Exists","Exists")</f>
        <v>Not Exists</v>
      </c>
      <c r="N1038" t="str">
        <f t="shared" si="52"/>
        <v>Not Exists</v>
      </c>
      <c r="O1038" t="str">
        <f t="shared" si="53"/>
        <v>Exists</v>
      </c>
      <c r="P1038" t="str">
        <f t="shared" si="54"/>
        <v>Exists</v>
      </c>
    </row>
    <row r="1039" spans="1:16">
      <c r="A1039" s="50" t="s">
        <v>925</v>
      </c>
      <c r="B1039" s="50" t="s">
        <v>954</v>
      </c>
      <c r="C1039" s="50" t="s">
        <v>251</v>
      </c>
      <c r="D1039" s="50">
        <v>1</v>
      </c>
      <c r="E1039" s="50" t="s">
        <v>928</v>
      </c>
      <c r="F1039" s="50" t="s">
        <v>955</v>
      </c>
      <c r="G1039" s="50" t="s">
        <v>256</v>
      </c>
      <c r="H1039" s="50">
        <v>9</v>
      </c>
      <c r="M1039" t="str">
        <f>IF(COUNTIF($A:$A,E1039)=0,"Not Exists","Exists")</f>
        <v>Not Exists</v>
      </c>
      <c r="N1039" t="str">
        <f t="shared" si="52"/>
        <v>Not Exists</v>
      </c>
      <c r="O1039" t="str">
        <f t="shared" si="53"/>
        <v>Exists</v>
      </c>
      <c r="P1039" t="str">
        <f t="shared" si="54"/>
        <v>Exists</v>
      </c>
    </row>
    <row r="1040" spans="1:16">
      <c r="A1040" s="50" t="s">
        <v>925</v>
      </c>
      <c r="B1040" s="50" t="s">
        <v>421</v>
      </c>
      <c r="C1040" s="50" t="s">
        <v>256</v>
      </c>
      <c r="D1040" s="50">
        <v>500</v>
      </c>
      <c r="E1040" s="50" t="s">
        <v>928</v>
      </c>
      <c r="F1040" s="50" t="s">
        <v>956</v>
      </c>
      <c r="G1040" s="50" t="s">
        <v>256</v>
      </c>
      <c r="H1040" s="50">
        <v>9</v>
      </c>
      <c r="M1040" t="str">
        <f>IF(COUNTIF($A:$A,E1040)=0,"Not Exists","Exists")</f>
        <v>Not Exists</v>
      </c>
      <c r="N1040" t="str">
        <f t="shared" si="52"/>
        <v>Not Exists</v>
      </c>
      <c r="O1040" t="str">
        <f t="shared" si="53"/>
        <v>Exists</v>
      </c>
      <c r="P1040" t="str">
        <f t="shared" si="54"/>
        <v>Exists</v>
      </c>
    </row>
    <row r="1041" spans="1:16">
      <c r="A1041" s="50" t="s">
        <v>925</v>
      </c>
      <c r="B1041" s="50" t="s">
        <v>478</v>
      </c>
      <c r="C1041" s="50" t="s">
        <v>256</v>
      </c>
      <c r="D1041" s="50">
        <v>500</v>
      </c>
      <c r="E1041" s="50" t="s">
        <v>928</v>
      </c>
      <c r="F1041" s="50" t="s">
        <v>957</v>
      </c>
      <c r="G1041" s="50" t="s">
        <v>256</v>
      </c>
      <c r="H1041" s="50">
        <v>9</v>
      </c>
      <c r="M1041" t="str">
        <f>IF(COUNTIF($A:$A,E1041)=0,"Not Exists","Exists")</f>
        <v>Not Exists</v>
      </c>
      <c r="N1041" t="str">
        <f t="shared" si="52"/>
        <v>Not Exists</v>
      </c>
      <c r="O1041" t="str">
        <f t="shared" si="53"/>
        <v>Exists</v>
      </c>
      <c r="P1041" t="str">
        <f t="shared" si="54"/>
        <v>Exists</v>
      </c>
    </row>
    <row r="1042" spans="1:16">
      <c r="A1042" s="50" t="s">
        <v>925</v>
      </c>
      <c r="B1042" s="50" t="s">
        <v>692</v>
      </c>
      <c r="C1042" s="50" t="s">
        <v>256</v>
      </c>
      <c r="D1042" s="50">
        <v>4000</v>
      </c>
      <c r="E1042" s="50" t="s">
        <v>928</v>
      </c>
      <c r="F1042" s="50" t="s">
        <v>958</v>
      </c>
      <c r="G1042" s="50" t="s">
        <v>256</v>
      </c>
      <c r="H1042" s="50">
        <v>9</v>
      </c>
      <c r="M1042" t="str">
        <f>IF(COUNTIF($A:$A,E1042)=0,"Not Exists","Exists")</f>
        <v>Not Exists</v>
      </c>
      <c r="N1042" t="str">
        <f t="shared" si="52"/>
        <v>Not Exists</v>
      </c>
      <c r="O1042" t="str">
        <f t="shared" si="53"/>
        <v>Exists</v>
      </c>
      <c r="P1042" t="str">
        <f t="shared" si="54"/>
        <v>Exists</v>
      </c>
    </row>
    <row r="1043" spans="1:16">
      <c r="A1043" s="50" t="s">
        <v>925</v>
      </c>
      <c r="B1043" s="50" t="s">
        <v>694</v>
      </c>
      <c r="C1043" s="50" t="s">
        <v>256</v>
      </c>
      <c r="D1043" s="50">
        <v>4000</v>
      </c>
      <c r="E1043" s="50" t="s">
        <v>928</v>
      </c>
      <c r="F1043" s="50" t="s">
        <v>959</v>
      </c>
      <c r="G1043" s="50" t="s">
        <v>256</v>
      </c>
      <c r="H1043" s="50">
        <v>9</v>
      </c>
      <c r="M1043" t="str">
        <f>IF(COUNTIF($A:$A,E1043)=0,"Not Exists","Exists")</f>
        <v>Not Exists</v>
      </c>
      <c r="N1043" t="str">
        <f t="shared" si="52"/>
        <v>Not Exists</v>
      </c>
      <c r="O1043" t="str">
        <f t="shared" si="53"/>
        <v>Exists</v>
      </c>
      <c r="P1043" t="str">
        <f t="shared" si="54"/>
        <v>Exists</v>
      </c>
    </row>
    <row r="1044" spans="1:16">
      <c r="A1044" s="50" t="s">
        <v>925</v>
      </c>
      <c r="B1044" s="50" t="s">
        <v>960</v>
      </c>
      <c r="C1044" s="50" t="s">
        <v>256</v>
      </c>
      <c r="D1044" s="50">
        <v>500</v>
      </c>
      <c r="E1044" s="50" t="s">
        <v>928</v>
      </c>
      <c r="F1044" s="50" t="s">
        <v>961</v>
      </c>
      <c r="G1044" s="50" t="s">
        <v>254</v>
      </c>
      <c r="H1044" s="50">
        <v>22</v>
      </c>
      <c r="M1044" t="str">
        <f>IF(COUNTIF($A:$A,E1044)=0,"Not Exists","Exists")</f>
        <v>Not Exists</v>
      </c>
      <c r="N1044" t="str">
        <f t="shared" si="52"/>
        <v>Not Exists</v>
      </c>
      <c r="O1044" t="str">
        <f t="shared" si="53"/>
        <v>Exists</v>
      </c>
      <c r="P1044" t="str">
        <f t="shared" si="54"/>
        <v>Exists</v>
      </c>
    </row>
    <row r="1045" spans="1:16">
      <c r="A1045" s="50" t="s">
        <v>925</v>
      </c>
      <c r="B1045" s="50" t="s">
        <v>962</v>
      </c>
      <c r="C1045" s="50" t="s">
        <v>256</v>
      </c>
      <c r="D1045" s="50">
        <v>4000</v>
      </c>
      <c r="E1045" s="50" t="s">
        <v>928</v>
      </c>
      <c r="F1045" s="50" t="s">
        <v>963</v>
      </c>
      <c r="G1045" s="50" t="s">
        <v>256</v>
      </c>
      <c r="H1045" s="50">
        <v>1</v>
      </c>
      <c r="M1045" t="str">
        <f>IF(COUNTIF($A:$A,E1045)=0,"Not Exists","Exists")</f>
        <v>Not Exists</v>
      </c>
      <c r="N1045" t="str">
        <f t="shared" si="52"/>
        <v>Not Exists</v>
      </c>
      <c r="O1045" t="str">
        <f t="shared" si="53"/>
        <v>Exists</v>
      </c>
      <c r="P1045" t="str">
        <f t="shared" si="54"/>
        <v>Exists</v>
      </c>
    </row>
    <row r="1046" spans="1:16">
      <c r="A1046" s="50" t="s">
        <v>925</v>
      </c>
      <c r="B1046" s="50" t="s">
        <v>964</v>
      </c>
      <c r="C1046" s="50" t="s">
        <v>256</v>
      </c>
      <c r="D1046" s="50">
        <v>500</v>
      </c>
      <c r="E1046" s="50" t="s">
        <v>928</v>
      </c>
      <c r="F1046" s="50" t="s">
        <v>965</v>
      </c>
      <c r="G1046" s="50" t="s">
        <v>256</v>
      </c>
      <c r="H1046" s="50">
        <v>8</v>
      </c>
      <c r="M1046" t="str">
        <f>IF(COUNTIF($A:$A,E1046)=0,"Not Exists","Exists")</f>
        <v>Not Exists</v>
      </c>
      <c r="N1046" t="str">
        <f t="shared" si="52"/>
        <v>Not Exists</v>
      </c>
      <c r="O1046" t="str">
        <f t="shared" si="53"/>
        <v>Exists</v>
      </c>
      <c r="P1046" t="str">
        <f t="shared" si="54"/>
        <v>Exists</v>
      </c>
    </row>
    <row r="1047" spans="1:16">
      <c r="A1047" s="50" t="s">
        <v>925</v>
      </c>
      <c r="B1047" s="50" t="s">
        <v>966</v>
      </c>
      <c r="C1047" s="50" t="s">
        <v>256</v>
      </c>
      <c r="D1047" s="50">
        <v>4000</v>
      </c>
      <c r="E1047" s="50" t="s">
        <v>928</v>
      </c>
      <c r="F1047" s="50" t="s">
        <v>967</v>
      </c>
      <c r="G1047" s="50" t="s">
        <v>256</v>
      </c>
      <c r="H1047" s="50">
        <v>8</v>
      </c>
      <c r="M1047" t="str">
        <f>IF(COUNTIF($A:$A,E1047)=0,"Not Exists","Exists")</f>
        <v>Not Exists</v>
      </c>
      <c r="N1047" t="str">
        <f t="shared" si="52"/>
        <v>Not Exists</v>
      </c>
      <c r="O1047" t="str">
        <f t="shared" si="53"/>
        <v>Exists</v>
      </c>
      <c r="P1047" t="str">
        <f t="shared" si="54"/>
        <v>Exists</v>
      </c>
    </row>
    <row r="1048" spans="1:16">
      <c r="A1048" s="50" t="s">
        <v>968</v>
      </c>
      <c r="B1048" s="50" t="s">
        <v>926</v>
      </c>
      <c r="C1048" s="50" t="s">
        <v>256</v>
      </c>
      <c r="D1048" s="50">
        <v>57</v>
      </c>
      <c r="E1048" s="50" t="s">
        <v>928</v>
      </c>
      <c r="F1048" s="50" t="s">
        <v>969</v>
      </c>
      <c r="G1048" s="50" t="s">
        <v>256</v>
      </c>
      <c r="H1048" s="50">
        <v>14</v>
      </c>
      <c r="M1048" t="str">
        <f>IF(COUNTIF($A:$A,E1048)=0,"Not Exists","Exists")</f>
        <v>Not Exists</v>
      </c>
      <c r="N1048" t="str">
        <f t="shared" si="52"/>
        <v>Not Exists</v>
      </c>
      <c r="O1048" t="str">
        <f t="shared" si="53"/>
        <v>Not Exists</v>
      </c>
      <c r="P1048" t="str">
        <f t="shared" si="54"/>
        <v>Exists</v>
      </c>
    </row>
    <row r="1049" spans="1:16">
      <c r="A1049" s="50" t="s">
        <v>968</v>
      </c>
      <c r="B1049" s="50" t="s">
        <v>424</v>
      </c>
      <c r="C1049" s="50" t="s">
        <v>256</v>
      </c>
      <c r="D1049" s="50">
        <v>50</v>
      </c>
      <c r="E1049" s="50" t="s">
        <v>928</v>
      </c>
      <c r="F1049" s="50" t="s">
        <v>970</v>
      </c>
      <c r="G1049" s="50" t="s">
        <v>254</v>
      </c>
      <c r="H1049" s="50">
        <v>22</v>
      </c>
      <c r="M1049" t="str">
        <f>IF(COUNTIF($A:$A,E1049)=0,"Not Exists","Exists")</f>
        <v>Not Exists</v>
      </c>
      <c r="N1049" t="str">
        <f t="shared" si="52"/>
        <v>Not Exists</v>
      </c>
      <c r="O1049" t="str">
        <f t="shared" si="53"/>
        <v>Not Exists</v>
      </c>
      <c r="P1049" t="str">
        <f t="shared" si="54"/>
        <v>Exists</v>
      </c>
    </row>
    <row r="1050" spans="1:16">
      <c r="A1050" s="50" t="s">
        <v>968</v>
      </c>
      <c r="B1050" s="50" t="s">
        <v>927</v>
      </c>
      <c r="C1050" s="50" t="s">
        <v>254</v>
      </c>
      <c r="D1050" s="50">
        <v>22</v>
      </c>
      <c r="E1050" s="50" t="s">
        <v>928</v>
      </c>
      <c r="F1050" s="50" t="s">
        <v>971</v>
      </c>
      <c r="G1050" s="50" t="s">
        <v>256</v>
      </c>
      <c r="H1050" s="50">
        <v>39</v>
      </c>
      <c r="M1050" t="str">
        <f>IF(COUNTIF($A:$A,E1050)=0,"Not Exists","Exists")</f>
        <v>Not Exists</v>
      </c>
      <c r="N1050" t="str">
        <f t="shared" si="52"/>
        <v>Not Exists</v>
      </c>
      <c r="O1050" t="str">
        <f t="shared" si="53"/>
        <v>Not Exists</v>
      </c>
      <c r="P1050" t="str">
        <f t="shared" si="54"/>
        <v>Exists</v>
      </c>
    </row>
    <row r="1051" spans="1:16">
      <c r="A1051" s="50" t="s">
        <v>968</v>
      </c>
      <c r="B1051" s="50" t="s">
        <v>436</v>
      </c>
      <c r="C1051" s="50" t="s">
        <v>256</v>
      </c>
      <c r="D1051" s="50">
        <v>50</v>
      </c>
      <c r="E1051" s="50" t="s">
        <v>928</v>
      </c>
      <c r="F1051" s="50" t="s">
        <v>972</v>
      </c>
      <c r="G1051" s="50" t="s">
        <v>256</v>
      </c>
      <c r="H1051" s="50">
        <v>1</v>
      </c>
      <c r="M1051" t="str">
        <f>IF(COUNTIF($A:$A,E1051)=0,"Not Exists","Exists")</f>
        <v>Not Exists</v>
      </c>
      <c r="N1051" t="str">
        <f t="shared" si="52"/>
        <v>Not Exists</v>
      </c>
      <c r="O1051" t="str">
        <f t="shared" si="53"/>
        <v>Not Exists</v>
      </c>
      <c r="P1051" t="str">
        <f t="shared" si="54"/>
        <v>Not Exists</v>
      </c>
    </row>
    <row r="1052" spans="1:16">
      <c r="A1052" s="50" t="s">
        <v>968</v>
      </c>
      <c r="B1052" s="50" t="s">
        <v>930</v>
      </c>
      <c r="C1052" s="50" t="s">
        <v>256</v>
      </c>
      <c r="D1052" s="50">
        <v>50</v>
      </c>
      <c r="E1052" s="50" t="s">
        <v>928</v>
      </c>
      <c r="F1052" s="50" t="s">
        <v>973</v>
      </c>
      <c r="G1052" s="50" t="s">
        <v>256</v>
      </c>
      <c r="H1052" s="50">
        <v>3</v>
      </c>
      <c r="M1052" t="str">
        <f>IF(COUNTIF($A:$A,E1052)=0,"Not Exists","Exists")</f>
        <v>Not Exists</v>
      </c>
      <c r="N1052" t="str">
        <f t="shared" si="52"/>
        <v>Not Exists</v>
      </c>
      <c r="O1052" t="str">
        <f t="shared" si="53"/>
        <v>Not Exists</v>
      </c>
      <c r="P1052" t="str">
        <f t="shared" si="54"/>
        <v>Exists</v>
      </c>
    </row>
    <row r="1053" spans="1:16">
      <c r="A1053" s="50" t="s">
        <v>968</v>
      </c>
      <c r="B1053" s="50" t="s">
        <v>931</v>
      </c>
      <c r="C1053" s="50" t="s">
        <v>256</v>
      </c>
      <c r="D1053" s="50">
        <v>50</v>
      </c>
      <c r="E1053" s="50" t="s">
        <v>928</v>
      </c>
      <c r="F1053" s="50" t="s">
        <v>974</v>
      </c>
      <c r="G1053" s="50" t="s">
        <v>256</v>
      </c>
      <c r="H1053" s="50">
        <v>3</v>
      </c>
      <c r="M1053" t="str">
        <f>IF(COUNTIF($A:$A,E1053)=0,"Not Exists","Exists")</f>
        <v>Not Exists</v>
      </c>
      <c r="N1053" t="str">
        <f t="shared" si="52"/>
        <v>Not Exists</v>
      </c>
      <c r="O1053" t="str">
        <f t="shared" si="53"/>
        <v>Not Exists</v>
      </c>
      <c r="P1053" t="str">
        <f t="shared" si="54"/>
        <v>Exists</v>
      </c>
    </row>
    <row r="1054" spans="1:16">
      <c r="A1054" s="50" t="s">
        <v>968</v>
      </c>
      <c r="B1054" s="50" t="s">
        <v>357</v>
      </c>
      <c r="C1054" s="50" t="s">
        <v>256</v>
      </c>
      <c r="D1054" s="50">
        <v>50</v>
      </c>
      <c r="E1054" s="50" t="s">
        <v>928</v>
      </c>
      <c r="F1054" s="50" t="s">
        <v>975</v>
      </c>
      <c r="G1054" s="50" t="s">
        <v>254</v>
      </c>
      <c r="H1054" s="50">
        <v>22</v>
      </c>
      <c r="M1054" t="str">
        <f>IF(COUNTIF($A:$A,E1054)=0,"Not Exists","Exists")</f>
        <v>Not Exists</v>
      </c>
      <c r="N1054" t="str">
        <f t="shared" si="52"/>
        <v>Not Exists</v>
      </c>
      <c r="O1054" t="str">
        <f t="shared" si="53"/>
        <v>Not Exists</v>
      </c>
      <c r="P1054" t="str">
        <f t="shared" si="54"/>
        <v>Exists</v>
      </c>
    </row>
    <row r="1055" spans="1:16">
      <c r="A1055" s="50" t="s">
        <v>968</v>
      </c>
      <c r="B1055" s="50" t="s">
        <v>430</v>
      </c>
      <c r="C1055" s="50" t="s">
        <v>256</v>
      </c>
      <c r="D1055" s="50">
        <v>50</v>
      </c>
      <c r="E1055" s="50" t="s">
        <v>928</v>
      </c>
      <c r="F1055" s="50" t="s">
        <v>976</v>
      </c>
      <c r="G1055" s="50" t="s">
        <v>256</v>
      </c>
      <c r="H1055" s="50">
        <v>1</v>
      </c>
      <c r="M1055" t="str">
        <f>IF(COUNTIF($A:$A,E1055)=0,"Not Exists","Exists")</f>
        <v>Not Exists</v>
      </c>
      <c r="N1055" t="str">
        <f t="shared" si="52"/>
        <v>Not Exists</v>
      </c>
      <c r="O1055" t="str">
        <f t="shared" si="53"/>
        <v>Not Exists</v>
      </c>
      <c r="P1055" t="str">
        <f t="shared" si="54"/>
        <v>Exists</v>
      </c>
    </row>
    <row r="1056" spans="1:16">
      <c r="A1056" s="50" t="s">
        <v>968</v>
      </c>
      <c r="B1056" s="50" t="s">
        <v>934</v>
      </c>
      <c r="C1056" s="50" t="s">
        <v>256</v>
      </c>
      <c r="D1056" s="50">
        <v>500</v>
      </c>
      <c r="E1056" s="50" t="s">
        <v>928</v>
      </c>
      <c r="F1056" s="50" t="s">
        <v>977</v>
      </c>
      <c r="G1056" s="50" t="s">
        <v>256</v>
      </c>
      <c r="H1056" s="50">
        <v>1</v>
      </c>
      <c r="M1056" t="str">
        <f>IF(COUNTIF($A:$A,E1056)=0,"Not Exists","Exists")</f>
        <v>Not Exists</v>
      </c>
      <c r="N1056" t="str">
        <f t="shared" si="52"/>
        <v>Not Exists</v>
      </c>
      <c r="O1056" t="str">
        <f t="shared" si="53"/>
        <v>Not Exists</v>
      </c>
      <c r="P1056" t="str">
        <f t="shared" si="54"/>
        <v>Exists</v>
      </c>
    </row>
    <row r="1057" spans="1:16">
      <c r="A1057" s="50" t="s">
        <v>968</v>
      </c>
      <c r="B1057" s="50" t="s">
        <v>935</v>
      </c>
      <c r="C1057" s="50" t="s">
        <v>256</v>
      </c>
      <c r="D1057" s="50">
        <v>50</v>
      </c>
      <c r="E1057" s="50" t="s">
        <v>928</v>
      </c>
      <c r="F1057" s="50" t="s">
        <v>978</v>
      </c>
      <c r="G1057" s="50" t="s">
        <v>256</v>
      </c>
      <c r="H1057" s="50">
        <v>16</v>
      </c>
      <c r="M1057" t="str">
        <f>IF(COUNTIF($A:$A,E1057)=0,"Not Exists","Exists")</f>
        <v>Not Exists</v>
      </c>
      <c r="N1057" t="str">
        <f t="shared" si="52"/>
        <v>Not Exists</v>
      </c>
      <c r="O1057" t="str">
        <f t="shared" si="53"/>
        <v>Not Exists</v>
      </c>
      <c r="P1057" t="str">
        <f t="shared" si="54"/>
        <v>Exists</v>
      </c>
    </row>
    <row r="1058" spans="1:16">
      <c r="A1058" s="50" t="s">
        <v>968</v>
      </c>
      <c r="B1058" s="50" t="s">
        <v>936</v>
      </c>
      <c r="C1058" s="50" t="s">
        <v>256</v>
      </c>
      <c r="D1058" s="50">
        <v>500</v>
      </c>
      <c r="E1058" s="50" t="s">
        <v>928</v>
      </c>
      <c r="F1058" s="50" t="s">
        <v>979</v>
      </c>
      <c r="G1058" s="50" t="s">
        <v>256</v>
      </c>
      <c r="H1058" s="50">
        <v>12</v>
      </c>
      <c r="M1058" t="str">
        <f>IF(COUNTIF($A:$A,E1058)=0,"Not Exists","Exists")</f>
        <v>Not Exists</v>
      </c>
      <c r="N1058" t="str">
        <f t="shared" si="52"/>
        <v>Not Exists</v>
      </c>
      <c r="O1058" t="str">
        <f t="shared" si="53"/>
        <v>Not Exists</v>
      </c>
      <c r="P1058" t="str">
        <f t="shared" si="54"/>
        <v>Exists</v>
      </c>
    </row>
    <row r="1059" spans="1:16">
      <c r="A1059" s="50" t="s">
        <v>968</v>
      </c>
      <c r="B1059" s="50" t="s">
        <v>937</v>
      </c>
      <c r="C1059" s="50" t="s">
        <v>256</v>
      </c>
      <c r="D1059" s="50">
        <v>50</v>
      </c>
      <c r="E1059" s="50" t="s">
        <v>928</v>
      </c>
      <c r="F1059" s="50" t="s">
        <v>980</v>
      </c>
      <c r="G1059" s="50" t="s">
        <v>256</v>
      </c>
      <c r="H1059" s="50">
        <v>12</v>
      </c>
      <c r="M1059" t="str">
        <f>IF(COUNTIF($A:$A,E1059)=0,"Not Exists","Exists")</f>
        <v>Not Exists</v>
      </c>
      <c r="N1059" t="str">
        <f t="shared" si="52"/>
        <v>Not Exists</v>
      </c>
      <c r="O1059" t="str">
        <f t="shared" si="53"/>
        <v>Not Exists</v>
      </c>
      <c r="P1059" t="str">
        <f t="shared" si="54"/>
        <v>Exists</v>
      </c>
    </row>
    <row r="1060" spans="1:16">
      <c r="A1060" s="50" t="s">
        <v>968</v>
      </c>
      <c r="B1060" s="50" t="s">
        <v>938</v>
      </c>
      <c r="C1060" s="50" t="s">
        <v>256</v>
      </c>
      <c r="D1060" s="50">
        <v>50</v>
      </c>
      <c r="E1060" s="50" t="s">
        <v>928</v>
      </c>
      <c r="F1060" s="50" t="s">
        <v>981</v>
      </c>
      <c r="G1060" s="50" t="s">
        <v>256</v>
      </c>
      <c r="H1060" s="50">
        <v>16</v>
      </c>
      <c r="M1060" t="str">
        <f>IF(COUNTIF($A:$A,E1060)=0,"Not Exists","Exists")</f>
        <v>Not Exists</v>
      </c>
      <c r="N1060" t="str">
        <f t="shared" si="52"/>
        <v>Not Exists</v>
      </c>
      <c r="O1060" t="str">
        <f t="shared" si="53"/>
        <v>Not Exists</v>
      </c>
      <c r="P1060" t="str">
        <f t="shared" si="54"/>
        <v>Exists</v>
      </c>
    </row>
    <row r="1061" spans="1:16">
      <c r="A1061" s="50" t="s">
        <v>968</v>
      </c>
      <c r="B1061" s="50" t="s">
        <v>940</v>
      </c>
      <c r="C1061" s="50" t="s">
        <v>256</v>
      </c>
      <c r="D1061" s="50">
        <v>450</v>
      </c>
      <c r="E1061" s="50" t="s">
        <v>928</v>
      </c>
      <c r="F1061" s="50" t="s">
        <v>982</v>
      </c>
      <c r="G1061" s="50" t="s">
        <v>256</v>
      </c>
      <c r="H1061" s="50">
        <v>16</v>
      </c>
      <c r="M1061" t="str">
        <f>IF(COUNTIF($A:$A,E1061)=0,"Not Exists","Exists")</f>
        <v>Not Exists</v>
      </c>
      <c r="N1061" t="str">
        <f t="shared" si="52"/>
        <v>Not Exists</v>
      </c>
      <c r="O1061" t="str">
        <f t="shared" si="53"/>
        <v>Not Exists</v>
      </c>
      <c r="P1061" t="str">
        <f t="shared" si="54"/>
        <v>Exists</v>
      </c>
    </row>
    <row r="1062" spans="1:16">
      <c r="A1062" s="50" t="s">
        <v>968</v>
      </c>
      <c r="B1062" s="50" t="s">
        <v>942</v>
      </c>
      <c r="C1062" s="50" t="s">
        <v>251</v>
      </c>
      <c r="D1062" s="50">
        <v>17</v>
      </c>
      <c r="E1062" s="50" t="s">
        <v>928</v>
      </c>
      <c r="F1062" s="50" t="s">
        <v>983</v>
      </c>
      <c r="G1062" s="50" t="s">
        <v>256</v>
      </c>
      <c r="H1062" s="50">
        <v>1</v>
      </c>
      <c r="M1062" t="str">
        <f>IF(COUNTIF($A:$A,E1062)=0,"Not Exists","Exists")</f>
        <v>Not Exists</v>
      </c>
      <c r="N1062" t="str">
        <f t="shared" si="52"/>
        <v>Not Exists</v>
      </c>
      <c r="O1062" t="str">
        <f t="shared" si="53"/>
        <v>Not Exists</v>
      </c>
      <c r="P1062" t="str">
        <f t="shared" si="54"/>
        <v>Exists</v>
      </c>
    </row>
    <row r="1063" spans="1:16">
      <c r="A1063" s="50" t="s">
        <v>968</v>
      </c>
      <c r="B1063" s="50" t="s">
        <v>944</v>
      </c>
      <c r="C1063" s="50" t="s">
        <v>251</v>
      </c>
      <c r="D1063" s="50">
        <v>17</v>
      </c>
      <c r="E1063" s="50" t="s">
        <v>928</v>
      </c>
      <c r="F1063" s="50" t="s">
        <v>984</v>
      </c>
      <c r="G1063" s="50" t="s">
        <v>256</v>
      </c>
      <c r="H1063" s="50">
        <v>1</v>
      </c>
      <c r="M1063" t="str">
        <f>IF(COUNTIF($A:$A,E1063)=0,"Not Exists","Exists")</f>
        <v>Not Exists</v>
      </c>
      <c r="N1063" t="str">
        <f t="shared" si="52"/>
        <v>Not Exists</v>
      </c>
      <c r="O1063" t="str">
        <f t="shared" si="53"/>
        <v>Not Exists</v>
      </c>
      <c r="P1063" t="str">
        <f t="shared" si="54"/>
        <v>Exists</v>
      </c>
    </row>
    <row r="1064" spans="1:16">
      <c r="A1064" s="50" t="s">
        <v>968</v>
      </c>
      <c r="B1064" s="50" t="s">
        <v>946</v>
      </c>
      <c r="C1064" s="50" t="s">
        <v>256</v>
      </c>
      <c r="D1064" s="50">
        <v>20</v>
      </c>
      <c r="E1064" s="50" t="s">
        <v>928</v>
      </c>
      <c r="F1064" s="50" t="s">
        <v>985</v>
      </c>
      <c r="G1064" s="50" t="s">
        <v>254</v>
      </c>
      <c r="H1064" s="50">
        <v>22</v>
      </c>
      <c r="M1064" t="str">
        <f>IF(COUNTIF($A:$A,E1064)=0,"Not Exists","Exists")</f>
        <v>Not Exists</v>
      </c>
      <c r="N1064" t="str">
        <f t="shared" si="52"/>
        <v>Not Exists</v>
      </c>
      <c r="O1064" t="str">
        <f t="shared" si="53"/>
        <v>Not Exists</v>
      </c>
      <c r="P1064" t="str">
        <f t="shared" si="54"/>
        <v>Exists</v>
      </c>
    </row>
    <row r="1065" spans="1:16">
      <c r="A1065" s="50" t="s">
        <v>968</v>
      </c>
      <c r="B1065" s="50" t="s">
        <v>948</v>
      </c>
      <c r="C1065" s="50" t="s">
        <v>251</v>
      </c>
      <c r="D1065" s="50">
        <v>1</v>
      </c>
      <c r="E1065" s="50" t="s">
        <v>928</v>
      </c>
      <c r="F1065" s="50" t="s">
        <v>986</v>
      </c>
      <c r="G1065" s="50" t="s">
        <v>256</v>
      </c>
      <c r="H1065" s="50">
        <v>3</v>
      </c>
      <c r="M1065" t="str">
        <f>IF(COUNTIF($A:$A,E1065)=0,"Not Exists","Exists")</f>
        <v>Not Exists</v>
      </c>
      <c r="N1065" t="str">
        <f t="shared" si="52"/>
        <v>Not Exists</v>
      </c>
      <c r="O1065" t="str">
        <f t="shared" si="53"/>
        <v>Not Exists</v>
      </c>
      <c r="P1065" t="str">
        <f t="shared" si="54"/>
        <v>Exists</v>
      </c>
    </row>
    <row r="1066" spans="1:16">
      <c r="A1066" s="50" t="s">
        <v>968</v>
      </c>
      <c r="B1066" s="50" t="s">
        <v>950</v>
      </c>
      <c r="C1066" s="50" t="s">
        <v>251</v>
      </c>
      <c r="D1066" s="50">
        <v>1</v>
      </c>
      <c r="E1066" s="50" t="s">
        <v>928</v>
      </c>
      <c r="F1066" s="50" t="s">
        <v>987</v>
      </c>
      <c r="G1066" s="50" t="s">
        <v>256</v>
      </c>
      <c r="H1066" s="50">
        <v>9</v>
      </c>
      <c r="M1066" t="str">
        <f>IF(COUNTIF($A:$A,E1066)=0,"Not Exists","Exists")</f>
        <v>Not Exists</v>
      </c>
      <c r="N1066" t="str">
        <f t="shared" si="52"/>
        <v>Not Exists</v>
      </c>
      <c r="O1066" t="str">
        <f t="shared" si="53"/>
        <v>Not Exists</v>
      </c>
      <c r="P1066" t="str">
        <f t="shared" si="54"/>
        <v>Exists</v>
      </c>
    </row>
    <row r="1067" spans="1:16">
      <c r="A1067" s="50" t="s">
        <v>968</v>
      </c>
      <c r="B1067" s="50" t="s">
        <v>952</v>
      </c>
      <c r="C1067" s="50" t="s">
        <v>256</v>
      </c>
      <c r="D1067" s="50">
        <v>500</v>
      </c>
      <c r="E1067" s="50" t="s">
        <v>928</v>
      </c>
      <c r="F1067" s="50" t="s">
        <v>988</v>
      </c>
      <c r="G1067" s="50" t="s">
        <v>256</v>
      </c>
      <c r="H1067" s="50">
        <v>3</v>
      </c>
      <c r="M1067" t="str">
        <f>IF(COUNTIF($A:$A,E1067)=0,"Not Exists","Exists")</f>
        <v>Not Exists</v>
      </c>
      <c r="N1067" t="str">
        <f t="shared" si="52"/>
        <v>Not Exists</v>
      </c>
      <c r="O1067" t="str">
        <f t="shared" si="53"/>
        <v>Not Exists</v>
      </c>
      <c r="P1067" t="str">
        <f t="shared" si="54"/>
        <v>Exists</v>
      </c>
    </row>
    <row r="1068" spans="1:16">
      <c r="A1068" s="50" t="s">
        <v>968</v>
      </c>
      <c r="B1068" s="50" t="s">
        <v>954</v>
      </c>
      <c r="C1068" s="50" t="s">
        <v>251</v>
      </c>
      <c r="D1068" s="50">
        <v>1</v>
      </c>
      <c r="E1068" s="50" t="s">
        <v>928</v>
      </c>
      <c r="F1068" s="50" t="s">
        <v>989</v>
      </c>
      <c r="G1068" s="50" t="s">
        <v>256</v>
      </c>
      <c r="H1068" s="50">
        <v>2</v>
      </c>
      <c r="M1068" t="str">
        <f>IF(COUNTIF($A:$A,E1068)=0,"Not Exists","Exists")</f>
        <v>Not Exists</v>
      </c>
      <c r="N1068" t="str">
        <f t="shared" si="52"/>
        <v>Not Exists</v>
      </c>
      <c r="O1068" t="str">
        <f t="shared" si="53"/>
        <v>Not Exists</v>
      </c>
      <c r="P1068" t="str">
        <f t="shared" si="54"/>
        <v>Exists</v>
      </c>
    </row>
    <row r="1069" spans="1:16">
      <c r="A1069" s="50" t="s">
        <v>968</v>
      </c>
      <c r="B1069" s="50" t="s">
        <v>421</v>
      </c>
      <c r="C1069" s="50" t="s">
        <v>256</v>
      </c>
      <c r="D1069" s="50">
        <v>500</v>
      </c>
      <c r="E1069" s="50" t="s">
        <v>928</v>
      </c>
      <c r="F1069" s="50" t="s">
        <v>990</v>
      </c>
      <c r="G1069" s="50" t="s">
        <v>256</v>
      </c>
      <c r="H1069" s="50">
        <v>2</v>
      </c>
      <c r="M1069" t="str">
        <f>IF(COUNTIF($A:$A,E1069)=0,"Not Exists","Exists")</f>
        <v>Not Exists</v>
      </c>
      <c r="N1069" t="str">
        <f t="shared" si="52"/>
        <v>Not Exists</v>
      </c>
      <c r="O1069" t="str">
        <f t="shared" si="53"/>
        <v>Not Exists</v>
      </c>
      <c r="P1069" t="str">
        <f t="shared" si="54"/>
        <v>Exists</v>
      </c>
    </row>
    <row r="1070" spans="1:16">
      <c r="A1070" s="50" t="s">
        <v>968</v>
      </c>
      <c r="B1070" s="50" t="s">
        <v>478</v>
      </c>
      <c r="C1070" s="50" t="s">
        <v>256</v>
      </c>
      <c r="D1070" s="50">
        <v>500</v>
      </c>
      <c r="E1070" s="50" t="s">
        <v>928</v>
      </c>
      <c r="F1070" s="50" t="s">
        <v>991</v>
      </c>
      <c r="G1070" s="50" t="s">
        <v>256</v>
      </c>
      <c r="H1070" s="50">
        <v>3</v>
      </c>
      <c r="M1070" t="str">
        <f>IF(COUNTIF($A:$A,E1070)=0,"Not Exists","Exists")</f>
        <v>Not Exists</v>
      </c>
      <c r="N1070" t="str">
        <f t="shared" si="52"/>
        <v>Not Exists</v>
      </c>
      <c r="O1070" t="str">
        <f t="shared" si="53"/>
        <v>Not Exists</v>
      </c>
      <c r="P1070" t="str">
        <f t="shared" si="54"/>
        <v>Exists</v>
      </c>
    </row>
    <row r="1071" spans="1:16">
      <c r="A1071" s="50" t="s">
        <v>968</v>
      </c>
      <c r="B1071" s="50" t="s">
        <v>692</v>
      </c>
      <c r="C1071" s="50" t="s">
        <v>256</v>
      </c>
      <c r="D1071" s="50">
        <v>4000</v>
      </c>
      <c r="E1071" s="50" t="s">
        <v>928</v>
      </c>
      <c r="F1071" s="50" t="s">
        <v>992</v>
      </c>
      <c r="G1071" s="50" t="s">
        <v>254</v>
      </c>
      <c r="H1071" s="50">
        <v>22</v>
      </c>
      <c r="M1071" t="str">
        <f>IF(COUNTIF($A:$A,E1071)=0,"Not Exists","Exists")</f>
        <v>Not Exists</v>
      </c>
      <c r="N1071" t="str">
        <f t="shared" si="52"/>
        <v>Not Exists</v>
      </c>
      <c r="O1071" t="str">
        <f t="shared" si="53"/>
        <v>Not Exists</v>
      </c>
      <c r="P1071" t="str">
        <f t="shared" si="54"/>
        <v>Exists</v>
      </c>
    </row>
    <row r="1072" spans="1:16">
      <c r="A1072" s="50" t="s">
        <v>968</v>
      </c>
      <c r="B1072" s="50" t="s">
        <v>694</v>
      </c>
      <c r="C1072" s="50" t="s">
        <v>256</v>
      </c>
      <c r="D1072" s="50">
        <v>4000</v>
      </c>
      <c r="E1072" s="50" t="s">
        <v>928</v>
      </c>
      <c r="F1072" s="50" t="s">
        <v>993</v>
      </c>
      <c r="G1072" s="50" t="s">
        <v>256</v>
      </c>
      <c r="H1072" s="50">
        <v>14</v>
      </c>
      <c r="M1072" t="str">
        <f>IF(COUNTIF($A:$A,E1072)=0,"Not Exists","Exists")</f>
        <v>Not Exists</v>
      </c>
      <c r="N1072" t="str">
        <f t="shared" si="52"/>
        <v>Not Exists</v>
      </c>
      <c r="O1072" t="str">
        <f t="shared" si="53"/>
        <v>Not Exists</v>
      </c>
      <c r="P1072" t="str">
        <f t="shared" si="54"/>
        <v>Exists</v>
      </c>
    </row>
    <row r="1073" spans="1:16">
      <c r="A1073" s="50" t="s">
        <v>968</v>
      </c>
      <c r="B1073" s="50" t="s">
        <v>960</v>
      </c>
      <c r="C1073" s="50" t="s">
        <v>256</v>
      </c>
      <c r="D1073" s="50">
        <v>500</v>
      </c>
      <c r="E1073" s="50" t="s">
        <v>928</v>
      </c>
      <c r="F1073" s="50" t="s">
        <v>994</v>
      </c>
      <c r="G1073" s="50" t="s">
        <v>256</v>
      </c>
      <c r="H1073" s="50">
        <v>45</v>
      </c>
      <c r="M1073" t="str">
        <f>IF(COUNTIF($A:$A,E1073)=0,"Not Exists","Exists")</f>
        <v>Not Exists</v>
      </c>
      <c r="N1073" t="str">
        <f t="shared" si="52"/>
        <v>Not Exists</v>
      </c>
      <c r="O1073" t="str">
        <f t="shared" si="53"/>
        <v>Not Exists</v>
      </c>
      <c r="P1073" t="str">
        <f t="shared" si="54"/>
        <v>Exists</v>
      </c>
    </row>
    <row r="1074" spans="1:16">
      <c r="A1074" s="50" t="s">
        <v>968</v>
      </c>
      <c r="B1074" s="50" t="s">
        <v>962</v>
      </c>
      <c r="C1074" s="50" t="s">
        <v>256</v>
      </c>
      <c r="D1074" s="50">
        <v>4000</v>
      </c>
      <c r="E1074" s="50" t="s">
        <v>928</v>
      </c>
      <c r="F1074" s="50" t="s">
        <v>995</v>
      </c>
      <c r="G1074" s="50" t="s">
        <v>256</v>
      </c>
      <c r="H1074" s="50">
        <v>1</v>
      </c>
      <c r="M1074" t="str">
        <f>IF(COUNTIF($A:$A,E1074)=0,"Not Exists","Exists")</f>
        <v>Not Exists</v>
      </c>
      <c r="N1074" t="str">
        <f t="shared" si="52"/>
        <v>Not Exists</v>
      </c>
      <c r="O1074" t="str">
        <f t="shared" si="53"/>
        <v>Not Exists</v>
      </c>
      <c r="P1074" t="str">
        <f t="shared" si="54"/>
        <v>Exists</v>
      </c>
    </row>
    <row r="1075" spans="1:16">
      <c r="A1075" s="50" t="s">
        <v>968</v>
      </c>
      <c r="B1075" s="50" t="s">
        <v>964</v>
      </c>
      <c r="C1075" s="50" t="s">
        <v>256</v>
      </c>
      <c r="D1075" s="50">
        <v>500</v>
      </c>
      <c r="E1075" s="50" t="s">
        <v>928</v>
      </c>
      <c r="F1075" s="50" t="s">
        <v>360</v>
      </c>
      <c r="G1075" s="50" t="s">
        <v>256</v>
      </c>
      <c r="H1075" s="50">
        <v>7</v>
      </c>
      <c r="M1075" t="str">
        <f>IF(COUNTIF($A:$A,E1075)=0,"Not Exists","Exists")</f>
        <v>Not Exists</v>
      </c>
      <c r="N1075" t="str">
        <f t="shared" si="52"/>
        <v>Exists</v>
      </c>
      <c r="O1075" t="str">
        <f t="shared" si="53"/>
        <v>Not Exists</v>
      </c>
      <c r="P1075" t="str">
        <f t="shared" si="54"/>
        <v>Exists</v>
      </c>
    </row>
    <row r="1076" spans="1:16">
      <c r="A1076" s="50" t="s">
        <v>968</v>
      </c>
      <c r="B1076" s="50" t="s">
        <v>966</v>
      </c>
      <c r="C1076" s="50" t="s">
        <v>256</v>
      </c>
      <c r="D1076" s="50">
        <v>4000</v>
      </c>
      <c r="E1076" s="50" t="s">
        <v>928</v>
      </c>
      <c r="F1076" s="50" t="s">
        <v>996</v>
      </c>
      <c r="G1076" s="50" t="s">
        <v>256</v>
      </c>
      <c r="H1076" s="50">
        <v>2</v>
      </c>
      <c r="M1076" t="str">
        <f>IF(COUNTIF($A:$A,E1076)=0,"Not Exists","Exists")</f>
        <v>Not Exists</v>
      </c>
      <c r="N1076" t="str">
        <f t="shared" si="52"/>
        <v>Not Exists</v>
      </c>
      <c r="O1076" t="str">
        <f t="shared" si="53"/>
        <v>Not Exists</v>
      </c>
      <c r="P1076" t="str">
        <f t="shared" si="54"/>
        <v>Exists</v>
      </c>
    </row>
    <row r="1077" spans="1:16">
      <c r="A1077" s="50" t="s">
        <v>997</v>
      </c>
      <c r="B1077" s="50" t="s">
        <v>535</v>
      </c>
      <c r="C1077" s="50" t="s">
        <v>256</v>
      </c>
      <c r="D1077" s="50">
        <v>50</v>
      </c>
      <c r="E1077" s="50" t="s">
        <v>928</v>
      </c>
      <c r="F1077" s="50" t="s">
        <v>998</v>
      </c>
      <c r="G1077" s="50" t="s">
        <v>256</v>
      </c>
      <c r="H1077" s="50">
        <v>4</v>
      </c>
      <c r="M1077" t="str">
        <f>IF(COUNTIF($A:$A,E1077)=0,"Not Exists","Exists")</f>
        <v>Not Exists</v>
      </c>
      <c r="N1077" t="str">
        <f t="shared" si="52"/>
        <v>Not Exists</v>
      </c>
      <c r="O1077" t="str">
        <f t="shared" si="53"/>
        <v>Exists</v>
      </c>
      <c r="P1077" t="str">
        <f t="shared" si="54"/>
        <v>Exists</v>
      </c>
    </row>
    <row r="1078" spans="1:16">
      <c r="A1078" s="50" t="s">
        <v>997</v>
      </c>
      <c r="B1078" s="50" t="s">
        <v>999</v>
      </c>
      <c r="C1078" s="50" t="s">
        <v>256</v>
      </c>
      <c r="D1078" s="50">
        <v>50</v>
      </c>
      <c r="E1078" s="50" t="s">
        <v>928</v>
      </c>
      <c r="F1078" s="50" t="s">
        <v>1000</v>
      </c>
      <c r="G1078" s="50" t="s">
        <v>256</v>
      </c>
      <c r="H1078" s="50">
        <v>4</v>
      </c>
      <c r="M1078" t="str">
        <f>IF(COUNTIF($A:$A,E1078)=0,"Not Exists","Exists")</f>
        <v>Not Exists</v>
      </c>
      <c r="N1078" t="str">
        <f t="shared" si="52"/>
        <v>Not Exists</v>
      </c>
      <c r="O1078" t="str">
        <f t="shared" si="53"/>
        <v>Exists</v>
      </c>
      <c r="P1078" t="str">
        <f t="shared" si="54"/>
        <v>Not Exists</v>
      </c>
    </row>
    <row r="1079" spans="1:16">
      <c r="A1079" s="50" t="s">
        <v>997</v>
      </c>
      <c r="B1079" s="50" t="s">
        <v>1001</v>
      </c>
      <c r="C1079" s="50" t="s">
        <v>251</v>
      </c>
      <c r="D1079" s="50">
        <v>17</v>
      </c>
      <c r="E1079" s="50" t="s">
        <v>928</v>
      </c>
      <c r="F1079" s="50" t="s">
        <v>1002</v>
      </c>
      <c r="G1079" s="50" t="s">
        <v>256</v>
      </c>
      <c r="H1079" s="50">
        <v>4</v>
      </c>
      <c r="M1079" t="str">
        <f>IF(COUNTIF($A:$A,E1079)=0,"Not Exists","Exists")</f>
        <v>Not Exists</v>
      </c>
      <c r="N1079" t="str">
        <f t="shared" si="52"/>
        <v>Not Exists</v>
      </c>
      <c r="O1079" t="str">
        <f t="shared" si="53"/>
        <v>Exists</v>
      </c>
      <c r="P1079" t="str">
        <f t="shared" si="54"/>
        <v>Exists</v>
      </c>
    </row>
    <row r="1080" spans="1:16">
      <c r="A1080" s="50" t="s">
        <v>997</v>
      </c>
      <c r="B1080" s="50" t="s">
        <v>1003</v>
      </c>
      <c r="C1080" s="50" t="s">
        <v>256</v>
      </c>
      <c r="D1080" s="50">
        <v>50</v>
      </c>
      <c r="E1080" s="50" t="s">
        <v>928</v>
      </c>
      <c r="F1080" s="50" t="s">
        <v>1004</v>
      </c>
      <c r="G1080" s="50" t="s">
        <v>256</v>
      </c>
      <c r="H1080" s="50">
        <v>4</v>
      </c>
      <c r="M1080" t="str">
        <f>IF(COUNTIF($A:$A,E1080)=0,"Not Exists","Exists")</f>
        <v>Not Exists</v>
      </c>
      <c r="N1080" t="str">
        <f t="shared" si="52"/>
        <v>Not Exists</v>
      </c>
      <c r="O1080" t="str">
        <f t="shared" si="53"/>
        <v>Exists</v>
      </c>
      <c r="P1080" t="str">
        <f t="shared" si="54"/>
        <v>Exists</v>
      </c>
    </row>
    <row r="1081" spans="1:16">
      <c r="A1081" s="50" t="s">
        <v>997</v>
      </c>
      <c r="B1081" s="50" t="s">
        <v>1005</v>
      </c>
      <c r="C1081" s="50" t="s">
        <v>251</v>
      </c>
      <c r="D1081" s="50">
        <v>17</v>
      </c>
      <c r="E1081" s="50" t="s">
        <v>928</v>
      </c>
      <c r="F1081" s="50" t="s">
        <v>1006</v>
      </c>
      <c r="G1081" s="50" t="s">
        <v>256</v>
      </c>
      <c r="H1081" s="50">
        <v>1</v>
      </c>
      <c r="M1081" t="str">
        <f>IF(COUNTIF($A:$A,E1081)=0,"Not Exists","Exists")</f>
        <v>Not Exists</v>
      </c>
      <c r="N1081" t="str">
        <f t="shared" si="52"/>
        <v>Not Exists</v>
      </c>
      <c r="O1081" t="str">
        <f t="shared" si="53"/>
        <v>Exists</v>
      </c>
      <c r="P1081" t="str">
        <f t="shared" si="54"/>
        <v>Exists</v>
      </c>
    </row>
    <row r="1082" spans="1:16">
      <c r="A1082" s="50" t="s">
        <v>997</v>
      </c>
      <c r="B1082" s="50" t="s">
        <v>1007</v>
      </c>
      <c r="C1082" s="50" t="s">
        <v>256</v>
      </c>
      <c r="D1082" s="50">
        <v>50</v>
      </c>
      <c r="E1082" s="50" t="s">
        <v>928</v>
      </c>
      <c r="F1082" s="50" t="s">
        <v>1008</v>
      </c>
      <c r="G1082" s="50" t="s">
        <v>256</v>
      </c>
      <c r="H1082" s="50">
        <v>8</v>
      </c>
      <c r="M1082" t="str">
        <f>IF(COUNTIF($A:$A,E1082)=0,"Not Exists","Exists")</f>
        <v>Not Exists</v>
      </c>
      <c r="N1082" t="str">
        <f t="shared" si="52"/>
        <v>Not Exists</v>
      </c>
      <c r="O1082" t="str">
        <f t="shared" si="53"/>
        <v>Exists</v>
      </c>
      <c r="P1082" t="str">
        <f t="shared" si="54"/>
        <v>Exists</v>
      </c>
    </row>
    <row r="1083" spans="1:16">
      <c r="A1083" s="50" t="s">
        <v>997</v>
      </c>
      <c r="B1083" s="50" t="s">
        <v>1009</v>
      </c>
      <c r="C1083" s="50" t="s">
        <v>254</v>
      </c>
      <c r="D1083" s="50">
        <v>22</v>
      </c>
      <c r="E1083" s="50" t="s">
        <v>928</v>
      </c>
      <c r="F1083" s="50" t="s">
        <v>1010</v>
      </c>
      <c r="G1083" s="50" t="s">
        <v>256</v>
      </c>
      <c r="H1083" s="50">
        <v>7</v>
      </c>
      <c r="M1083" t="str">
        <f>IF(COUNTIF($A:$A,E1083)=0,"Not Exists","Exists")</f>
        <v>Not Exists</v>
      </c>
      <c r="N1083" t="str">
        <f t="shared" si="52"/>
        <v>Not Exists</v>
      </c>
      <c r="O1083" t="str">
        <f t="shared" si="53"/>
        <v>Exists</v>
      </c>
      <c r="P1083" t="str">
        <f t="shared" si="54"/>
        <v>Exists</v>
      </c>
    </row>
    <row r="1084" spans="1:16">
      <c r="A1084" s="50" t="s">
        <v>997</v>
      </c>
      <c r="B1084" s="50" t="s">
        <v>1011</v>
      </c>
      <c r="C1084" s="50" t="s">
        <v>254</v>
      </c>
      <c r="D1084" s="50">
        <v>22</v>
      </c>
      <c r="E1084" s="50" t="s">
        <v>928</v>
      </c>
      <c r="F1084" s="50" t="s">
        <v>1012</v>
      </c>
      <c r="G1084" s="50" t="s">
        <v>256</v>
      </c>
      <c r="H1084" s="50">
        <v>7</v>
      </c>
      <c r="M1084" t="str">
        <f>IF(COUNTIF($A:$A,E1084)=0,"Not Exists","Exists")</f>
        <v>Not Exists</v>
      </c>
      <c r="N1084" t="str">
        <f t="shared" si="52"/>
        <v>Not Exists</v>
      </c>
      <c r="O1084" t="str">
        <f t="shared" si="53"/>
        <v>Exists</v>
      </c>
      <c r="P1084" t="str">
        <f t="shared" si="54"/>
        <v>Exists</v>
      </c>
    </row>
    <row r="1085" spans="1:16">
      <c r="A1085" s="50" t="s">
        <v>997</v>
      </c>
      <c r="B1085" s="50" t="s">
        <v>1013</v>
      </c>
      <c r="C1085" s="50" t="s">
        <v>256</v>
      </c>
      <c r="D1085" s="50">
        <v>50</v>
      </c>
      <c r="E1085" s="50" t="s">
        <v>928</v>
      </c>
      <c r="F1085" s="50" t="s">
        <v>1014</v>
      </c>
      <c r="G1085" s="50" t="s">
        <v>256</v>
      </c>
      <c r="H1085" s="50">
        <v>9</v>
      </c>
      <c r="M1085" t="str">
        <f>IF(COUNTIF($A:$A,E1085)=0,"Not Exists","Exists")</f>
        <v>Not Exists</v>
      </c>
      <c r="N1085" t="str">
        <f t="shared" ref="N1085:N1148" si="55">IF(COUNTIF($A:$B,F1085)=0,"Not Exists","Exists")</f>
        <v>Exists</v>
      </c>
      <c r="O1085" t="str">
        <f t="shared" si="53"/>
        <v>Exists</v>
      </c>
      <c r="P1085" t="str">
        <f t="shared" si="54"/>
        <v>Exists</v>
      </c>
    </row>
    <row r="1086" spans="1:16">
      <c r="A1086" s="50" t="s">
        <v>997</v>
      </c>
      <c r="B1086" s="50" t="s">
        <v>1015</v>
      </c>
      <c r="C1086" s="50" t="s">
        <v>256</v>
      </c>
      <c r="D1086" s="50">
        <v>450</v>
      </c>
      <c r="E1086" s="50" t="s">
        <v>928</v>
      </c>
      <c r="F1086" s="50" t="s">
        <v>1016</v>
      </c>
      <c r="G1086" s="50" t="s">
        <v>256</v>
      </c>
      <c r="H1086" s="50">
        <v>1</v>
      </c>
      <c r="M1086" t="str">
        <f>IF(COUNTIF($A:$A,E1086)=0,"Not Exists","Exists")</f>
        <v>Not Exists</v>
      </c>
      <c r="N1086" t="str">
        <f t="shared" si="55"/>
        <v>Not Exists</v>
      </c>
      <c r="O1086" t="str">
        <f t="shared" si="53"/>
        <v>Exists</v>
      </c>
      <c r="P1086" t="str">
        <f t="shared" si="54"/>
        <v>Exists</v>
      </c>
    </row>
    <row r="1087" spans="1:16">
      <c r="A1087" s="50" t="s">
        <v>997</v>
      </c>
      <c r="B1087" s="50" t="s">
        <v>1017</v>
      </c>
      <c r="C1087" s="50" t="s">
        <v>256</v>
      </c>
      <c r="D1087" s="50">
        <v>450</v>
      </c>
      <c r="E1087" s="50" t="s">
        <v>928</v>
      </c>
      <c r="F1087" s="50" t="s">
        <v>1018</v>
      </c>
      <c r="G1087" s="50" t="s">
        <v>256</v>
      </c>
      <c r="H1087" s="50">
        <v>1</v>
      </c>
      <c r="M1087" t="str">
        <f>IF(COUNTIF($A:$A,E1087)=0,"Not Exists","Exists")</f>
        <v>Not Exists</v>
      </c>
      <c r="N1087" t="str">
        <f t="shared" si="55"/>
        <v>Not Exists</v>
      </c>
      <c r="O1087" t="str">
        <f t="shared" si="53"/>
        <v>Exists</v>
      </c>
      <c r="P1087" t="str">
        <f t="shared" si="54"/>
        <v>Exists</v>
      </c>
    </row>
    <row r="1088" spans="1:16">
      <c r="A1088" s="50" t="s">
        <v>997</v>
      </c>
      <c r="B1088" s="50" t="s">
        <v>1019</v>
      </c>
      <c r="C1088" s="50" t="s">
        <v>256</v>
      </c>
      <c r="D1088" s="50">
        <v>3000</v>
      </c>
      <c r="E1088" s="50" t="s">
        <v>928</v>
      </c>
      <c r="F1088" s="50" t="s">
        <v>1020</v>
      </c>
      <c r="G1088" s="50" t="s">
        <v>256</v>
      </c>
      <c r="H1088" s="50">
        <v>1</v>
      </c>
      <c r="M1088" t="str">
        <f>IF(COUNTIF($A:$A,E1088)=0,"Not Exists","Exists")</f>
        <v>Not Exists</v>
      </c>
      <c r="N1088" t="str">
        <f t="shared" si="55"/>
        <v>Not Exists</v>
      </c>
      <c r="O1088" t="str">
        <f t="shared" si="53"/>
        <v>Exists</v>
      </c>
      <c r="P1088" t="str">
        <f t="shared" si="54"/>
        <v>Exists</v>
      </c>
    </row>
    <row r="1089" spans="1:16">
      <c r="A1089" s="50" t="s">
        <v>1021</v>
      </c>
      <c r="B1089" s="50" t="s">
        <v>1022</v>
      </c>
      <c r="C1089" s="50" t="s">
        <v>256</v>
      </c>
      <c r="D1089" s="50">
        <v>50</v>
      </c>
      <c r="E1089" s="50" t="s">
        <v>928</v>
      </c>
      <c r="F1089" s="50" t="s">
        <v>1023</v>
      </c>
      <c r="G1089" s="50" t="s">
        <v>256</v>
      </c>
      <c r="H1089" s="50">
        <v>1</v>
      </c>
      <c r="M1089" t="str">
        <f>IF(COUNTIF($A:$A,E1089)=0,"Not Exists","Exists")</f>
        <v>Not Exists</v>
      </c>
      <c r="N1089" t="str">
        <f t="shared" si="55"/>
        <v>Not Exists</v>
      </c>
      <c r="O1089" t="str">
        <f t="shared" si="53"/>
        <v>Exists</v>
      </c>
      <c r="P1089" t="str">
        <f t="shared" si="54"/>
        <v>Exists</v>
      </c>
    </row>
    <row r="1090" spans="1:16">
      <c r="A1090" s="50" t="s">
        <v>1021</v>
      </c>
      <c r="B1090" s="50" t="s">
        <v>1024</v>
      </c>
      <c r="C1090" s="50" t="s">
        <v>256</v>
      </c>
      <c r="D1090" s="50">
        <v>50</v>
      </c>
      <c r="E1090" s="50" t="s">
        <v>928</v>
      </c>
      <c r="F1090" s="50" t="s">
        <v>1025</v>
      </c>
      <c r="G1090" s="50" t="s">
        <v>256</v>
      </c>
      <c r="H1090" s="50">
        <v>1</v>
      </c>
      <c r="M1090" t="str">
        <f>IF(COUNTIF($A:$A,E1090)=0,"Not Exists","Exists")</f>
        <v>Not Exists</v>
      </c>
      <c r="N1090" t="str">
        <f t="shared" si="55"/>
        <v>Not Exists</v>
      </c>
      <c r="O1090" t="str">
        <f t="shared" si="53"/>
        <v>Exists</v>
      </c>
      <c r="P1090" t="str">
        <f t="shared" si="54"/>
        <v>Exists</v>
      </c>
    </row>
    <row r="1091" spans="1:16">
      <c r="A1091" s="50" t="s">
        <v>1021</v>
      </c>
      <c r="B1091" s="50" t="s">
        <v>1026</v>
      </c>
      <c r="C1091" s="50" t="s">
        <v>256</v>
      </c>
      <c r="D1091" s="50">
        <v>50</v>
      </c>
      <c r="E1091" s="50" t="s">
        <v>928</v>
      </c>
      <c r="F1091" s="50" t="s">
        <v>1027</v>
      </c>
      <c r="G1091" s="50" t="s">
        <v>256</v>
      </c>
      <c r="H1091" s="50">
        <v>1</v>
      </c>
      <c r="M1091" t="str">
        <f>IF(COUNTIF($A:$A,E1091)=0,"Not Exists","Exists")</f>
        <v>Not Exists</v>
      </c>
      <c r="N1091" t="str">
        <f t="shared" si="55"/>
        <v>Not Exists</v>
      </c>
      <c r="O1091" t="str">
        <f t="shared" si="53"/>
        <v>Exists</v>
      </c>
      <c r="P1091" t="str">
        <f t="shared" si="54"/>
        <v>Exists</v>
      </c>
    </row>
    <row r="1092" spans="1:16">
      <c r="A1092" s="50" t="s">
        <v>1021</v>
      </c>
      <c r="B1092" s="50" t="s">
        <v>1028</v>
      </c>
      <c r="C1092" s="50" t="s">
        <v>256</v>
      </c>
      <c r="D1092" s="50">
        <v>50</v>
      </c>
      <c r="E1092" s="50" t="s">
        <v>928</v>
      </c>
      <c r="F1092" s="50" t="s">
        <v>1029</v>
      </c>
      <c r="G1092" s="50" t="s">
        <v>256</v>
      </c>
      <c r="H1092" s="50">
        <v>1</v>
      </c>
      <c r="M1092" t="str">
        <f>IF(COUNTIF($A:$A,E1092)=0,"Not Exists","Exists")</f>
        <v>Not Exists</v>
      </c>
      <c r="N1092" t="str">
        <f t="shared" si="55"/>
        <v>Not Exists</v>
      </c>
      <c r="O1092" t="str">
        <f t="shared" ref="O1092:O1155" si="56">IF(COUNTIF($E:$E,A1092)=0,"Not Exists","Exists")</f>
        <v>Exists</v>
      </c>
      <c r="P1092" t="str">
        <f t="shared" ref="P1092:P1155" si="57">IF(COUNTIF($F:$F,B1092)=0,"Not Exists","Exists")</f>
        <v>Not Exists</v>
      </c>
    </row>
    <row r="1093" spans="1:16">
      <c r="A1093" s="50" t="s">
        <v>1021</v>
      </c>
      <c r="B1093" s="50" t="s">
        <v>1030</v>
      </c>
      <c r="C1093" s="50" t="s">
        <v>251</v>
      </c>
      <c r="D1093" s="50">
        <v>17</v>
      </c>
      <c r="E1093" s="50" t="s">
        <v>928</v>
      </c>
      <c r="F1093" s="50" t="s">
        <v>1031</v>
      </c>
      <c r="G1093" s="50" t="s">
        <v>256</v>
      </c>
      <c r="H1093" s="50">
        <v>4</v>
      </c>
      <c r="M1093" t="str">
        <f>IF(COUNTIF($A:$A,E1093)=0,"Not Exists","Exists")</f>
        <v>Not Exists</v>
      </c>
      <c r="N1093" t="str">
        <f t="shared" si="55"/>
        <v>Not Exists</v>
      </c>
      <c r="O1093" t="str">
        <f t="shared" si="56"/>
        <v>Exists</v>
      </c>
      <c r="P1093" t="str">
        <f t="shared" si="57"/>
        <v>Exists</v>
      </c>
    </row>
    <row r="1094" spans="1:16">
      <c r="A1094" s="50" t="s">
        <v>1021</v>
      </c>
      <c r="B1094" s="50" t="s">
        <v>1032</v>
      </c>
      <c r="C1094" s="50" t="s">
        <v>256</v>
      </c>
      <c r="D1094" s="50">
        <v>50</v>
      </c>
      <c r="E1094" s="50" t="s">
        <v>928</v>
      </c>
      <c r="F1094" s="50" t="s">
        <v>1033</v>
      </c>
      <c r="G1094" s="50" t="s">
        <v>256</v>
      </c>
      <c r="H1094" s="50">
        <v>3</v>
      </c>
      <c r="M1094" t="str">
        <f>IF(COUNTIF($A:$A,E1094)=0,"Not Exists","Exists")</f>
        <v>Not Exists</v>
      </c>
      <c r="N1094" t="str">
        <f t="shared" si="55"/>
        <v>Not Exists</v>
      </c>
      <c r="O1094" t="str">
        <f t="shared" si="56"/>
        <v>Exists</v>
      </c>
      <c r="P1094" t="str">
        <f t="shared" si="57"/>
        <v>Exists</v>
      </c>
    </row>
    <row r="1095" spans="1:16">
      <c r="A1095" s="50" t="s">
        <v>1021</v>
      </c>
      <c r="B1095" s="50" t="s">
        <v>1034</v>
      </c>
      <c r="C1095" s="50" t="s">
        <v>251</v>
      </c>
      <c r="D1095" s="50">
        <v>17</v>
      </c>
      <c r="E1095" s="50" t="s">
        <v>928</v>
      </c>
      <c r="F1095" s="50" t="s">
        <v>1035</v>
      </c>
      <c r="G1095" s="50" t="s">
        <v>254</v>
      </c>
      <c r="H1095" s="50">
        <v>22</v>
      </c>
      <c r="M1095" t="str">
        <f>IF(COUNTIF($A:$A,E1095)=0,"Not Exists","Exists")</f>
        <v>Not Exists</v>
      </c>
      <c r="N1095" t="str">
        <f t="shared" si="55"/>
        <v>Not Exists</v>
      </c>
      <c r="O1095" t="str">
        <f t="shared" si="56"/>
        <v>Exists</v>
      </c>
      <c r="P1095" t="str">
        <f t="shared" si="57"/>
        <v>Exists</v>
      </c>
    </row>
    <row r="1096" spans="1:16">
      <c r="A1096" s="50" t="s">
        <v>1021</v>
      </c>
      <c r="B1096" s="50" t="s">
        <v>1036</v>
      </c>
      <c r="C1096" s="50" t="s">
        <v>256</v>
      </c>
      <c r="D1096" s="50">
        <v>50</v>
      </c>
      <c r="E1096" s="50" t="s">
        <v>928</v>
      </c>
      <c r="F1096" s="50" t="s">
        <v>1037</v>
      </c>
      <c r="G1096" s="50" t="s">
        <v>256</v>
      </c>
      <c r="H1096" s="50">
        <v>3</v>
      </c>
      <c r="M1096" t="str">
        <f>IF(COUNTIF($A:$A,E1096)=0,"Not Exists","Exists")</f>
        <v>Not Exists</v>
      </c>
      <c r="N1096" t="str">
        <f t="shared" si="55"/>
        <v>Not Exists</v>
      </c>
      <c r="O1096" t="str">
        <f t="shared" si="56"/>
        <v>Exists</v>
      </c>
      <c r="P1096" t="str">
        <f t="shared" si="57"/>
        <v>Exists</v>
      </c>
    </row>
    <row r="1097" spans="1:16">
      <c r="A1097" s="50" t="s">
        <v>1021</v>
      </c>
      <c r="B1097" s="50" t="s">
        <v>1038</v>
      </c>
      <c r="C1097" s="50" t="s">
        <v>254</v>
      </c>
      <c r="D1097" s="50">
        <v>22</v>
      </c>
      <c r="E1097" s="50" t="s">
        <v>928</v>
      </c>
      <c r="F1097" s="50" t="s">
        <v>1039</v>
      </c>
      <c r="G1097" s="50" t="s">
        <v>256</v>
      </c>
      <c r="H1097" s="50">
        <v>3</v>
      </c>
      <c r="M1097" t="str">
        <f>IF(COUNTIF($A:$A,E1097)=0,"Not Exists","Exists")</f>
        <v>Not Exists</v>
      </c>
      <c r="N1097" t="str">
        <f t="shared" si="55"/>
        <v>Not Exists</v>
      </c>
      <c r="O1097" t="str">
        <f t="shared" si="56"/>
        <v>Exists</v>
      </c>
      <c r="P1097" t="str">
        <f t="shared" si="57"/>
        <v>Exists</v>
      </c>
    </row>
    <row r="1098" spans="1:16">
      <c r="A1098" s="50" t="s">
        <v>1040</v>
      </c>
      <c r="B1098" s="50" t="s">
        <v>1041</v>
      </c>
      <c r="C1098" s="50" t="s">
        <v>256</v>
      </c>
      <c r="D1098" s="50">
        <v>50</v>
      </c>
      <c r="E1098" s="50" t="s">
        <v>928</v>
      </c>
      <c r="F1098" s="50" t="s">
        <v>1042</v>
      </c>
      <c r="G1098" s="50" t="s">
        <v>256</v>
      </c>
      <c r="H1098" s="50">
        <v>4</v>
      </c>
      <c r="M1098" t="str">
        <f>IF(COUNTIF($A:$A,E1098)=0,"Not Exists","Exists")</f>
        <v>Not Exists</v>
      </c>
      <c r="N1098" t="str">
        <f t="shared" si="55"/>
        <v>Not Exists</v>
      </c>
      <c r="O1098" t="str">
        <f t="shared" si="56"/>
        <v>Exists</v>
      </c>
      <c r="P1098" t="str">
        <f t="shared" si="57"/>
        <v>Exists</v>
      </c>
    </row>
    <row r="1099" spans="1:16">
      <c r="A1099" s="50" t="s">
        <v>1040</v>
      </c>
      <c r="B1099" s="50" t="s">
        <v>1043</v>
      </c>
      <c r="C1099" s="50" t="s">
        <v>256</v>
      </c>
      <c r="D1099" s="50">
        <v>50</v>
      </c>
      <c r="E1099" s="50" t="s">
        <v>928</v>
      </c>
      <c r="F1099" s="50" t="s">
        <v>1044</v>
      </c>
      <c r="G1099" s="50" t="s">
        <v>256</v>
      </c>
      <c r="H1099" s="50">
        <v>39</v>
      </c>
      <c r="M1099" t="str">
        <f>IF(COUNTIF($A:$A,E1099)=0,"Not Exists","Exists")</f>
        <v>Not Exists</v>
      </c>
      <c r="N1099" t="str">
        <f t="shared" si="55"/>
        <v>Not Exists</v>
      </c>
      <c r="O1099" t="str">
        <f t="shared" si="56"/>
        <v>Exists</v>
      </c>
      <c r="P1099" t="str">
        <f t="shared" si="57"/>
        <v>Not Exists</v>
      </c>
    </row>
    <row r="1100" spans="1:16">
      <c r="A1100" s="50" t="s">
        <v>1040</v>
      </c>
      <c r="B1100" s="50" t="s">
        <v>1045</v>
      </c>
      <c r="C1100" s="50" t="s">
        <v>251</v>
      </c>
      <c r="D1100" s="50">
        <v>17</v>
      </c>
      <c r="E1100" s="50" t="s">
        <v>928</v>
      </c>
      <c r="F1100" s="50" t="s">
        <v>1046</v>
      </c>
      <c r="G1100" s="50" t="s">
        <v>256</v>
      </c>
      <c r="H1100" s="50">
        <v>2</v>
      </c>
      <c r="M1100" t="str">
        <f>IF(COUNTIF($A:$A,E1100)=0,"Not Exists","Exists")</f>
        <v>Not Exists</v>
      </c>
      <c r="N1100" t="str">
        <f t="shared" si="55"/>
        <v>Not Exists</v>
      </c>
      <c r="O1100" t="str">
        <f t="shared" si="56"/>
        <v>Exists</v>
      </c>
      <c r="P1100" t="str">
        <f t="shared" si="57"/>
        <v>Exists</v>
      </c>
    </row>
    <row r="1101" spans="1:16">
      <c r="A1101" s="50" t="s">
        <v>1040</v>
      </c>
      <c r="B1101" s="50" t="s">
        <v>1047</v>
      </c>
      <c r="C1101" s="50" t="s">
        <v>256</v>
      </c>
      <c r="D1101" s="50">
        <v>50</v>
      </c>
      <c r="E1101" s="50" t="s">
        <v>928</v>
      </c>
      <c r="F1101" s="50" t="s">
        <v>1048</v>
      </c>
      <c r="G1101" s="50" t="s">
        <v>256</v>
      </c>
      <c r="H1101" s="50">
        <v>34</v>
      </c>
      <c r="M1101" t="str">
        <f>IF(COUNTIF($A:$A,E1101)=0,"Not Exists","Exists")</f>
        <v>Not Exists</v>
      </c>
      <c r="N1101" t="str">
        <f t="shared" si="55"/>
        <v>Not Exists</v>
      </c>
      <c r="O1101" t="str">
        <f t="shared" si="56"/>
        <v>Exists</v>
      </c>
      <c r="P1101" t="str">
        <f t="shared" si="57"/>
        <v>Exists</v>
      </c>
    </row>
    <row r="1102" spans="1:16">
      <c r="A1102" s="50" t="s">
        <v>1040</v>
      </c>
      <c r="B1102" s="50" t="s">
        <v>1049</v>
      </c>
      <c r="C1102" s="50" t="s">
        <v>251</v>
      </c>
      <c r="D1102" s="50">
        <v>17</v>
      </c>
      <c r="E1102" s="50" t="s">
        <v>928</v>
      </c>
      <c r="F1102" s="50" t="s">
        <v>1050</v>
      </c>
      <c r="G1102" s="50" t="s">
        <v>256</v>
      </c>
      <c r="H1102" s="50">
        <v>4</v>
      </c>
      <c r="M1102" t="str">
        <f>IF(COUNTIF($A:$A,E1102)=0,"Not Exists","Exists")</f>
        <v>Not Exists</v>
      </c>
      <c r="N1102" t="str">
        <f t="shared" si="55"/>
        <v>Not Exists</v>
      </c>
      <c r="O1102" t="str">
        <f t="shared" si="56"/>
        <v>Exists</v>
      </c>
      <c r="P1102" t="str">
        <f t="shared" si="57"/>
        <v>Exists</v>
      </c>
    </row>
    <row r="1103" spans="1:16">
      <c r="A1103" s="50" t="s">
        <v>1040</v>
      </c>
      <c r="B1103" s="50" t="s">
        <v>1051</v>
      </c>
      <c r="C1103" s="50" t="s">
        <v>256</v>
      </c>
      <c r="D1103" s="50">
        <v>50</v>
      </c>
      <c r="E1103" s="50" t="s">
        <v>928</v>
      </c>
      <c r="F1103" s="50" t="s">
        <v>1052</v>
      </c>
      <c r="G1103" s="50" t="s">
        <v>256</v>
      </c>
      <c r="H1103" s="50">
        <v>8</v>
      </c>
      <c r="M1103" t="str">
        <f>IF(COUNTIF($A:$A,E1103)=0,"Not Exists","Exists")</f>
        <v>Not Exists</v>
      </c>
      <c r="N1103" t="str">
        <f t="shared" si="55"/>
        <v>Not Exists</v>
      </c>
      <c r="O1103" t="str">
        <f t="shared" si="56"/>
        <v>Exists</v>
      </c>
      <c r="P1103" t="str">
        <f t="shared" si="57"/>
        <v>Exists</v>
      </c>
    </row>
    <row r="1104" spans="1:16">
      <c r="A1104" s="50" t="s">
        <v>1040</v>
      </c>
      <c r="B1104" s="50" t="s">
        <v>1053</v>
      </c>
      <c r="C1104" s="50" t="s">
        <v>256</v>
      </c>
      <c r="D1104" s="50">
        <v>450</v>
      </c>
      <c r="E1104" s="50" t="s">
        <v>928</v>
      </c>
      <c r="F1104" s="50" t="s">
        <v>1054</v>
      </c>
      <c r="G1104" s="50" t="s">
        <v>256</v>
      </c>
      <c r="H1104" s="50">
        <v>7</v>
      </c>
      <c r="M1104" t="str">
        <f>IF(COUNTIF($A:$A,E1104)=0,"Not Exists","Exists")</f>
        <v>Not Exists</v>
      </c>
      <c r="N1104" t="str">
        <f t="shared" si="55"/>
        <v>Not Exists</v>
      </c>
      <c r="O1104" t="str">
        <f t="shared" si="56"/>
        <v>Exists</v>
      </c>
      <c r="P1104" t="str">
        <f t="shared" si="57"/>
        <v>Exists</v>
      </c>
    </row>
    <row r="1105" spans="1:16">
      <c r="A1105" s="50" t="s">
        <v>1040</v>
      </c>
      <c r="B1105" s="50" t="s">
        <v>1055</v>
      </c>
      <c r="C1105" s="50" t="s">
        <v>256</v>
      </c>
      <c r="D1105" s="50">
        <v>3000</v>
      </c>
      <c r="E1105" s="50" t="s">
        <v>928</v>
      </c>
      <c r="F1105" s="50" t="s">
        <v>1056</v>
      </c>
      <c r="G1105" s="50" t="s">
        <v>256</v>
      </c>
      <c r="H1105" s="50">
        <v>20</v>
      </c>
      <c r="M1105" t="str">
        <f>IF(COUNTIF($A:$A,E1105)=0,"Not Exists","Exists")</f>
        <v>Not Exists</v>
      </c>
      <c r="N1105" t="str">
        <f t="shared" si="55"/>
        <v>Not Exists</v>
      </c>
      <c r="O1105" t="str">
        <f t="shared" si="56"/>
        <v>Exists</v>
      </c>
      <c r="P1105" t="str">
        <f t="shared" si="57"/>
        <v>Exists</v>
      </c>
    </row>
    <row r="1106" spans="1:16">
      <c r="A1106" s="50" t="s">
        <v>1040</v>
      </c>
      <c r="B1106" s="50" t="s">
        <v>1057</v>
      </c>
      <c r="C1106" s="50" t="s">
        <v>256</v>
      </c>
      <c r="D1106" s="50">
        <v>50</v>
      </c>
      <c r="E1106" s="50" t="s">
        <v>928</v>
      </c>
      <c r="F1106" s="50" t="s">
        <v>1058</v>
      </c>
      <c r="G1106" s="50" t="s">
        <v>254</v>
      </c>
      <c r="H1106" s="50">
        <v>22</v>
      </c>
      <c r="M1106" t="str">
        <f>IF(COUNTIF($A:$A,E1106)=0,"Not Exists","Exists")</f>
        <v>Not Exists</v>
      </c>
      <c r="N1106" t="str">
        <f t="shared" si="55"/>
        <v>Not Exists</v>
      </c>
      <c r="O1106" t="str">
        <f t="shared" si="56"/>
        <v>Exists</v>
      </c>
      <c r="P1106" t="str">
        <f t="shared" si="57"/>
        <v>Exists</v>
      </c>
    </row>
    <row r="1107" spans="1:16">
      <c r="A1107" s="50" t="s">
        <v>1059</v>
      </c>
      <c r="B1107" s="50" t="s">
        <v>1060</v>
      </c>
      <c r="C1107" s="50" t="s">
        <v>256</v>
      </c>
      <c r="D1107" s="50">
        <v>50</v>
      </c>
      <c r="E1107" s="50" t="s">
        <v>928</v>
      </c>
      <c r="F1107" s="50" t="s">
        <v>1061</v>
      </c>
      <c r="G1107" s="50" t="s">
        <v>256</v>
      </c>
      <c r="H1107" s="50">
        <v>1</v>
      </c>
      <c r="M1107" t="str">
        <f>IF(COUNTIF($A:$A,E1107)=0,"Not Exists","Exists")</f>
        <v>Not Exists</v>
      </c>
      <c r="N1107" t="str">
        <f t="shared" si="55"/>
        <v>Not Exists</v>
      </c>
      <c r="O1107" t="str">
        <f t="shared" si="56"/>
        <v>Exists</v>
      </c>
      <c r="P1107" t="str">
        <f t="shared" si="57"/>
        <v>Exists</v>
      </c>
    </row>
    <row r="1108" spans="1:16">
      <c r="A1108" s="50" t="s">
        <v>1059</v>
      </c>
      <c r="B1108" s="50" t="s">
        <v>1062</v>
      </c>
      <c r="C1108" s="50" t="s">
        <v>256</v>
      </c>
      <c r="D1108" s="50">
        <v>50</v>
      </c>
      <c r="E1108" s="50" t="s">
        <v>928</v>
      </c>
      <c r="F1108" s="50" t="s">
        <v>1063</v>
      </c>
      <c r="G1108" s="50" t="s">
        <v>254</v>
      </c>
      <c r="H1108" s="50">
        <v>22</v>
      </c>
      <c r="M1108" t="str">
        <f>IF(COUNTIF($A:$A,E1108)=0,"Not Exists","Exists")</f>
        <v>Not Exists</v>
      </c>
      <c r="N1108" t="str">
        <f t="shared" si="55"/>
        <v>Not Exists</v>
      </c>
      <c r="O1108" t="str">
        <f t="shared" si="56"/>
        <v>Exists</v>
      </c>
      <c r="P1108" t="str">
        <f t="shared" si="57"/>
        <v>Exists</v>
      </c>
    </row>
    <row r="1109" spans="1:16">
      <c r="A1109" s="50" t="s">
        <v>1059</v>
      </c>
      <c r="B1109" s="50" t="s">
        <v>1064</v>
      </c>
      <c r="C1109" s="50" t="s">
        <v>256</v>
      </c>
      <c r="D1109" s="50">
        <v>50</v>
      </c>
      <c r="E1109" s="50" t="s">
        <v>928</v>
      </c>
      <c r="F1109" s="50" t="s">
        <v>1065</v>
      </c>
      <c r="G1109" s="50" t="s">
        <v>256</v>
      </c>
      <c r="H1109" s="50">
        <v>1</v>
      </c>
      <c r="M1109" t="str">
        <f>IF(COUNTIF($A:$A,E1109)=0,"Not Exists","Exists")</f>
        <v>Not Exists</v>
      </c>
      <c r="N1109" t="str">
        <f t="shared" si="55"/>
        <v>Not Exists</v>
      </c>
      <c r="O1109" t="str">
        <f t="shared" si="56"/>
        <v>Exists</v>
      </c>
      <c r="P1109" t="str">
        <f t="shared" si="57"/>
        <v>Not Exists</v>
      </c>
    </row>
    <row r="1110" spans="1:16">
      <c r="A1110" s="50" t="s">
        <v>1059</v>
      </c>
      <c r="B1110" s="50" t="s">
        <v>1066</v>
      </c>
      <c r="C1110" s="50" t="s">
        <v>251</v>
      </c>
      <c r="D1110" s="50">
        <v>17</v>
      </c>
      <c r="E1110" s="50" t="s">
        <v>928</v>
      </c>
      <c r="F1110" s="50" t="s">
        <v>1067</v>
      </c>
      <c r="G1110" s="50" t="s">
        <v>256</v>
      </c>
      <c r="H1110" s="50">
        <v>1</v>
      </c>
      <c r="M1110" t="str">
        <f>IF(COUNTIF($A:$A,E1110)=0,"Not Exists","Exists")</f>
        <v>Not Exists</v>
      </c>
      <c r="N1110" t="str">
        <f t="shared" si="55"/>
        <v>Not Exists</v>
      </c>
      <c r="O1110" t="str">
        <f t="shared" si="56"/>
        <v>Exists</v>
      </c>
      <c r="P1110" t="str">
        <f t="shared" si="57"/>
        <v>Exists</v>
      </c>
    </row>
    <row r="1111" spans="1:16">
      <c r="A1111" s="50" t="s">
        <v>1059</v>
      </c>
      <c r="B1111" s="50" t="s">
        <v>1068</v>
      </c>
      <c r="C1111" s="50" t="s">
        <v>256</v>
      </c>
      <c r="D1111" s="50">
        <v>50</v>
      </c>
      <c r="E1111" s="50" t="s">
        <v>928</v>
      </c>
      <c r="F1111" s="50" t="s">
        <v>1069</v>
      </c>
      <c r="G1111" s="50" t="s">
        <v>256</v>
      </c>
      <c r="H1111" s="50">
        <v>1</v>
      </c>
      <c r="M1111" t="str">
        <f>IF(COUNTIF($A:$A,E1111)=0,"Not Exists","Exists")</f>
        <v>Not Exists</v>
      </c>
      <c r="N1111" t="str">
        <f t="shared" si="55"/>
        <v>Not Exists</v>
      </c>
      <c r="O1111" t="str">
        <f t="shared" si="56"/>
        <v>Exists</v>
      </c>
      <c r="P1111" t="str">
        <f t="shared" si="57"/>
        <v>Exists</v>
      </c>
    </row>
    <row r="1112" spans="1:16">
      <c r="A1112" s="50" t="s">
        <v>1059</v>
      </c>
      <c r="B1112" s="50" t="s">
        <v>1070</v>
      </c>
      <c r="C1112" s="50" t="s">
        <v>251</v>
      </c>
      <c r="D1112" s="50">
        <v>17</v>
      </c>
      <c r="E1112" s="50" t="s">
        <v>928</v>
      </c>
      <c r="F1112" s="50" t="s">
        <v>1071</v>
      </c>
      <c r="G1112" s="50" t="s">
        <v>256</v>
      </c>
      <c r="H1112" s="50">
        <v>1</v>
      </c>
      <c r="M1112" t="str">
        <f>IF(COUNTIF($A:$A,E1112)=0,"Not Exists","Exists")</f>
        <v>Not Exists</v>
      </c>
      <c r="N1112" t="str">
        <f t="shared" si="55"/>
        <v>Not Exists</v>
      </c>
      <c r="O1112" t="str">
        <f t="shared" si="56"/>
        <v>Exists</v>
      </c>
      <c r="P1112" t="str">
        <f t="shared" si="57"/>
        <v>Exists</v>
      </c>
    </row>
    <row r="1113" spans="1:16">
      <c r="A1113" s="50" t="s">
        <v>1059</v>
      </c>
      <c r="B1113" s="50" t="s">
        <v>1072</v>
      </c>
      <c r="C1113" s="50" t="s">
        <v>256</v>
      </c>
      <c r="D1113" s="50">
        <v>50</v>
      </c>
      <c r="E1113" s="50" t="s">
        <v>928</v>
      </c>
      <c r="F1113" s="50" t="s">
        <v>1073</v>
      </c>
      <c r="G1113" s="50" t="s">
        <v>256</v>
      </c>
      <c r="H1113" s="50">
        <v>3</v>
      </c>
      <c r="M1113" t="str">
        <f>IF(COUNTIF($A:$A,E1113)=0,"Not Exists","Exists")</f>
        <v>Not Exists</v>
      </c>
      <c r="N1113" t="str">
        <f t="shared" si="55"/>
        <v>Not Exists</v>
      </c>
      <c r="O1113" t="str">
        <f t="shared" si="56"/>
        <v>Exists</v>
      </c>
      <c r="P1113" t="str">
        <f t="shared" si="57"/>
        <v>Exists</v>
      </c>
    </row>
    <row r="1114" spans="1:16">
      <c r="A1114" s="50" t="s">
        <v>1059</v>
      </c>
      <c r="B1114" s="50" t="s">
        <v>1074</v>
      </c>
      <c r="C1114" s="50" t="s">
        <v>256</v>
      </c>
      <c r="D1114" s="50">
        <v>450</v>
      </c>
      <c r="E1114" s="50" t="s">
        <v>928</v>
      </c>
      <c r="F1114" s="50" t="s">
        <v>1075</v>
      </c>
      <c r="G1114" s="50" t="s">
        <v>256</v>
      </c>
      <c r="H1114" s="50">
        <v>12</v>
      </c>
      <c r="M1114" t="str">
        <f>IF(COUNTIF($A:$A,E1114)=0,"Not Exists","Exists")</f>
        <v>Not Exists</v>
      </c>
      <c r="N1114" t="str">
        <f t="shared" si="55"/>
        <v>Not Exists</v>
      </c>
      <c r="O1114" t="str">
        <f t="shared" si="56"/>
        <v>Exists</v>
      </c>
      <c r="P1114" t="str">
        <f t="shared" si="57"/>
        <v>Exists</v>
      </c>
    </row>
    <row r="1115" spans="1:16">
      <c r="A1115" s="50" t="s">
        <v>1059</v>
      </c>
      <c r="B1115" s="50" t="s">
        <v>1076</v>
      </c>
      <c r="C1115" s="50" t="s">
        <v>256</v>
      </c>
      <c r="D1115" s="50">
        <v>3000</v>
      </c>
      <c r="E1115" s="50" t="s">
        <v>928</v>
      </c>
      <c r="F1115" s="50" t="s">
        <v>1077</v>
      </c>
      <c r="G1115" s="50" t="s">
        <v>256</v>
      </c>
      <c r="H1115" s="50">
        <v>9</v>
      </c>
      <c r="M1115" t="str">
        <f>IF(COUNTIF($A:$A,E1115)=0,"Not Exists","Exists")</f>
        <v>Not Exists</v>
      </c>
      <c r="N1115" t="str">
        <f t="shared" si="55"/>
        <v>Not Exists</v>
      </c>
      <c r="O1115" t="str">
        <f t="shared" si="56"/>
        <v>Exists</v>
      </c>
      <c r="P1115" t="str">
        <f t="shared" si="57"/>
        <v>Exists</v>
      </c>
    </row>
    <row r="1116" spans="1:16">
      <c r="A1116" s="50" t="s">
        <v>1078</v>
      </c>
      <c r="B1116" s="50" t="s">
        <v>1079</v>
      </c>
      <c r="C1116" s="50" t="s">
        <v>256</v>
      </c>
      <c r="D1116" s="50">
        <v>50</v>
      </c>
      <c r="E1116" s="50" t="s">
        <v>928</v>
      </c>
      <c r="F1116" s="50" t="s">
        <v>623</v>
      </c>
      <c r="G1116" s="50" t="s">
        <v>256</v>
      </c>
      <c r="H1116" s="50">
        <v>8</v>
      </c>
      <c r="M1116" t="str">
        <f>IF(COUNTIF($A:$A,E1116)=0,"Not Exists","Exists")</f>
        <v>Not Exists</v>
      </c>
      <c r="N1116" t="str">
        <f t="shared" si="55"/>
        <v>Not Exists</v>
      </c>
      <c r="O1116" t="str">
        <f t="shared" si="56"/>
        <v>Exists</v>
      </c>
      <c r="P1116" t="str">
        <f t="shared" si="57"/>
        <v>Exists</v>
      </c>
    </row>
    <row r="1117" spans="1:16">
      <c r="A1117" s="50" t="s">
        <v>1078</v>
      </c>
      <c r="B1117" s="50" t="s">
        <v>1080</v>
      </c>
      <c r="C1117" s="50" t="s">
        <v>256</v>
      </c>
      <c r="D1117" s="50">
        <v>50</v>
      </c>
      <c r="E1117" s="50" t="s">
        <v>928</v>
      </c>
      <c r="F1117" s="50" t="s">
        <v>1081</v>
      </c>
      <c r="G1117" s="50" t="s">
        <v>254</v>
      </c>
      <c r="H1117" s="50">
        <v>22</v>
      </c>
      <c r="M1117" t="str">
        <f>IF(COUNTIF($A:$A,E1117)=0,"Not Exists","Exists")</f>
        <v>Not Exists</v>
      </c>
      <c r="N1117" t="str">
        <f t="shared" si="55"/>
        <v>Not Exists</v>
      </c>
      <c r="O1117" t="str">
        <f t="shared" si="56"/>
        <v>Exists</v>
      </c>
      <c r="P1117" t="str">
        <f t="shared" si="57"/>
        <v>Exists</v>
      </c>
    </row>
    <row r="1118" spans="1:16">
      <c r="A1118" s="50" t="s">
        <v>1078</v>
      </c>
      <c r="B1118" s="50" t="s">
        <v>1082</v>
      </c>
      <c r="C1118" s="50" t="s">
        <v>256</v>
      </c>
      <c r="D1118" s="50">
        <v>50</v>
      </c>
      <c r="E1118" s="50" t="s">
        <v>928</v>
      </c>
      <c r="F1118" s="50" t="s">
        <v>1083</v>
      </c>
      <c r="G1118" s="50" t="s">
        <v>254</v>
      </c>
      <c r="H1118" s="50">
        <v>22</v>
      </c>
      <c r="M1118" t="str">
        <f>IF(COUNTIF($A:$A,E1118)=0,"Not Exists","Exists")</f>
        <v>Not Exists</v>
      </c>
      <c r="N1118" t="str">
        <f t="shared" si="55"/>
        <v>Not Exists</v>
      </c>
      <c r="O1118" t="str">
        <f t="shared" si="56"/>
        <v>Exists</v>
      </c>
      <c r="P1118" t="str">
        <f t="shared" si="57"/>
        <v>Not Exists</v>
      </c>
    </row>
    <row r="1119" spans="1:16">
      <c r="A1119" s="50" t="s">
        <v>1078</v>
      </c>
      <c r="B1119" s="50" t="s">
        <v>1084</v>
      </c>
      <c r="C1119" s="50" t="s">
        <v>256</v>
      </c>
      <c r="D1119" s="50">
        <v>50</v>
      </c>
      <c r="E1119" s="50" t="s">
        <v>928</v>
      </c>
      <c r="F1119" s="50" t="s">
        <v>1085</v>
      </c>
      <c r="G1119" s="50" t="s">
        <v>256</v>
      </c>
      <c r="H1119" s="50">
        <v>8</v>
      </c>
      <c r="M1119" t="str">
        <f>IF(COUNTIF($A:$A,E1119)=0,"Not Exists","Exists")</f>
        <v>Not Exists</v>
      </c>
      <c r="N1119" t="str">
        <f t="shared" si="55"/>
        <v>Not Exists</v>
      </c>
      <c r="O1119" t="str">
        <f t="shared" si="56"/>
        <v>Exists</v>
      </c>
      <c r="P1119" t="str">
        <f t="shared" si="57"/>
        <v>Exists</v>
      </c>
    </row>
    <row r="1120" spans="1:16">
      <c r="A1120" s="50" t="s">
        <v>1078</v>
      </c>
      <c r="B1120" s="50" t="s">
        <v>1086</v>
      </c>
      <c r="C1120" s="50" t="s">
        <v>251</v>
      </c>
      <c r="D1120" s="50">
        <v>17</v>
      </c>
      <c r="E1120" s="50" t="s">
        <v>928</v>
      </c>
      <c r="F1120" s="50" t="s">
        <v>350</v>
      </c>
      <c r="G1120" s="50" t="s">
        <v>256</v>
      </c>
      <c r="H1120" s="50">
        <v>32</v>
      </c>
      <c r="M1120" t="str">
        <f>IF(COUNTIF($A:$A,E1120)=0,"Not Exists","Exists")</f>
        <v>Not Exists</v>
      </c>
      <c r="N1120" t="str">
        <f t="shared" si="55"/>
        <v>Exists</v>
      </c>
      <c r="O1120" t="str">
        <f t="shared" si="56"/>
        <v>Exists</v>
      </c>
      <c r="P1120" t="str">
        <f t="shared" si="57"/>
        <v>Exists</v>
      </c>
    </row>
    <row r="1121" spans="1:16">
      <c r="A1121" s="50" t="s">
        <v>1078</v>
      </c>
      <c r="B1121" s="50" t="s">
        <v>1087</v>
      </c>
      <c r="C1121" s="50" t="s">
        <v>256</v>
      </c>
      <c r="D1121" s="50">
        <v>50</v>
      </c>
      <c r="E1121" s="50" t="s">
        <v>928</v>
      </c>
      <c r="F1121" s="50" t="s">
        <v>1088</v>
      </c>
      <c r="G1121" s="50" t="s">
        <v>256</v>
      </c>
      <c r="H1121" s="50">
        <v>1</v>
      </c>
      <c r="M1121" t="str">
        <f>IF(COUNTIF($A:$A,E1121)=0,"Not Exists","Exists")</f>
        <v>Not Exists</v>
      </c>
      <c r="N1121" t="str">
        <f t="shared" si="55"/>
        <v>Not Exists</v>
      </c>
      <c r="O1121" t="str">
        <f t="shared" si="56"/>
        <v>Exists</v>
      </c>
      <c r="P1121" t="str">
        <f t="shared" si="57"/>
        <v>Exists</v>
      </c>
    </row>
    <row r="1122" spans="1:16">
      <c r="A1122" s="50" t="s">
        <v>1078</v>
      </c>
      <c r="B1122" s="50" t="s">
        <v>1089</v>
      </c>
      <c r="C1122" s="50" t="s">
        <v>251</v>
      </c>
      <c r="D1122" s="50">
        <v>17</v>
      </c>
      <c r="E1122" s="50" t="s">
        <v>928</v>
      </c>
      <c r="F1122" s="50" t="s">
        <v>1090</v>
      </c>
      <c r="G1122" s="50" t="s">
        <v>256</v>
      </c>
      <c r="H1122" s="50">
        <v>100</v>
      </c>
      <c r="M1122" t="str">
        <f>IF(COUNTIF($A:$A,E1122)=0,"Not Exists","Exists")</f>
        <v>Not Exists</v>
      </c>
      <c r="N1122" t="str">
        <f t="shared" si="55"/>
        <v>Not Exists</v>
      </c>
      <c r="O1122" t="str">
        <f t="shared" si="56"/>
        <v>Exists</v>
      </c>
      <c r="P1122" t="str">
        <f t="shared" si="57"/>
        <v>Exists</v>
      </c>
    </row>
    <row r="1123" spans="1:16">
      <c r="A1123" s="50" t="s">
        <v>1078</v>
      </c>
      <c r="B1123" s="50" t="s">
        <v>1091</v>
      </c>
      <c r="C1123" s="50" t="s">
        <v>256</v>
      </c>
      <c r="D1123" s="50">
        <v>50</v>
      </c>
      <c r="E1123" s="50" t="s">
        <v>928</v>
      </c>
      <c r="F1123" s="50" t="s">
        <v>1092</v>
      </c>
      <c r="G1123" s="50" t="s">
        <v>256</v>
      </c>
      <c r="H1123" s="50">
        <v>1000</v>
      </c>
      <c r="M1123" t="str">
        <f>IF(COUNTIF($A:$A,E1123)=0,"Not Exists","Exists")</f>
        <v>Not Exists</v>
      </c>
      <c r="N1123" t="str">
        <f t="shared" si="55"/>
        <v>Not Exists</v>
      </c>
      <c r="O1123" t="str">
        <f t="shared" si="56"/>
        <v>Exists</v>
      </c>
      <c r="P1123" t="str">
        <f t="shared" si="57"/>
        <v>Exists</v>
      </c>
    </row>
    <row r="1124" spans="1:16">
      <c r="A1124" s="50" t="s">
        <v>1078</v>
      </c>
      <c r="B1124" s="50" t="s">
        <v>1093</v>
      </c>
      <c r="C1124" s="50" t="s">
        <v>256</v>
      </c>
      <c r="D1124" s="50">
        <v>3000</v>
      </c>
      <c r="E1124" s="50" t="s">
        <v>928</v>
      </c>
      <c r="F1124" s="50" t="s">
        <v>1094</v>
      </c>
      <c r="G1124" s="50" t="s">
        <v>256</v>
      </c>
      <c r="H1124" s="50">
        <v>1000</v>
      </c>
      <c r="M1124" t="str">
        <f>IF(COUNTIF($A:$A,E1124)=0,"Not Exists","Exists")</f>
        <v>Not Exists</v>
      </c>
      <c r="N1124" t="str">
        <f t="shared" si="55"/>
        <v>Not Exists</v>
      </c>
      <c r="O1124" t="str">
        <f t="shared" si="56"/>
        <v>Exists</v>
      </c>
      <c r="P1124" t="str">
        <f t="shared" si="57"/>
        <v>Exists</v>
      </c>
    </row>
    <row r="1125" spans="1:16">
      <c r="A1125" s="50" t="s">
        <v>1095</v>
      </c>
      <c r="B1125" s="50" t="s">
        <v>1096</v>
      </c>
      <c r="C1125" s="50" t="s">
        <v>256</v>
      </c>
      <c r="D1125" s="50">
        <v>50</v>
      </c>
      <c r="E1125" s="50" t="s">
        <v>928</v>
      </c>
      <c r="F1125" s="50" t="s">
        <v>1097</v>
      </c>
      <c r="G1125" s="50" t="s">
        <v>256</v>
      </c>
      <c r="H1125" s="50">
        <v>1000</v>
      </c>
      <c r="M1125" t="str">
        <f>IF(COUNTIF($A:$A,E1125)=0,"Not Exists","Exists")</f>
        <v>Not Exists</v>
      </c>
      <c r="N1125" t="str">
        <f t="shared" si="55"/>
        <v>Not Exists</v>
      </c>
      <c r="O1125" t="str">
        <f t="shared" si="56"/>
        <v>Exists</v>
      </c>
      <c r="P1125" t="str">
        <f t="shared" si="57"/>
        <v>Exists</v>
      </c>
    </row>
    <row r="1126" spans="1:16">
      <c r="A1126" s="50" t="s">
        <v>1095</v>
      </c>
      <c r="B1126" s="50" t="s">
        <v>1098</v>
      </c>
      <c r="C1126" s="50" t="s">
        <v>256</v>
      </c>
      <c r="D1126" s="50">
        <v>50</v>
      </c>
      <c r="E1126" s="50" t="s">
        <v>928</v>
      </c>
      <c r="F1126" s="50" t="s">
        <v>1099</v>
      </c>
      <c r="G1126" s="50" t="s">
        <v>256</v>
      </c>
      <c r="H1126" s="50">
        <v>1000</v>
      </c>
      <c r="M1126" t="str">
        <f>IF(COUNTIF($A:$A,E1126)=0,"Not Exists","Exists")</f>
        <v>Not Exists</v>
      </c>
      <c r="N1126" t="str">
        <f t="shared" si="55"/>
        <v>Not Exists</v>
      </c>
      <c r="O1126" t="str">
        <f t="shared" si="56"/>
        <v>Exists</v>
      </c>
      <c r="P1126" t="str">
        <f t="shared" si="57"/>
        <v>Exists</v>
      </c>
    </row>
    <row r="1127" spans="1:16">
      <c r="A1127" s="50" t="s">
        <v>1095</v>
      </c>
      <c r="B1127" s="50" t="s">
        <v>1100</v>
      </c>
      <c r="C1127" s="50" t="s">
        <v>256</v>
      </c>
      <c r="D1127" s="50">
        <v>50</v>
      </c>
      <c r="E1127" s="50" t="s">
        <v>928</v>
      </c>
      <c r="F1127" s="50" t="s">
        <v>1101</v>
      </c>
      <c r="G1127" s="50" t="s">
        <v>256</v>
      </c>
      <c r="H1127" s="50">
        <v>1000</v>
      </c>
      <c r="M1127" t="str">
        <f>IF(COUNTIF($A:$A,E1127)=0,"Not Exists","Exists")</f>
        <v>Not Exists</v>
      </c>
      <c r="N1127" t="str">
        <f t="shared" si="55"/>
        <v>Not Exists</v>
      </c>
      <c r="O1127" t="str">
        <f t="shared" si="56"/>
        <v>Exists</v>
      </c>
      <c r="P1127" t="str">
        <f t="shared" si="57"/>
        <v>Not Exists</v>
      </c>
    </row>
    <row r="1128" spans="1:16">
      <c r="A1128" s="50" t="s">
        <v>1095</v>
      </c>
      <c r="B1128" s="50" t="s">
        <v>1102</v>
      </c>
      <c r="C1128" s="50" t="s">
        <v>251</v>
      </c>
      <c r="D1128" s="50">
        <v>17</v>
      </c>
      <c r="E1128" s="50" t="s">
        <v>928</v>
      </c>
      <c r="F1128" s="50" t="s">
        <v>1103</v>
      </c>
      <c r="G1128" s="50" t="s">
        <v>256</v>
      </c>
      <c r="H1128" s="50">
        <v>1000</v>
      </c>
      <c r="M1128" t="str">
        <f>IF(COUNTIF($A:$A,E1128)=0,"Not Exists","Exists")</f>
        <v>Not Exists</v>
      </c>
      <c r="N1128" t="str">
        <f t="shared" si="55"/>
        <v>Not Exists</v>
      </c>
      <c r="O1128" t="str">
        <f t="shared" si="56"/>
        <v>Exists</v>
      </c>
      <c r="P1128" t="str">
        <f t="shared" si="57"/>
        <v>Exists</v>
      </c>
    </row>
    <row r="1129" spans="1:16">
      <c r="A1129" s="50" t="s">
        <v>1095</v>
      </c>
      <c r="B1129" s="50" t="s">
        <v>1104</v>
      </c>
      <c r="C1129" s="50" t="s">
        <v>256</v>
      </c>
      <c r="D1129" s="50">
        <v>50</v>
      </c>
      <c r="E1129" s="50" t="s">
        <v>928</v>
      </c>
      <c r="F1129" s="50" t="s">
        <v>1105</v>
      </c>
      <c r="G1129" s="50" t="s">
        <v>256</v>
      </c>
      <c r="H1129" s="50">
        <v>1000</v>
      </c>
      <c r="M1129" t="str">
        <f>IF(COUNTIF($A:$A,E1129)=0,"Not Exists","Exists")</f>
        <v>Not Exists</v>
      </c>
      <c r="N1129" t="str">
        <f t="shared" si="55"/>
        <v>Not Exists</v>
      </c>
      <c r="O1129" t="str">
        <f t="shared" si="56"/>
        <v>Exists</v>
      </c>
      <c r="P1129" t="str">
        <f t="shared" si="57"/>
        <v>Exists</v>
      </c>
    </row>
    <row r="1130" spans="1:16">
      <c r="A1130" s="50" t="s">
        <v>1095</v>
      </c>
      <c r="B1130" s="50" t="s">
        <v>1106</v>
      </c>
      <c r="C1130" s="50" t="s">
        <v>251</v>
      </c>
      <c r="D1130" s="50">
        <v>17</v>
      </c>
      <c r="E1130" s="50" t="s">
        <v>928</v>
      </c>
      <c r="F1130" s="50" t="s">
        <v>1107</v>
      </c>
      <c r="G1130" s="50" t="s">
        <v>256</v>
      </c>
      <c r="H1130" s="50">
        <v>1000</v>
      </c>
      <c r="M1130" t="str">
        <f>IF(COUNTIF($A:$A,E1130)=0,"Not Exists","Exists")</f>
        <v>Not Exists</v>
      </c>
      <c r="N1130" t="str">
        <f t="shared" si="55"/>
        <v>Not Exists</v>
      </c>
      <c r="O1130" t="str">
        <f t="shared" si="56"/>
        <v>Exists</v>
      </c>
      <c r="P1130" t="str">
        <f t="shared" si="57"/>
        <v>Exists</v>
      </c>
    </row>
    <row r="1131" spans="1:16">
      <c r="A1131" s="50" t="s">
        <v>1095</v>
      </c>
      <c r="B1131" s="50" t="s">
        <v>1108</v>
      </c>
      <c r="C1131" s="50" t="s">
        <v>256</v>
      </c>
      <c r="D1131" s="50">
        <v>50</v>
      </c>
      <c r="E1131" s="50" t="s">
        <v>928</v>
      </c>
      <c r="F1131" s="50" t="s">
        <v>1109</v>
      </c>
      <c r="G1131" s="50" t="s">
        <v>256</v>
      </c>
      <c r="H1131" s="50">
        <v>1000</v>
      </c>
      <c r="M1131" t="str">
        <f>IF(COUNTIF($A:$A,E1131)=0,"Not Exists","Exists")</f>
        <v>Not Exists</v>
      </c>
      <c r="N1131" t="str">
        <f t="shared" si="55"/>
        <v>Not Exists</v>
      </c>
      <c r="O1131" t="str">
        <f t="shared" si="56"/>
        <v>Exists</v>
      </c>
      <c r="P1131" t="str">
        <f t="shared" si="57"/>
        <v>Exists</v>
      </c>
    </row>
    <row r="1132" spans="1:16">
      <c r="A1132" s="50" t="s">
        <v>1095</v>
      </c>
      <c r="B1132" s="50" t="s">
        <v>1110</v>
      </c>
      <c r="C1132" s="50" t="s">
        <v>256</v>
      </c>
      <c r="D1132" s="50">
        <v>450</v>
      </c>
      <c r="E1132" s="50" t="s">
        <v>928</v>
      </c>
      <c r="F1132" s="50" t="s">
        <v>1111</v>
      </c>
      <c r="G1132" s="50" t="s">
        <v>256</v>
      </c>
      <c r="H1132" s="50">
        <v>1000</v>
      </c>
      <c r="M1132" t="str">
        <f>IF(COUNTIF($A:$A,E1132)=0,"Not Exists","Exists")</f>
        <v>Not Exists</v>
      </c>
      <c r="N1132" t="str">
        <f t="shared" si="55"/>
        <v>Not Exists</v>
      </c>
      <c r="O1132" t="str">
        <f t="shared" si="56"/>
        <v>Exists</v>
      </c>
      <c r="P1132" t="str">
        <f t="shared" si="57"/>
        <v>Exists</v>
      </c>
    </row>
    <row r="1133" spans="1:16">
      <c r="A1133" s="50" t="s">
        <v>1095</v>
      </c>
      <c r="B1133" s="50" t="s">
        <v>1112</v>
      </c>
      <c r="C1133" s="50" t="s">
        <v>256</v>
      </c>
      <c r="D1133" s="50">
        <v>450</v>
      </c>
      <c r="E1133" s="50" t="s">
        <v>928</v>
      </c>
      <c r="F1133" s="50" t="s">
        <v>1113</v>
      </c>
      <c r="G1133" s="50" t="s">
        <v>256</v>
      </c>
      <c r="H1133" s="50">
        <v>1000</v>
      </c>
      <c r="M1133" t="str">
        <f>IF(COUNTIF($A:$A,E1133)=0,"Not Exists","Exists")</f>
        <v>Not Exists</v>
      </c>
      <c r="N1133" t="str">
        <f t="shared" si="55"/>
        <v>Not Exists</v>
      </c>
      <c r="O1133" t="str">
        <f t="shared" si="56"/>
        <v>Exists</v>
      </c>
      <c r="P1133" t="str">
        <f t="shared" si="57"/>
        <v>Exists</v>
      </c>
    </row>
    <row r="1134" spans="1:16">
      <c r="A1134" s="50" t="s">
        <v>1095</v>
      </c>
      <c r="B1134" s="50" t="s">
        <v>1114</v>
      </c>
      <c r="C1134" s="50" t="s">
        <v>254</v>
      </c>
      <c r="D1134" s="50">
        <v>22</v>
      </c>
      <c r="E1134" s="50" t="s">
        <v>928</v>
      </c>
      <c r="F1134" s="50" t="s">
        <v>1115</v>
      </c>
      <c r="G1134" s="50" t="s">
        <v>256</v>
      </c>
      <c r="H1134" s="50">
        <v>1000</v>
      </c>
      <c r="M1134" t="str">
        <f>IF(COUNTIF($A:$A,E1134)=0,"Not Exists","Exists")</f>
        <v>Not Exists</v>
      </c>
      <c r="N1134" t="str">
        <f t="shared" si="55"/>
        <v>Not Exists</v>
      </c>
      <c r="O1134" t="str">
        <f t="shared" si="56"/>
        <v>Exists</v>
      </c>
      <c r="P1134" t="str">
        <f t="shared" si="57"/>
        <v>Exists</v>
      </c>
    </row>
    <row r="1135" spans="1:16">
      <c r="A1135" s="50" t="s">
        <v>1095</v>
      </c>
      <c r="B1135" s="50" t="s">
        <v>1116</v>
      </c>
      <c r="C1135" s="50" t="s">
        <v>256</v>
      </c>
      <c r="D1135" s="50">
        <v>50</v>
      </c>
      <c r="E1135" s="50" t="s">
        <v>928</v>
      </c>
      <c r="F1135" s="50" t="s">
        <v>1117</v>
      </c>
      <c r="G1135" s="50" t="s">
        <v>256</v>
      </c>
      <c r="H1135" s="50">
        <v>1000</v>
      </c>
      <c r="M1135" t="str">
        <f>IF(COUNTIF($A:$A,E1135)=0,"Not Exists","Exists")</f>
        <v>Not Exists</v>
      </c>
      <c r="N1135" t="str">
        <f t="shared" si="55"/>
        <v>Not Exists</v>
      </c>
      <c r="O1135" t="str">
        <f t="shared" si="56"/>
        <v>Exists</v>
      </c>
      <c r="P1135" t="str">
        <f t="shared" si="57"/>
        <v>Exists</v>
      </c>
    </row>
    <row r="1136" spans="1:16">
      <c r="A1136" s="50" t="s">
        <v>1095</v>
      </c>
      <c r="B1136" s="50" t="s">
        <v>1118</v>
      </c>
      <c r="C1136" s="50" t="s">
        <v>256</v>
      </c>
      <c r="D1136" s="50">
        <v>50</v>
      </c>
      <c r="E1136" s="50" t="s">
        <v>928</v>
      </c>
      <c r="F1136" s="50" t="s">
        <v>1119</v>
      </c>
      <c r="G1136" s="50" t="s">
        <v>256</v>
      </c>
      <c r="H1136" s="50">
        <v>1000</v>
      </c>
      <c r="M1136" t="str">
        <f>IF(COUNTIF($A:$A,E1136)=0,"Not Exists","Exists")</f>
        <v>Not Exists</v>
      </c>
      <c r="N1136" t="str">
        <f t="shared" si="55"/>
        <v>Not Exists</v>
      </c>
      <c r="O1136" t="str">
        <f t="shared" si="56"/>
        <v>Exists</v>
      </c>
      <c r="P1136" t="str">
        <f t="shared" si="57"/>
        <v>Exists</v>
      </c>
    </row>
    <row r="1137" spans="1:16">
      <c r="A1137" s="50" t="s">
        <v>1120</v>
      </c>
      <c r="B1137" s="50" t="s">
        <v>1121</v>
      </c>
      <c r="C1137" s="50" t="s">
        <v>256</v>
      </c>
      <c r="D1137" s="50">
        <v>50</v>
      </c>
      <c r="E1137" s="50" t="s">
        <v>928</v>
      </c>
      <c r="F1137" s="50" t="s">
        <v>1122</v>
      </c>
      <c r="G1137" s="50" t="s">
        <v>256</v>
      </c>
      <c r="H1137" s="50">
        <v>1000</v>
      </c>
      <c r="M1137" t="str">
        <f>IF(COUNTIF($A:$A,E1137)=0,"Not Exists","Exists")</f>
        <v>Not Exists</v>
      </c>
      <c r="N1137" t="str">
        <f t="shared" si="55"/>
        <v>Not Exists</v>
      </c>
      <c r="O1137" t="str">
        <f t="shared" si="56"/>
        <v>Exists</v>
      </c>
      <c r="P1137" t="str">
        <f t="shared" si="57"/>
        <v>Exists</v>
      </c>
    </row>
    <row r="1138" spans="1:16">
      <c r="A1138" s="50" t="s">
        <v>1120</v>
      </c>
      <c r="B1138" s="50" t="s">
        <v>1123</v>
      </c>
      <c r="C1138" s="50" t="s">
        <v>256</v>
      </c>
      <c r="D1138" s="50">
        <v>50</v>
      </c>
      <c r="E1138" s="50" t="s">
        <v>928</v>
      </c>
      <c r="F1138" s="50" t="s">
        <v>1124</v>
      </c>
      <c r="G1138" s="50" t="s">
        <v>256</v>
      </c>
      <c r="H1138" s="50">
        <v>1000</v>
      </c>
      <c r="M1138" t="str">
        <f>IF(COUNTIF($A:$A,E1138)=0,"Not Exists","Exists")</f>
        <v>Not Exists</v>
      </c>
      <c r="N1138" t="str">
        <f t="shared" si="55"/>
        <v>Not Exists</v>
      </c>
      <c r="O1138" t="str">
        <f t="shared" si="56"/>
        <v>Exists</v>
      </c>
      <c r="P1138" t="str">
        <f t="shared" si="57"/>
        <v>Not Exists</v>
      </c>
    </row>
    <row r="1139" spans="1:16">
      <c r="A1139" s="50" t="s">
        <v>1120</v>
      </c>
      <c r="B1139" s="50" t="s">
        <v>1125</v>
      </c>
      <c r="C1139" s="50" t="s">
        <v>251</v>
      </c>
      <c r="D1139" s="50">
        <v>17</v>
      </c>
      <c r="E1139" s="50" t="s">
        <v>928</v>
      </c>
      <c r="F1139" s="50" t="s">
        <v>1126</v>
      </c>
      <c r="G1139" s="50" t="s">
        <v>256</v>
      </c>
      <c r="H1139" s="50">
        <v>1000</v>
      </c>
      <c r="M1139" t="str">
        <f>IF(COUNTIF($A:$A,E1139)=0,"Not Exists","Exists")</f>
        <v>Not Exists</v>
      </c>
      <c r="N1139" t="str">
        <f t="shared" si="55"/>
        <v>Not Exists</v>
      </c>
      <c r="O1139" t="str">
        <f t="shared" si="56"/>
        <v>Exists</v>
      </c>
      <c r="P1139" t="str">
        <f t="shared" si="57"/>
        <v>Exists</v>
      </c>
    </row>
    <row r="1140" spans="1:16">
      <c r="A1140" s="50" t="s">
        <v>1120</v>
      </c>
      <c r="B1140" s="50" t="s">
        <v>1127</v>
      </c>
      <c r="C1140" s="50" t="s">
        <v>256</v>
      </c>
      <c r="D1140" s="50">
        <v>50</v>
      </c>
      <c r="E1140" s="50" t="s">
        <v>928</v>
      </c>
      <c r="F1140" s="50" t="s">
        <v>1128</v>
      </c>
      <c r="G1140" s="50" t="s">
        <v>256</v>
      </c>
      <c r="H1140" s="50">
        <v>1000</v>
      </c>
      <c r="M1140" t="str">
        <f>IF(COUNTIF($A:$A,E1140)=0,"Not Exists","Exists")</f>
        <v>Not Exists</v>
      </c>
      <c r="N1140" t="str">
        <f t="shared" si="55"/>
        <v>Not Exists</v>
      </c>
      <c r="O1140" t="str">
        <f t="shared" si="56"/>
        <v>Exists</v>
      </c>
      <c r="P1140" t="str">
        <f t="shared" si="57"/>
        <v>Exists</v>
      </c>
    </row>
    <row r="1141" spans="1:16">
      <c r="A1141" s="50" t="s">
        <v>1120</v>
      </c>
      <c r="B1141" s="50" t="s">
        <v>1129</v>
      </c>
      <c r="C1141" s="50" t="s">
        <v>251</v>
      </c>
      <c r="D1141" s="50">
        <v>17</v>
      </c>
      <c r="E1141" s="50" t="s">
        <v>928</v>
      </c>
      <c r="F1141" s="50" t="s">
        <v>1130</v>
      </c>
      <c r="G1141" s="50" t="s">
        <v>256</v>
      </c>
      <c r="H1141" s="50">
        <v>1000</v>
      </c>
      <c r="M1141" t="str">
        <f>IF(COUNTIF($A:$A,E1141)=0,"Not Exists","Exists")</f>
        <v>Not Exists</v>
      </c>
      <c r="N1141" t="str">
        <f t="shared" si="55"/>
        <v>Not Exists</v>
      </c>
      <c r="O1141" t="str">
        <f t="shared" si="56"/>
        <v>Exists</v>
      </c>
      <c r="P1141" t="str">
        <f t="shared" si="57"/>
        <v>Exists</v>
      </c>
    </row>
    <row r="1142" spans="1:16">
      <c r="A1142" s="50" t="s">
        <v>1120</v>
      </c>
      <c r="B1142" s="50" t="s">
        <v>1131</v>
      </c>
      <c r="C1142" s="50" t="s">
        <v>256</v>
      </c>
      <c r="D1142" s="50">
        <v>50</v>
      </c>
      <c r="E1142" s="50" t="s">
        <v>928</v>
      </c>
      <c r="F1142" s="50" t="s">
        <v>1132</v>
      </c>
      <c r="G1142" s="50" t="s">
        <v>256</v>
      </c>
      <c r="H1142" s="50">
        <v>1000</v>
      </c>
      <c r="M1142" t="str">
        <f>IF(COUNTIF($A:$A,E1142)=0,"Not Exists","Exists")</f>
        <v>Not Exists</v>
      </c>
      <c r="N1142" t="str">
        <f t="shared" si="55"/>
        <v>Not Exists</v>
      </c>
      <c r="O1142" t="str">
        <f t="shared" si="56"/>
        <v>Exists</v>
      </c>
      <c r="P1142" t="str">
        <f t="shared" si="57"/>
        <v>Exists</v>
      </c>
    </row>
    <row r="1143" spans="1:16">
      <c r="A1143" s="50" t="s">
        <v>1120</v>
      </c>
      <c r="B1143" s="50" t="s">
        <v>1133</v>
      </c>
      <c r="C1143" s="50" t="s">
        <v>256</v>
      </c>
      <c r="D1143" s="50">
        <v>450</v>
      </c>
      <c r="E1143" s="50" t="s">
        <v>928</v>
      </c>
      <c r="F1143" s="50" t="s">
        <v>1134</v>
      </c>
      <c r="G1143" s="50" t="s">
        <v>256</v>
      </c>
      <c r="H1143" s="50">
        <v>1000</v>
      </c>
      <c r="M1143" t="str">
        <f>IF(COUNTIF($A:$A,E1143)=0,"Not Exists","Exists")</f>
        <v>Not Exists</v>
      </c>
      <c r="N1143" t="str">
        <f t="shared" si="55"/>
        <v>Not Exists</v>
      </c>
      <c r="O1143" t="str">
        <f t="shared" si="56"/>
        <v>Exists</v>
      </c>
      <c r="P1143" t="str">
        <f t="shared" si="57"/>
        <v>Exists</v>
      </c>
    </row>
    <row r="1144" spans="1:16">
      <c r="A1144" s="50" t="s">
        <v>1120</v>
      </c>
      <c r="B1144" s="50" t="s">
        <v>1135</v>
      </c>
      <c r="C1144" s="50" t="s">
        <v>256</v>
      </c>
      <c r="D1144" s="50">
        <v>3000</v>
      </c>
      <c r="E1144" s="50" t="s">
        <v>928</v>
      </c>
      <c r="F1144" s="50" t="s">
        <v>1136</v>
      </c>
      <c r="G1144" s="50" t="s">
        <v>256</v>
      </c>
      <c r="H1144" s="50">
        <v>1000</v>
      </c>
      <c r="M1144" t="str">
        <f>IF(COUNTIF($A:$A,E1144)=0,"Not Exists","Exists")</f>
        <v>Not Exists</v>
      </c>
      <c r="N1144" t="str">
        <f t="shared" si="55"/>
        <v>Not Exists</v>
      </c>
      <c r="O1144" t="str">
        <f t="shared" si="56"/>
        <v>Exists</v>
      </c>
      <c r="P1144" t="str">
        <f t="shared" si="57"/>
        <v>Exists</v>
      </c>
    </row>
    <row r="1145" spans="1:16">
      <c r="A1145" s="50" t="s">
        <v>1120</v>
      </c>
      <c r="B1145" s="50" t="s">
        <v>1137</v>
      </c>
      <c r="C1145" s="50" t="s">
        <v>251</v>
      </c>
      <c r="D1145" s="50">
        <v>1</v>
      </c>
      <c r="E1145" s="50" t="s">
        <v>928</v>
      </c>
      <c r="F1145" s="50" t="s">
        <v>1138</v>
      </c>
      <c r="G1145" s="50" t="s">
        <v>256</v>
      </c>
      <c r="H1145" s="50">
        <v>1000</v>
      </c>
      <c r="M1145" t="str">
        <f>IF(COUNTIF($A:$A,E1145)=0,"Not Exists","Exists")</f>
        <v>Not Exists</v>
      </c>
      <c r="N1145" t="str">
        <f t="shared" si="55"/>
        <v>Not Exists</v>
      </c>
      <c r="O1145" t="str">
        <f t="shared" si="56"/>
        <v>Exists</v>
      </c>
      <c r="P1145" t="str">
        <f t="shared" si="57"/>
        <v>Exists</v>
      </c>
    </row>
    <row r="1146" spans="1:16">
      <c r="A1146" s="50" t="s">
        <v>1120</v>
      </c>
      <c r="B1146" s="50" t="s">
        <v>1139</v>
      </c>
      <c r="C1146" s="50" t="s">
        <v>254</v>
      </c>
      <c r="D1146" s="50">
        <v>22</v>
      </c>
      <c r="E1146" s="50" t="s">
        <v>928</v>
      </c>
      <c r="F1146" s="50" t="s">
        <v>1140</v>
      </c>
      <c r="G1146" s="50" t="s">
        <v>256</v>
      </c>
      <c r="H1146" s="50">
        <v>1000</v>
      </c>
      <c r="M1146" t="str">
        <f>IF(COUNTIF($A:$A,E1146)=0,"Not Exists","Exists")</f>
        <v>Not Exists</v>
      </c>
      <c r="N1146" t="str">
        <f t="shared" si="55"/>
        <v>Not Exists</v>
      </c>
      <c r="O1146" t="str">
        <f t="shared" si="56"/>
        <v>Exists</v>
      </c>
      <c r="P1146" t="str">
        <f t="shared" si="57"/>
        <v>Exists</v>
      </c>
    </row>
    <row r="1147" spans="1:16">
      <c r="A1147" s="50" t="s">
        <v>1120</v>
      </c>
      <c r="B1147" s="50" t="s">
        <v>1141</v>
      </c>
      <c r="C1147" s="50" t="s">
        <v>254</v>
      </c>
      <c r="D1147" s="50">
        <v>22</v>
      </c>
      <c r="E1147" s="50" t="s">
        <v>928</v>
      </c>
      <c r="F1147" s="50" t="s">
        <v>1142</v>
      </c>
      <c r="G1147" s="50" t="s">
        <v>256</v>
      </c>
      <c r="H1147" s="50">
        <v>1000</v>
      </c>
      <c r="M1147" t="str">
        <f>IF(COUNTIF($A:$A,E1147)=0,"Not Exists","Exists")</f>
        <v>Not Exists</v>
      </c>
      <c r="N1147" t="str">
        <f t="shared" si="55"/>
        <v>Not Exists</v>
      </c>
      <c r="O1147" t="str">
        <f t="shared" si="56"/>
        <v>Exists</v>
      </c>
      <c r="P1147" t="str">
        <f t="shared" si="57"/>
        <v>Exists</v>
      </c>
    </row>
    <row r="1148" spans="1:16">
      <c r="A1148" s="50" t="s">
        <v>1120</v>
      </c>
      <c r="B1148" s="50" t="s">
        <v>1143</v>
      </c>
      <c r="C1148" s="50" t="s">
        <v>254</v>
      </c>
      <c r="D1148" s="50">
        <v>22</v>
      </c>
      <c r="E1148" s="50" t="s">
        <v>928</v>
      </c>
      <c r="F1148" s="50" t="s">
        <v>1144</v>
      </c>
      <c r="G1148" s="50" t="s">
        <v>256</v>
      </c>
      <c r="H1148" s="50">
        <v>1000</v>
      </c>
      <c r="M1148" t="str">
        <f>IF(COUNTIF($A:$A,E1148)=0,"Not Exists","Exists")</f>
        <v>Not Exists</v>
      </c>
      <c r="N1148" t="str">
        <f t="shared" si="55"/>
        <v>Not Exists</v>
      </c>
      <c r="O1148" t="str">
        <f t="shared" si="56"/>
        <v>Exists</v>
      </c>
      <c r="P1148" t="str">
        <f t="shared" si="57"/>
        <v>Exists</v>
      </c>
    </row>
    <row r="1149" spans="1:16">
      <c r="A1149" s="50" t="s">
        <v>1145</v>
      </c>
      <c r="B1149" s="50" t="s">
        <v>1146</v>
      </c>
      <c r="C1149" s="50" t="s">
        <v>256</v>
      </c>
      <c r="D1149" s="50">
        <v>50</v>
      </c>
      <c r="E1149" s="50" t="s">
        <v>928</v>
      </c>
      <c r="F1149" s="50" t="s">
        <v>1147</v>
      </c>
      <c r="G1149" s="50" t="s">
        <v>256</v>
      </c>
      <c r="H1149" s="50">
        <v>1000</v>
      </c>
      <c r="M1149" t="str">
        <f>IF(COUNTIF($A:$A,E1149)=0,"Not Exists","Exists")</f>
        <v>Not Exists</v>
      </c>
      <c r="N1149" t="str">
        <f t="shared" ref="N1149:N1212" si="58">IF(COUNTIF($A:$B,F1149)=0,"Not Exists","Exists")</f>
        <v>Not Exists</v>
      </c>
      <c r="O1149" t="str">
        <f t="shared" si="56"/>
        <v>Not Exists</v>
      </c>
      <c r="P1149" t="str">
        <f t="shared" si="57"/>
        <v>Not Exists</v>
      </c>
    </row>
    <row r="1150" spans="1:16">
      <c r="A1150" s="50" t="s">
        <v>1145</v>
      </c>
      <c r="B1150" s="50" t="s">
        <v>1148</v>
      </c>
      <c r="C1150" s="50" t="s">
        <v>256</v>
      </c>
      <c r="D1150" s="50">
        <v>50</v>
      </c>
      <c r="E1150" s="50" t="s">
        <v>928</v>
      </c>
      <c r="F1150" s="50" t="s">
        <v>1149</v>
      </c>
      <c r="G1150" s="50" t="s">
        <v>256</v>
      </c>
      <c r="H1150" s="50">
        <v>1000</v>
      </c>
      <c r="M1150" t="str">
        <f>IF(COUNTIF($A:$A,E1150)=0,"Not Exists","Exists")</f>
        <v>Not Exists</v>
      </c>
      <c r="N1150" t="str">
        <f t="shared" si="58"/>
        <v>Not Exists</v>
      </c>
      <c r="O1150" t="str">
        <f t="shared" si="56"/>
        <v>Not Exists</v>
      </c>
      <c r="P1150" t="str">
        <f t="shared" si="57"/>
        <v>Not Exists</v>
      </c>
    </row>
    <row r="1151" spans="1:16">
      <c r="A1151" s="50" t="s">
        <v>1145</v>
      </c>
      <c r="B1151" s="50" t="s">
        <v>1150</v>
      </c>
      <c r="C1151" s="50" t="s">
        <v>251</v>
      </c>
      <c r="D1151" s="50">
        <v>17</v>
      </c>
      <c r="E1151" s="50" t="s">
        <v>928</v>
      </c>
      <c r="F1151" s="50" t="s">
        <v>1151</v>
      </c>
      <c r="G1151" s="50" t="s">
        <v>256</v>
      </c>
      <c r="H1151" s="50">
        <v>1000</v>
      </c>
      <c r="M1151" t="str">
        <f>IF(COUNTIF($A:$A,E1151)=0,"Not Exists","Exists")</f>
        <v>Not Exists</v>
      </c>
      <c r="N1151" t="str">
        <f t="shared" si="58"/>
        <v>Not Exists</v>
      </c>
      <c r="O1151" t="str">
        <f t="shared" si="56"/>
        <v>Not Exists</v>
      </c>
      <c r="P1151" t="str">
        <f t="shared" si="57"/>
        <v>Not Exists</v>
      </c>
    </row>
    <row r="1152" spans="1:16">
      <c r="A1152" s="50" t="s">
        <v>1145</v>
      </c>
      <c r="B1152" s="50" t="s">
        <v>1152</v>
      </c>
      <c r="C1152" s="50" t="s">
        <v>256</v>
      </c>
      <c r="D1152" s="50">
        <v>50</v>
      </c>
      <c r="E1152" s="50" t="s">
        <v>928</v>
      </c>
      <c r="F1152" s="50" t="s">
        <v>1153</v>
      </c>
      <c r="G1152" s="50" t="s">
        <v>256</v>
      </c>
      <c r="H1152" s="50">
        <v>1000</v>
      </c>
      <c r="M1152" t="str">
        <f>IF(COUNTIF($A:$A,E1152)=0,"Not Exists","Exists")</f>
        <v>Not Exists</v>
      </c>
      <c r="N1152" t="str">
        <f t="shared" si="58"/>
        <v>Not Exists</v>
      </c>
      <c r="O1152" t="str">
        <f t="shared" si="56"/>
        <v>Not Exists</v>
      </c>
      <c r="P1152" t="str">
        <f t="shared" si="57"/>
        <v>Not Exists</v>
      </c>
    </row>
    <row r="1153" spans="1:16">
      <c r="A1153" s="50" t="s">
        <v>1145</v>
      </c>
      <c r="B1153" s="50" t="s">
        <v>1154</v>
      </c>
      <c r="C1153" s="50" t="s">
        <v>251</v>
      </c>
      <c r="D1153" s="50">
        <v>17</v>
      </c>
      <c r="E1153" s="50" t="s">
        <v>928</v>
      </c>
      <c r="F1153" s="50" t="s">
        <v>1155</v>
      </c>
      <c r="G1153" s="50" t="s">
        <v>256</v>
      </c>
      <c r="H1153" s="50">
        <v>1000</v>
      </c>
      <c r="M1153" t="str">
        <f>IF(COUNTIF($A:$A,E1153)=0,"Not Exists","Exists")</f>
        <v>Not Exists</v>
      </c>
      <c r="N1153" t="str">
        <f t="shared" si="58"/>
        <v>Not Exists</v>
      </c>
      <c r="O1153" t="str">
        <f t="shared" si="56"/>
        <v>Not Exists</v>
      </c>
      <c r="P1153" t="str">
        <f t="shared" si="57"/>
        <v>Not Exists</v>
      </c>
    </row>
    <row r="1154" spans="1:16">
      <c r="A1154" s="50" t="s">
        <v>1145</v>
      </c>
      <c r="B1154" s="50" t="s">
        <v>1156</v>
      </c>
      <c r="C1154" s="50" t="s">
        <v>256</v>
      </c>
      <c r="D1154" s="50">
        <v>50</v>
      </c>
      <c r="E1154" s="50" t="s">
        <v>928</v>
      </c>
      <c r="F1154" s="50" t="s">
        <v>1157</v>
      </c>
      <c r="G1154" s="50" t="s">
        <v>256</v>
      </c>
      <c r="H1154" s="50">
        <v>1000</v>
      </c>
      <c r="M1154" t="str">
        <f>IF(COUNTIF($A:$A,E1154)=0,"Not Exists","Exists")</f>
        <v>Not Exists</v>
      </c>
      <c r="N1154" t="str">
        <f t="shared" si="58"/>
        <v>Not Exists</v>
      </c>
      <c r="O1154" t="str">
        <f t="shared" si="56"/>
        <v>Not Exists</v>
      </c>
      <c r="P1154" t="str">
        <f t="shared" si="57"/>
        <v>Not Exists</v>
      </c>
    </row>
    <row r="1155" spans="1:16">
      <c r="A1155" s="50" t="s">
        <v>1145</v>
      </c>
      <c r="B1155" s="50" t="s">
        <v>1158</v>
      </c>
      <c r="C1155" s="50" t="s">
        <v>256</v>
      </c>
      <c r="D1155" s="50">
        <v>450</v>
      </c>
      <c r="E1155" s="50" t="s">
        <v>928</v>
      </c>
      <c r="F1155" s="50" t="s">
        <v>1159</v>
      </c>
      <c r="G1155" s="50" t="s">
        <v>256</v>
      </c>
      <c r="H1155" s="50">
        <v>1000</v>
      </c>
      <c r="M1155" t="str">
        <f>IF(COUNTIF($A:$A,E1155)=0,"Not Exists","Exists")</f>
        <v>Not Exists</v>
      </c>
      <c r="N1155" t="str">
        <f t="shared" si="58"/>
        <v>Not Exists</v>
      </c>
      <c r="O1155" t="str">
        <f t="shared" si="56"/>
        <v>Not Exists</v>
      </c>
      <c r="P1155" t="str">
        <f t="shared" si="57"/>
        <v>Not Exists</v>
      </c>
    </row>
    <row r="1156" spans="1:16">
      <c r="A1156" s="50" t="s">
        <v>1145</v>
      </c>
      <c r="B1156" s="50" t="s">
        <v>1160</v>
      </c>
      <c r="C1156" s="50" t="s">
        <v>254</v>
      </c>
      <c r="D1156" s="50">
        <v>22</v>
      </c>
      <c r="E1156" s="50" t="s">
        <v>928</v>
      </c>
      <c r="F1156" s="50" t="s">
        <v>1161</v>
      </c>
      <c r="G1156" s="50" t="s">
        <v>256</v>
      </c>
      <c r="H1156" s="50">
        <v>1000</v>
      </c>
      <c r="M1156" t="str">
        <f>IF(COUNTIF($A:$A,E1156)=0,"Not Exists","Exists")</f>
        <v>Not Exists</v>
      </c>
      <c r="N1156" t="str">
        <f t="shared" si="58"/>
        <v>Not Exists</v>
      </c>
      <c r="O1156" t="str">
        <f t="shared" ref="O1156:O1219" si="59">IF(COUNTIF($E:$E,A1156)=0,"Not Exists","Exists")</f>
        <v>Not Exists</v>
      </c>
      <c r="P1156" t="str">
        <f t="shared" ref="P1156:P1219" si="60">IF(COUNTIF($F:$F,B1156)=0,"Not Exists","Exists")</f>
        <v>Not Exists</v>
      </c>
    </row>
    <row r="1157" spans="1:16">
      <c r="A1157" s="50" t="s">
        <v>1145</v>
      </c>
      <c r="B1157" s="50" t="s">
        <v>1162</v>
      </c>
      <c r="C1157" s="50" t="s">
        <v>256</v>
      </c>
      <c r="D1157" s="50">
        <v>1000</v>
      </c>
      <c r="E1157" s="50" t="s">
        <v>928</v>
      </c>
      <c r="F1157" s="50" t="s">
        <v>1163</v>
      </c>
      <c r="G1157" s="50" t="s">
        <v>256</v>
      </c>
      <c r="H1157" s="50">
        <v>1000</v>
      </c>
      <c r="M1157" t="str">
        <f>IF(COUNTIF($A:$A,E1157)=0,"Not Exists","Exists")</f>
        <v>Not Exists</v>
      </c>
      <c r="N1157" t="str">
        <f t="shared" si="58"/>
        <v>Not Exists</v>
      </c>
      <c r="O1157" t="str">
        <f t="shared" si="59"/>
        <v>Not Exists</v>
      </c>
      <c r="P1157" t="str">
        <f t="shared" si="60"/>
        <v>Not Exists</v>
      </c>
    </row>
    <row r="1158" spans="1:16">
      <c r="A1158" s="50" t="s">
        <v>1164</v>
      </c>
      <c r="B1158" s="50" t="s">
        <v>1165</v>
      </c>
      <c r="C1158" s="50" t="s">
        <v>256</v>
      </c>
      <c r="D1158" s="50">
        <v>50</v>
      </c>
      <c r="E1158" s="50" t="s">
        <v>928</v>
      </c>
      <c r="F1158" s="50" t="s">
        <v>1166</v>
      </c>
      <c r="G1158" s="50" t="s">
        <v>256</v>
      </c>
      <c r="H1158" s="50">
        <v>1000</v>
      </c>
      <c r="M1158" t="str">
        <f>IF(COUNTIF($A:$A,E1158)=0,"Not Exists","Exists")</f>
        <v>Not Exists</v>
      </c>
      <c r="N1158" t="str">
        <f t="shared" si="58"/>
        <v>Not Exists</v>
      </c>
      <c r="O1158" t="str">
        <f t="shared" si="59"/>
        <v>Not Exists</v>
      </c>
      <c r="P1158" t="str">
        <f t="shared" si="60"/>
        <v>Not Exists</v>
      </c>
    </row>
    <row r="1159" spans="1:16">
      <c r="A1159" s="50" t="s">
        <v>1164</v>
      </c>
      <c r="B1159" s="50" t="s">
        <v>1167</v>
      </c>
      <c r="C1159" s="50" t="s">
        <v>256</v>
      </c>
      <c r="D1159" s="50">
        <v>50</v>
      </c>
      <c r="E1159" s="50" t="s">
        <v>928</v>
      </c>
      <c r="F1159" s="50" t="s">
        <v>1168</v>
      </c>
      <c r="G1159" s="50" t="s">
        <v>256</v>
      </c>
      <c r="H1159" s="50">
        <v>1000</v>
      </c>
      <c r="M1159" t="str">
        <f>IF(COUNTIF($A:$A,E1159)=0,"Not Exists","Exists")</f>
        <v>Not Exists</v>
      </c>
      <c r="N1159" t="str">
        <f t="shared" si="58"/>
        <v>Not Exists</v>
      </c>
      <c r="O1159" t="str">
        <f t="shared" si="59"/>
        <v>Not Exists</v>
      </c>
      <c r="P1159" t="str">
        <f t="shared" si="60"/>
        <v>Not Exists</v>
      </c>
    </row>
    <row r="1160" spans="1:16">
      <c r="A1160" s="50" t="s">
        <v>1164</v>
      </c>
      <c r="B1160" s="50" t="s">
        <v>1169</v>
      </c>
      <c r="C1160" s="50" t="s">
        <v>251</v>
      </c>
      <c r="D1160" s="50">
        <v>17</v>
      </c>
      <c r="E1160" s="50" t="s">
        <v>928</v>
      </c>
      <c r="F1160" s="50" t="s">
        <v>1170</v>
      </c>
      <c r="G1160" s="50" t="s">
        <v>256</v>
      </c>
      <c r="H1160" s="50">
        <v>1000</v>
      </c>
      <c r="M1160" t="str">
        <f>IF(COUNTIF($A:$A,E1160)=0,"Not Exists","Exists")</f>
        <v>Not Exists</v>
      </c>
      <c r="N1160" t="str">
        <f t="shared" si="58"/>
        <v>Not Exists</v>
      </c>
      <c r="O1160" t="str">
        <f t="shared" si="59"/>
        <v>Not Exists</v>
      </c>
      <c r="P1160" t="str">
        <f t="shared" si="60"/>
        <v>Not Exists</v>
      </c>
    </row>
    <row r="1161" spans="1:16">
      <c r="A1161" s="50" t="s">
        <v>1164</v>
      </c>
      <c r="B1161" s="50" t="s">
        <v>1171</v>
      </c>
      <c r="C1161" s="50" t="s">
        <v>256</v>
      </c>
      <c r="D1161" s="50">
        <v>50</v>
      </c>
      <c r="E1161" s="50" t="s">
        <v>928</v>
      </c>
      <c r="F1161" s="50" t="s">
        <v>1172</v>
      </c>
      <c r="G1161" s="50" t="s">
        <v>256</v>
      </c>
      <c r="H1161" s="50">
        <v>1000</v>
      </c>
      <c r="M1161" t="str">
        <f>IF(COUNTIF($A:$A,E1161)=0,"Not Exists","Exists")</f>
        <v>Not Exists</v>
      </c>
      <c r="N1161" t="str">
        <f t="shared" si="58"/>
        <v>Not Exists</v>
      </c>
      <c r="O1161" t="str">
        <f t="shared" si="59"/>
        <v>Not Exists</v>
      </c>
      <c r="P1161" t="str">
        <f t="shared" si="60"/>
        <v>Not Exists</v>
      </c>
    </row>
    <row r="1162" spans="1:16">
      <c r="A1162" s="50" t="s">
        <v>1164</v>
      </c>
      <c r="B1162" s="50" t="s">
        <v>1173</v>
      </c>
      <c r="C1162" s="50" t="s">
        <v>251</v>
      </c>
      <c r="D1162" s="50">
        <v>17</v>
      </c>
      <c r="E1162" s="50" t="s">
        <v>928</v>
      </c>
      <c r="F1162" s="50" t="s">
        <v>1174</v>
      </c>
      <c r="G1162" s="50" t="s">
        <v>256</v>
      </c>
      <c r="H1162" s="50">
        <v>1000</v>
      </c>
      <c r="M1162" t="str">
        <f>IF(COUNTIF($A:$A,E1162)=0,"Not Exists","Exists")</f>
        <v>Not Exists</v>
      </c>
      <c r="N1162" t="str">
        <f t="shared" si="58"/>
        <v>Not Exists</v>
      </c>
      <c r="O1162" t="str">
        <f t="shared" si="59"/>
        <v>Not Exists</v>
      </c>
      <c r="P1162" t="str">
        <f t="shared" si="60"/>
        <v>Not Exists</v>
      </c>
    </row>
    <row r="1163" spans="1:16">
      <c r="A1163" s="50" t="s">
        <v>1164</v>
      </c>
      <c r="B1163" s="50" t="s">
        <v>1175</v>
      </c>
      <c r="C1163" s="50" t="s">
        <v>256</v>
      </c>
      <c r="D1163" s="50">
        <v>50</v>
      </c>
      <c r="E1163" s="50" t="s">
        <v>928</v>
      </c>
      <c r="F1163" s="50" t="s">
        <v>1176</v>
      </c>
      <c r="G1163" s="50" t="s">
        <v>256</v>
      </c>
      <c r="H1163" s="50">
        <v>1000</v>
      </c>
      <c r="M1163" t="str">
        <f>IF(COUNTIF($A:$A,E1163)=0,"Not Exists","Exists")</f>
        <v>Not Exists</v>
      </c>
      <c r="N1163" t="str">
        <f t="shared" si="58"/>
        <v>Not Exists</v>
      </c>
      <c r="O1163" t="str">
        <f t="shared" si="59"/>
        <v>Not Exists</v>
      </c>
      <c r="P1163" t="str">
        <f t="shared" si="60"/>
        <v>Not Exists</v>
      </c>
    </row>
    <row r="1164" spans="1:16">
      <c r="A1164" s="50" t="s">
        <v>1164</v>
      </c>
      <c r="B1164" s="50" t="s">
        <v>1177</v>
      </c>
      <c r="C1164" s="50" t="s">
        <v>254</v>
      </c>
      <c r="D1164" s="50">
        <v>22</v>
      </c>
      <c r="E1164" s="50" t="s">
        <v>928</v>
      </c>
      <c r="F1164" s="50" t="s">
        <v>1178</v>
      </c>
      <c r="G1164" s="50" t="s">
        <v>256</v>
      </c>
      <c r="H1164" s="50">
        <v>1000</v>
      </c>
      <c r="M1164" t="str">
        <f>IF(COUNTIF($A:$A,E1164)=0,"Not Exists","Exists")</f>
        <v>Not Exists</v>
      </c>
      <c r="N1164" t="str">
        <f t="shared" si="58"/>
        <v>Not Exists</v>
      </c>
      <c r="O1164" t="str">
        <f t="shared" si="59"/>
        <v>Not Exists</v>
      </c>
      <c r="P1164" t="str">
        <f t="shared" si="60"/>
        <v>Not Exists</v>
      </c>
    </row>
    <row r="1165" spans="1:16">
      <c r="A1165" s="50" t="s">
        <v>1164</v>
      </c>
      <c r="B1165" s="50" t="s">
        <v>1179</v>
      </c>
      <c r="C1165" s="50" t="s">
        <v>254</v>
      </c>
      <c r="D1165" s="50">
        <v>22</v>
      </c>
      <c r="E1165" s="50" t="s">
        <v>928</v>
      </c>
      <c r="F1165" s="50" t="s">
        <v>1180</v>
      </c>
      <c r="G1165" s="50" t="s">
        <v>256</v>
      </c>
      <c r="H1165" s="50">
        <v>1000</v>
      </c>
      <c r="M1165" t="str">
        <f>IF(COUNTIF($A:$A,E1165)=0,"Not Exists","Exists")</f>
        <v>Not Exists</v>
      </c>
      <c r="N1165" t="str">
        <f t="shared" si="58"/>
        <v>Not Exists</v>
      </c>
      <c r="O1165" t="str">
        <f t="shared" si="59"/>
        <v>Not Exists</v>
      </c>
      <c r="P1165" t="str">
        <f t="shared" si="60"/>
        <v>Not Exists</v>
      </c>
    </row>
    <row r="1166" spans="1:16">
      <c r="A1166" s="50" t="s">
        <v>1164</v>
      </c>
      <c r="B1166" s="50" t="s">
        <v>1181</v>
      </c>
      <c r="C1166" s="50" t="s">
        <v>256</v>
      </c>
      <c r="D1166" s="50">
        <v>50</v>
      </c>
      <c r="E1166" s="50" t="s">
        <v>928</v>
      </c>
      <c r="F1166" s="50" t="s">
        <v>1182</v>
      </c>
      <c r="G1166" s="50" t="s">
        <v>256</v>
      </c>
      <c r="H1166" s="50">
        <v>1000</v>
      </c>
      <c r="M1166" t="str">
        <f>IF(COUNTIF($A:$A,E1166)=0,"Not Exists","Exists")</f>
        <v>Not Exists</v>
      </c>
      <c r="N1166" t="str">
        <f t="shared" si="58"/>
        <v>Not Exists</v>
      </c>
      <c r="O1166" t="str">
        <f t="shared" si="59"/>
        <v>Not Exists</v>
      </c>
      <c r="P1166" t="str">
        <f t="shared" si="60"/>
        <v>Not Exists</v>
      </c>
    </row>
    <row r="1167" spans="1:16">
      <c r="A1167" s="50" t="s">
        <v>1164</v>
      </c>
      <c r="B1167" s="50" t="s">
        <v>1183</v>
      </c>
      <c r="C1167" s="50" t="s">
        <v>254</v>
      </c>
      <c r="D1167" s="50">
        <v>22</v>
      </c>
      <c r="E1167" s="50" t="s">
        <v>928</v>
      </c>
      <c r="F1167" s="50" t="s">
        <v>1184</v>
      </c>
      <c r="G1167" s="50" t="s">
        <v>256</v>
      </c>
      <c r="H1167" s="50">
        <v>1000</v>
      </c>
      <c r="M1167" t="str">
        <f>IF(COUNTIF($A:$A,E1167)=0,"Not Exists","Exists")</f>
        <v>Not Exists</v>
      </c>
      <c r="N1167" t="str">
        <f t="shared" si="58"/>
        <v>Not Exists</v>
      </c>
      <c r="O1167" t="str">
        <f t="shared" si="59"/>
        <v>Not Exists</v>
      </c>
      <c r="P1167" t="str">
        <f t="shared" si="60"/>
        <v>Not Exists</v>
      </c>
    </row>
    <row r="1168" spans="1:16">
      <c r="A1168" s="50" t="s">
        <v>1164</v>
      </c>
      <c r="B1168" s="50" t="s">
        <v>1185</v>
      </c>
      <c r="C1168" s="50" t="s">
        <v>256</v>
      </c>
      <c r="D1168" s="50">
        <v>1000</v>
      </c>
      <c r="E1168" s="50" t="s">
        <v>928</v>
      </c>
      <c r="F1168" s="50" t="s">
        <v>1186</v>
      </c>
      <c r="G1168" s="50" t="s">
        <v>256</v>
      </c>
      <c r="H1168" s="50">
        <v>1000</v>
      </c>
      <c r="M1168" t="str">
        <f>IF(COUNTIF($A:$A,E1168)=0,"Not Exists","Exists")</f>
        <v>Not Exists</v>
      </c>
      <c r="N1168" t="str">
        <f t="shared" si="58"/>
        <v>Not Exists</v>
      </c>
      <c r="O1168" t="str">
        <f t="shared" si="59"/>
        <v>Not Exists</v>
      </c>
      <c r="P1168" t="str">
        <f t="shared" si="60"/>
        <v>Not Exists</v>
      </c>
    </row>
    <row r="1169" spans="1:16">
      <c r="A1169" s="50" t="s">
        <v>1164</v>
      </c>
      <c r="B1169" s="50" t="s">
        <v>1187</v>
      </c>
      <c r="C1169" s="50" t="s">
        <v>256</v>
      </c>
      <c r="D1169" s="50">
        <v>450</v>
      </c>
      <c r="E1169" s="50" t="s">
        <v>928</v>
      </c>
      <c r="F1169" s="50" t="s">
        <v>1188</v>
      </c>
      <c r="G1169" s="50" t="s">
        <v>256</v>
      </c>
      <c r="H1169" s="50">
        <v>1000</v>
      </c>
      <c r="M1169" t="str">
        <f>IF(COUNTIF($A:$A,E1169)=0,"Not Exists","Exists")</f>
        <v>Not Exists</v>
      </c>
      <c r="N1169" t="str">
        <f t="shared" si="58"/>
        <v>Not Exists</v>
      </c>
      <c r="O1169" t="str">
        <f t="shared" si="59"/>
        <v>Not Exists</v>
      </c>
      <c r="P1169" t="str">
        <f t="shared" si="60"/>
        <v>Not Exists</v>
      </c>
    </row>
    <row r="1170" spans="1:16">
      <c r="A1170" s="50" t="s">
        <v>1164</v>
      </c>
      <c r="B1170" s="50" t="s">
        <v>1189</v>
      </c>
      <c r="C1170" s="50" t="s">
        <v>256</v>
      </c>
      <c r="D1170" s="50">
        <v>450</v>
      </c>
      <c r="E1170" s="50" t="s">
        <v>928</v>
      </c>
      <c r="F1170" s="50" t="s">
        <v>1190</v>
      </c>
      <c r="G1170" s="50" t="s">
        <v>256</v>
      </c>
      <c r="H1170" s="50">
        <v>1000</v>
      </c>
      <c r="M1170" t="str">
        <f>IF(COUNTIF($A:$A,E1170)=0,"Not Exists","Exists")</f>
        <v>Not Exists</v>
      </c>
      <c r="N1170" t="str">
        <f t="shared" si="58"/>
        <v>Not Exists</v>
      </c>
      <c r="O1170" t="str">
        <f t="shared" si="59"/>
        <v>Not Exists</v>
      </c>
      <c r="P1170" t="str">
        <f t="shared" si="60"/>
        <v>Not Exists</v>
      </c>
    </row>
    <row r="1171" spans="1:16">
      <c r="A1171" s="50" t="s">
        <v>1164</v>
      </c>
      <c r="B1171" s="50" t="s">
        <v>1191</v>
      </c>
      <c r="C1171" s="50" t="s">
        <v>256</v>
      </c>
      <c r="D1171" s="50">
        <v>450</v>
      </c>
      <c r="E1171" s="50" t="s">
        <v>928</v>
      </c>
      <c r="F1171" s="50" t="s">
        <v>1192</v>
      </c>
      <c r="G1171" s="50" t="s">
        <v>256</v>
      </c>
      <c r="H1171" s="50">
        <v>1000</v>
      </c>
      <c r="M1171" t="str">
        <f>IF(COUNTIF($A:$A,E1171)=0,"Not Exists","Exists")</f>
        <v>Not Exists</v>
      </c>
      <c r="N1171" t="str">
        <f t="shared" si="58"/>
        <v>Not Exists</v>
      </c>
      <c r="O1171" t="str">
        <f t="shared" si="59"/>
        <v>Not Exists</v>
      </c>
      <c r="P1171" t="str">
        <f t="shared" si="60"/>
        <v>Not Exists</v>
      </c>
    </row>
    <row r="1172" spans="1:16">
      <c r="A1172" s="50" t="s">
        <v>1164</v>
      </c>
      <c r="B1172" s="50" t="s">
        <v>1193</v>
      </c>
      <c r="C1172" s="50" t="s">
        <v>256</v>
      </c>
      <c r="D1172" s="50">
        <v>450</v>
      </c>
      <c r="E1172" s="50" t="s">
        <v>928</v>
      </c>
      <c r="F1172" s="50" t="s">
        <v>1194</v>
      </c>
      <c r="G1172" s="50" t="s">
        <v>256</v>
      </c>
      <c r="H1172" s="50">
        <v>1000</v>
      </c>
      <c r="M1172" t="str">
        <f>IF(COUNTIF($A:$A,E1172)=0,"Not Exists","Exists")</f>
        <v>Not Exists</v>
      </c>
      <c r="N1172" t="str">
        <f t="shared" si="58"/>
        <v>Not Exists</v>
      </c>
      <c r="O1172" t="str">
        <f t="shared" si="59"/>
        <v>Not Exists</v>
      </c>
      <c r="P1172" t="str">
        <f t="shared" si="60"/>
        <v>Not Exists</v>
      </c>
    </row>
    <row r="1173" spans="1:16">
      <c r="A1173" s="50" t="s">
        <v>1164</v>
      </c>
      <c r="B1173" s="50" t="s">
        <v>1195</v>
      </c>
      <c r="C1173" s="50" t="s">
        <v>251</v>
      </c>
      <c r="D1173" s="50">
        <v>1</v>
      </c>
      <c r="E1173" s="50" t="s">
        <v>928</v>
      </c>
      <c r="F1173" s="50" t="s">
        <v>1196</v>
      </c>
      <c r="G1173" s="50" t="s">
        <v>256</v>
      </c>
      <c r="H1173" s="50">
        <v>1000</v>
      </c>
      <c r="M1173" t="str">
        <f>IF(COUNTIF($A:$A,E1173)=0,"Not Exists","Exists")</f>
        <v>Not Exists</v>
      </c>
      <c r="N1173" t="str">
        <f t="shared" si="58"/>
        <v>Not Exists</v>
      </c>
      <c r="O1173" t="str">
        <f t="shared" si="59"/>
        <v>Not Exists</v>
      </c>
      <c r="P1173" t="str">
        <f t="shared" si="60"/>
        <v>Not Exists</v>
      </c>
    </row>
    <row r="1174" spans="1:16">
      <c r="A1174" s="50" t="s">
        <v>1164</v>
      </c>
      <c r="B1174" s="50" t="s">
        <v>1197</v>
      </c>
      <c r="C1174" s="50" t="s">
        <v>251</v>
      </c>
      <c r="D1174" s="50">
        <v>1</v>
      </c>
      <c r="E1174" s="50" t="s">
        <v>928</v>
      </c>
      <c r="F1174" s="50" t="s">
        <v>1198</v>
      </c>
      <c r="G1174" s="50" t="s">
        <v>256</v>
      </c>
      <c r="H1174" s="50">
        <v>1000</v>
      </c>
      <c r="M1174" t="str">
        <f>IF(COUNTIF($A:$A,E1174)=0,"Not Exists","Exists")</f>
        <v>Not Exists</v>
      </c>
      <c r="N1174" t="str">
        <f t="shared" si="58"/>
        <v>Not Exists</v>
      </c>
      <c r="O1174" t="str">
        <f t="shared" si="59"/>
        <v>Not Exists</v>
      </c>
      <c r="P1174" t="str">
        <f t="shared" si="60"/>
        <v>Not Exists</v>
      </c>
    </row>
    <row r="1175" spans="1:16">
      <c r="A1175" s="50" t="s">
        <v>1164</v>
      </c>
      <c r="B1175" s="50" t="s">
        <v>1199</v>
      </c>
      <c r="C1175" s="50" t="s">
        <v>251</v>
      </c>
      <c r="D1175" s="50">
        <v>1</v>
      </c>
      <c r="E1175" s="50" t="s">
        <v>928</v>
      </c>
      <c r="F1175" s="50" t="s">
        <v>1200</v>
      </c>
      <c r="G1175" s="50" t="s">
        <v>256</v>
      </c>
      <c r="H1175" s="50">
        <v>1000</v>
      </c>
      <c r="M1175" t="str">
        <f>IF(COUNTIF($A:$A,E1175)=0,"Not Exists","Exists")</f>
        <v>Not Exists</v>
      </c>
      <c r="N1175" t="str">
        <f t="shared" si="58"/>
        <v>Not Exists</v>
      </c>
      <c r="O1175" t="str">
        <f t="shared" si="59"/>
        <v>Not Exists</v>
      </c>
      <c r="P1175" t="str">
        <f t="shared" si="60"/>
        <v>Not Exists</v>
      </c>
    </row>
    <row r="1176" spans="1:16">
      <c r="A1176" s="50" t="s">
        <v>1164</v>
      </c>
      <c r="B1176" s="50" t="s">
        <v>1201</v>
      </c>
      <c r="C1176" s="50" t="s">
        <v>251</v>
      </c>
      <c r="D1176" s="50">
        <v>1</v>
      </c>
      <c r="E1176" s="50" t="s">
        <v>928</v>
      </c>
      <c r="F1176" s="50" t="s">
        <v>1202</v>
      </c>
      <c r="G1176" s="50" t="s">
        <v>256</v>
      </c>
      <c r="H1176" s="50">
        <v>1000</v>
      </c>
      <c r="M1176" t="str">
        <f>IF(COUNTIF($A:$A,E1176)=0,"Not Exists","Exists")</f>
        <v>Not Exists</v>
      </c>
      <c r="N1176" t="str">
        <f t="shared" si="58"/>
        <v>Not Exists</v>
      </c>
      <c r="O1176" t="str">
        <f t="shared" si="59"/>
        <v>Not Exists</v>
      </c>
      <c r="P1176" t="str">
        <f t="shared" si="60"/>
        <v>Not Exists</v>
      </c>
    </row>
    <row r="1177" spans="1:16">
      <c r="A1177" s="50" t="s">
        <v>1164</v>
      </c>
      <c r="B1177" s="50" t="s">
        <v>1203</v>
      </c>
      <c r="C1177" s="50" t="s">
        <v>427</v>
      </c>
      <c r="D1177" s="50">
        <v>4000</v>
      </c>
      <c r="E1177" s="50" t="s">
        <v>928</v>
      </c>
      <c r="F1177" s="50" t="s">
        <v>1204</v>
      </c>
      <c r="G1177" s="50" t="s">
        <v>256</v>
      </c>
      <c r="H1177" s="50">
        <v>1000</v>
      </c>
      <c r="M1177" t="str">
        <f>IF(COUNTIF($A:$A,E1177)=0,"Not Exists","Exists")</f>
        <v>Not Exists</v>
      </c>
      <c r="N1177" t="str">
        <f t="shared" si="58"/>
        <v>Not Exists</v>
      </c>
      <c r="O1177" t="str">
        <f t="shared" si="59"/>
        <v>Not Exists</v>
      </c>
      <c r="P1177" t="str">
        <f t="shared" si="60"/>
        <v>Not Exists</v>
      </c>
    </row>
    <row r="1178" spans="1:16">
      <c r="A1178" s="50" t="s">
        <v>1164</v>
      </c>
      <c r="B1178" s="50" t="s">
        <v>1205</v>
      </c>
      <c r="C1178" s="50" t="s">
        <v>256</v>
      </c>
      <c r="D1178" s="50">
        <v>50</v>
      </c>
      <c r="E1178" s="50" t="s">
        <v>928</v>
      </c>
      <c r="F1178" s="50" t="s">
        <v>1206</v>
      </c>
      <c r="G1178" s="50" t="s">
        <v>256</v>
      </c>
      <c r="H1178" s="50">
        <v>1000</v>
      </c>
      <c r="M1178" t="str">
        <f>IF(COUNTIF($A:$A,E1178)=0,"Not Exists","Exists")</f>
        <v>Not Exists</v>
      </c>
      <c r="N1178" t="str">
        <f t="shared" si="58"/>
        <v>Not Exists</v>
      </c>
      <c r="O1178" t="str">
        <f t="shared" si="59"/>
        <v>Not Exists</v>
      </c>
      <c r="P1178" t="str">
        <f t="shared" si="60"/>
        <v>Not Exists</v>
      </c>
    </row>
    <row r="1179" spans="1:16">
      <c r="A1179" s="50" t="s">
        <v>1164</v>
      </c>
      <c r="B1179" s="50" t="s">
        <v>1207</v>
      </c>
      <c r="C1179" s="50" t="s">
        <v>251</v>
      </c>
      <c r="D1179" s="50">
        <v>17</v>
      </c>
      <c r="E1179" s="50" t="s">
        <v>928</v>
      </c>
      <c r="F1179" s="50" t="s">
        <v>1208</v>
      </c>
      <c r="G1179" s="50" t="s">
        <v>256</v>
      </c>
      <c r="H1179" s="50">
        <v>1000</v>
      </c>
      <c r="M1179" t="str">
        <f>IF(COUNTIF($A:$A,E1179)=0,"Not Exists","Exists")</f>
        <v>Not Exists</v>
      </c>
      <c r="N1179" t="str">
        <f t="shared" si="58"/>
        <v>Not Exists</v>
      </c>
      <c r="O1179" t="str">
        <f t="shared" si="59"/>
        <v>Not Exists</v>
      </c>
      <c r="P1179" t="str">
        <f t="shared" si="60"/>
        <v>Not Exists</v>
      </c>
    </row>
    <row r="1180" spans="1:16">
      <c r="A1180" s="50" t="s">
        <v>1164</v>
      </c>
      <c r="B1180" s="50" t="s">
        <v>1209</v>
      </c>
      <c r="C1180" s="50" t="s">
        <v>256</v>
      </c>
      <c r="D1180" s="50">
        <v>3000</v>
      </c>
      <c r="E1180" s="50" t="s">
        <v>928</v>
      </c>
      <c r="F1180" s="50" t="s">
        <v>1210</v>
      </c>
      <c r="G1180" s="50" t="s">
        <v>256</v>
      </c>
      <c r="H1180" s="50">
        <v>1000</v>
      </c>
      <c r="M1180" t="str">
        <f>IF(COUNTIF($A:$A,E1180)=0,"Not Exists","Exists")</f>
        <v>Not Exists</v>
      </c>
      <c r="N1180" t="str">
        <f t="shared" si="58"/>
        <v>Not Exists</v>
      </c>
      <c r="O1180" t="str">
        <f t="shared" si="59"/>
        <v>Not Exists</v>
      </c>
      <c r="P1180" t="str">
        <f t="shared" si="60"/>
        <v>Not Exists</v>
      </c>
    </row>
    <row r="1181" spans="1:16">
      <c r="A1181" s="50" t="s">
        <v>1164</v>
      </c>
      <c r="B1181" s="50" t="s">
        <v>1211</v>
      </c>
      <c r="C1181" s="50" t="s">
        <v>251</v>
      </c>
      <c r="D1181" s="50">
        <v>1</v>
      </c>
      <c r="E1181" s="50" t="s">
        <v>928</v>
      </c>
      <c r="F1181" s="50" t="s">
        <v>1212</v>
      </c>
      <c r="G1181" s="50" t="s">
        <v>256</v>
      </c>
      <c r="H1181" s="50">
        <v>1000</v>
      </c>
      <c r="M1181" t="str">
        <f>IF(COUNTIF($A:$A,E1181)=0,"Not Exists","Exists")</f>
        <v>Not Exists</v>
      </c>
      <c r="N1181" t="str">
        <f t="shared" si="58"/>
        <v>Not Exists</v>
      </c>
      <c r="O1181" t="str">
        <f t="shared" si="59"/>
        <v>Not Exists</v>
      </c>
      <c r="P1181" t="str">
        <f t="shared" si="60"/>
        <v>Not Exists</v>
      </c>
    </row>
    <row r="1182" spans="1:16">
      <c r="A1182" s="50" t="s">
        <v>1164</v>
      </c>
      <c r="B1182" s="50" t="s">
        <v>1213</v>
      </c>
      <c r="C1182" s="50" t="s">
        <v>251</v>
      </c>
      <c r="D1182" s="50">
        <v>1</v>
      </c>
      <c r="E1182" s="50" t="s">
        <v>928</v>
      </c>
      <c r="F1182" s="50" t="s">
        <v>1214</v>
      </c>
      <c r="G1182" s="50" t="s">
        <v>256</v>
      </c>
      <c r="H1182" s="50">
        <v>1000</v>
      </c>
      <c r="M1182" t="str">
        <f>IF(COUNTIF($A:$A,E1182)=0,"Not Exists","Exists")</f>
        <v>Not Exists</v>
      </c>
      <c r="N1182" t="str">
        <f t="shared" si="58"/>
        <v>Not Exists</v>
      </c>
      <c r="O1182" t="str">
        <f t="shared" si="59"/>
        <v>Not Exists</v>
      </c>
      <c r="P1182" t="str">
        <f t="shared" si="60"/>
        <v>Not Exists</v>
      </c>
    </row>
    <row r="1183" spans="1:16">
      <c r="A1183" s="50" t="s">
        <v>1164</v>
      </c>
      <c r="B1183" s="50" t="s">
        <v>1215</v>
      </c>
      <c r="C1183" s="50" t="s">
        <v>256</v>
      </c>
      <c r="D1183" s="50">
        <v>50</v>
      </c>
      <c r="E1183" s="50" t="s">
        <v>928</v>
      </c>
      <c r="F1183" s="50" t="s">
        <v>1216</v>
      </c>
      <c r="G1183" s="50" t="s">
        <v>256</v>
      </c>
      <c r="H1183" s="50">
        <v>1000</v>
      </c>
      <c r="M1183" t="str">
        <f>IF(COUNTIF($A:$A,E1183)=0,"Not Exists","Exists")</f>
        <v>Not Exists</v>
      </c>
      <c r="N1183" t="str">
        <f t="shared" si="58"/>
        <v>Not Exists</v>
      </c>
      <c r="O1183" t="str">
        <f t="shared" si="59"/>
        <v>Not Exists</v>
      </c>
      <c r="P1183" t="str">
        <f t="shared" si="60"/>
        <v>Not Exists</v>
      </c>
    </row>
    <row r="1184" spans="1:16">
      <c r="A1184" s="50" t="s">
        <v>1217</v>
      </c>
      <c r="B1184" s="50" t="s">
        <v>1218</v>
      </c>
      <c r="C1184" s="50" t="s">
        <v>256</v>
      </c>
      <c r="D1184" s="50">
        <v>50</v>
      </c>
      <c r="E1184" s="50" t="s">
        <v>928</v>
      </c>
      <c r="F1184" s="50" t="s">
        <v>1219</v>
      </c>
      <c r="G1184" s="50" t="s">
        <v>256</v>
      </c>
      <c r="H1184" s="50">
        <v>1000</v>
      </c>
      <c r="M1184" t="str">
        <f>IF(COUNTIF($A:$A,E1184)=0,"Not Exists","Exists")</f>
        <v>Not Exists</v>
      </c>
      <c r="N1184" t="str">
        <f t="shared" si="58"/>
        <v>Not Exists</v>
      </c>
      <c r="O1184" t="str">
        <f t="shared" si="59"/>
        <v>Not Exists</v>
      </c>
      <c r="P1184" t="str">
        <f t="shared" si="60"/>
        <v>Exists</v>
      </c>
    </row>
    <row r="1185" spans="1:16">
      <c r="A1185" s="50" t="s">
        <v>1217</v>
      </c>
      <c r="B1185" s="50" t="s">
        <v>1220</v>
      </c>
      <c r="C1185" s="50" t="s">
        <v>256</v>
      </c>
      <c r="D1185" s="50">
        <v>50</v>
      </c>
      <c r="E1185" s="50" t="s">
        <v>928</v>
      </c>
      <c r="F1185" s="50" t="s">
        <v>1221</v>
      </c>
      <c r="G1185" s="50" t="s">
        <v>256</v>
      </c>
      <c r="H1185" s="50">
        <v>1000</v>
      </c>
      <c r="M1185" t="str">
        <f>IF(COUNTIF($A:$A,E1185)=0,"Not Exists","Exists")</f>
        <v>Not Exists</v>
      </c>
      <c r="N1185" t="str">
        <f t="shared" si="58"/>
        <v>Not Exists</v>
      </c>
      <c r="O1185" t="str">
        <f t="shared" si="59"/>
        <v>Not Exists</v>
      </c>
      <c r="P1185" t="str">
        <f t="shared" si="60"/>
        <v>Not Exists</v>
      </c>
    </row>
    <row r="1186" spans="1:16">
      <c r="A1186" s="50" t="s">
        <v>1217</v>
      </c>
      <c r="B1186" s="50" t="s">
        <v>1222</v>
      </c>
      <c r="C1186" s="50" t="s">
        <v>251</v>
      </c>
      <c r="D1186" s="50">
        <v>17</v>
      </c>
      <c r="E1186" s="50" t="s">
        <v>928</v>
      </c>
      <c r="F1186" s="50" t="s">
        <v>1223</v>
      </c>
      <c r="G1186" s="50" t="s">
        <v>256</v>
      </c>
      <c r="H1186" s="50">
        <v>1000</v>
      </c>
      <c r="M1186" t="str">
        <f>IF(COUNTIF($A:$A,E1186)=0,"Not Exists","Exists")</f>
        <v>Not Exists</v>
      </c>
      <c r="N1186" t="str">
        <f t="shared" si="58"/>
        <v>Not Exists</v>
      </c>
      <c r="O1186" t="str">
        <f t="shared" si="59"/>
        <v>Not Exists</v>
      </c>
      <c r="P1186" t="str">
        <f t="shared" si="60"/>
        <v>Not Exists</v>
      </c>
    </row>
    <row r="1187" spans="1:16">
      <c r="A1187" s="50" t="s">
        <v>1217</v>
      </c>
      <c r="B1187" s="50" t="s">
        <v>1224</v>
      </c>
      <c r="C1187" s="50" t="s">
        <v>256</v>
      </c>
      <c r="D1187" s="50">
        <v>50</v>
      </c>
      <c r="E1187" s="50" t="s">
        <v>928</v>
      </c>
      <c r="F1187" s="50" t="s">
        <v>1225</v>
      </c>
      <c r="G1187" s="50" t="s">
        <v>256</v>
      </c>
      <c r="H1187" s="50">
        <v>1000</v>
      </c>
      <c r="M1187" t="str">
        <f>IF(COUNTIF($A:$A,E1187)=0,"Not Exists","Exists")</f>
        <v>Not Exists</v>
      </c>
      <c r="N1187" t="str">
        <f t="shared" si="58"/>
        <v>Not Exists</v>
      </c>
      <c r="O1187" t="str">
        <f t="shared" si="59"/>
        <v>Not Exists</v>
      </c>
      <c r="P1187" t="str">
        <f t="shared" si="60"/>
        <v>Not Exists</v>
      </c>
    </row>
    <row r="1188" spans="1:16">
      <c r="A1188" s="50" t="s">
        <v>1217</v>
      </c>
      <c r="B1188" s="50" t="s">
        <v>1226</v>
      </c>
      <c r="C1188" s="50" t="s">
        <v>251</v>
      </c>
      <c r="D1188" s="50">
        <v>17</v>
      </c>
      <c r="E1188" s="50" t="s">
        <v>928</v>
      </c>
      <c r="F1188" s="50" t="s">
        <v>1227</v>
      </c>
      <c r="G1188" s="50" t="s">
        <v>256</v>
      </c>
      <c r="H1188" s="50">
        <v>1000</v>
      </c>
      <c r="M1188" t="str">
        <f>IF(COUNTIF($A:$A,E1188)=0,"Not Exists","Exists")</f>
        <v>Not Exists</v>
      </c>
      <c r="N1188" t="str">
        <f t="shared" si="58"/>
        <v>Not Exists</v>
      </c>
      <c r="O1188" t="str">
        <f t="shared" si="59"/>
        <v>Not Exists</v>
      </c>
      <c r="P1188" t="str">
        <f t="shared" si="60"/>
        <v>Not Exists</v>
      </c>
    </row>
    <row r="1189" spans="1:16">
      <c r="A1189" s="50" t="s">
        <v>1217</v>
      </c>
      <c r="B1189" s="50" t="s">
        <v>1228</v>
      </c>
      <c r="C1189" s="50" t="s">
        <v>256</v>
      </c>
      <c r="D1189" s="50">
        <v>50</v>
      </c>
      <c r="E1189" s="50" t="s">
        <v>928</v>
      </c>
      <c r="F1189" s="50" t="s">
        <v>1229</v>
      </c>
      <c r="G1189" s="50" t="s">
        <v>256</v>
      </c>
      <c r="H1189" s="50">
        <v>1000</v>
      </c>
      <c r="M1189" t="str">
        <f>IF(COUNTIF($A:$A,E1189)=0,"Not Exists","Exists")</f>
        <v>Not Exists</v>
      </c>
      <c r="N1189" t="str">
        <f t="shared" si="58"/>
        <v>Not Exists</v>
      </c>
      <c r="O1189" t="str">
        <f t="shared" si="59"/>
        <v>Not Exists</v>
      </c>
      <c r="P1189" t="str">
        <f t="shared" si="60"/>
        <v>Not Exists</v>
      </c>
    </row>
    <row r="1190" spans="1:16">
      <c r="A1190" s="50" t="s">
        <v>1217</v>
      </c>
      <c r="B1190" s="50" t="s">
        <v>1230</v>
      </c>
      <c r="C1190" s="50" t="s">
        <v>256</v>
      </c>
      <c r="D1190" s="50">
        <v>41</v>
      </c>
      <c r="E1190" s="50" t="s">
        <v>928</v>
      </c>
      <c r="F1190" s="50" t="s">
        <v>1231</v>
      </c>
      <c r="G1190" s="50" t="s">
        <v>256</v>
      </c>
      <c r="H1190" s="50">
        <v>1000</v>
      </c>
      <c r="M1190" t="str">
        <f>IF(COUNTIF($A:$A,E1190)=0,"Not Exists","Exists")</f>
        <v>Not Exists</v>
      </c>
      <c r="N1190" t="str">
        <f t="shared" si="58"/>
        <v>Not Exists</v>
      </c>
      <c r="O1190" t="str">
        <f t="shared" si="59"/>
        <v>Not Exists</v>
      </c>
      <c r="P1190" t="str">
        <f t="shared" si="60"/>
        <v>Exists</v>
      </c>
    </row>
    <row r="1191" spans="1:16">
      <c r="A1191" s="50" t="s">
        <v>1217</v>
      </c>
      <c r="B1191" s="50" t="s">
        <v>1232</v>
      </c>
      <c r="C1191" s="50" t="s">
        <v>256</v>
      </c>
      <c r="D1191" s="50">
        <v>450</v>
      </c>
      <c r="E1191" s="50" t="s">
        <v>928</v>
      </c>
      <c r="F1191" s="50" t="s">
        <v>1233</v>
      </c>
      <c r="G1191" s="50" t="s">
        <v>256</v>
      </c>
      <c r="H1191" s="50">
        <v>1000</v>
      </c>
      <c r="M1191" t="str">
        <f>IF(COUNTIF($A:$A,E1191)=0,"Not Exists","Exists")</f>
        <v>Not Exists</v>
      </c>
      <c r="N1191" t="str">
        <f t="shared" si="58"/>
        <v>Not Exists</v>
      </c>
      <c r="O1191" t="str">
        <f t="shared" si="59"/>
        <v>Not Exists</v>
      </c>
      <c r="P1191" t="str">
        <f t="shared" si="60"/>
        <v>Exists</v>
      </c>
    </row>
    <row r="1192" spans="1:16">
      <c r="A1192" s="50" t="s">
        <v>1234</v>
      </c>
      <c r="B1192" s="50" t="s">
        <v>1235</v>
      </c>
      <c r="C1192" s="50" t="s">
        <v>256</v>
      </c>
      <c r="D1192" s="50">
        <v>50</v>
      </c>
      <c r="E1192" s="50" t="s">
        <v>928</v>
      </c>
      <c r="F1192" s="50" t="s">
        <v>1236</v>
      </c>
      <c r="G1192" s="50" t="s">
        <v>256</v>
      </c>
      <c r="H1192" s="50">
        <v>1000</v>
      </c>
      <c r="M1192" t="str">
        <f>IF(COUNTIF($A:$A,E1192)=0,"Not Exists","Exists")</f>
        <v>Not Exists</v>
      </c>
      <c r="N1192" t="str">
        <f t="shared" si="58"/>
        <v>Not Exists</v>
      </c>
      <c r="O1192" t="str">
        <f t="shared" si="59"/>
        <v>Exists</v>
      </c>
      <c r="P1192" t="str">
        <f t="shared" si="60"/>
        <v>Exists</v>
      </c>
    </row>
    <row r="1193" spans="1:16">
      <c r="A1193" s="50" t="s">
        <v>1234</v>
      </c>
      <c r="B1193" s="50" t="s">
        <v>1237</v>
      </c>
      <c r="C1193" s="50" t="s">
        <v>256</v>
      </c>
      <c r="D1193" s="50">
        <v>50</v>
      </c>
      <c r="E1193" s="50" t="s">
        <v>928</v>
      </c>
      <c r="F1193" s="50" t="s">
        <v>1238</v>
      </c>
      <c r="G1193" s="50" t="s">
        <v>256</v>
      </c>
      <c r="H1193" s="50">
        <v>1000</v>
      </c>
      <c r="M1193" t="str">
        <f>IF(COUNTIF($A:$A,E1193)=0,"Not Exists","Exists")</f>
        <v>Not Exists</v>
      </c>
      <c r="N1193" t="str">
        <f t="shared" si="58"/>
        <v>Not Exists</v>
      </c>
      <c r="O1193" t="str">
        <f t="shared" si="59"/>
        <v>Exists</v>
      </c>
      <c r="P1193" t="str">
        <f t="shared" si="60"/>
        <v>Not Exists</v>
      </c>
    </row>
    <row r="1194" spans="1:16">
      <c r="A1194" s="50" t="s">
        <v>1234</v>
      </c>
      <c r="B1194" s="50" t="s">
        <v>1239</v>
      </c>
      <c r="C1194" s="50" t="s">
        <v>251</v>
      </c>
      <c r="D1194" s="50">
        <v>17</v>
      </c>
      <c r="E1194" s="50" t="s">
        <v>928</v>
      </c>
      <c r="F1194" s="50" t="s">
        <v>1240</v>
      </c>
      <c r="G1194" s="50" t="s">
        <v>256</v>
      </c>
      <c r="H1194" s="50">
        <v>1000</v>
      </c>
      <c r="M1194" t="str">
        <f>IF(COUNTIF($A:$A,E1194)=0,"Not Exists","Exists")</f>
        <v>Not Exists</v>
      </c>
      <c r="N1194" t="str">
        <f t="shared" si="58"/>
        <v>Not Exists</v>
      </c>
      <c r="O1194" t="str">
        <f t="shared" si="59"/>
        <v>Exists</v>
      </c>
      <c r="P1194" t="str">
        <f t="shared" si="60"/>
        <v>Exists</v>
      </c>
    </row>
    <row r="1195" spans="1:16">
      <c r="A1195" s="50" t="s">
        <v>1234</v>
      </c>
      <c r="B1195" s="50" t="s">
        <v>1241</v>
      </c>
      <c r="C1195" s="50" t="s">
        <v>256</v>
      </c>
      <c r="D1195" s="50">
        <v>50</v>
      </c>
      <c r="E1195" s="50" t="s">
        <v>928</v>
      </c>
      <c r="F1195" s="50" t="s">
        <v>1242</v>
      </c>
      <c r="G1195" s="50" t="s">
        <v>256</v>
      </c>
      <c r="H1195" s="50">
        <v>1000</v>
      </c>
      <c r="M1195" t="str">
        <f>IF(COUNTIF($A:$A,E1195)=0,"Not Exists","Exists")</f>
        <v>Not Exists</v>
      </c>
      <c r="N1195" t="str">
        <f t="shared" si="58"/>
        <v>Not Exists</v>
      </c>
      <c r="O1195" t="str">
        <f t="shared" si="59"/>
        <v>Exists</v>
      </c>
      <c r="P1195" t="str">
        <f t="shared" si="60"/>
        <v>Exists</v>
      </c>
    </row>
    <row r="1196" spans="1:16">
      <c r="A1196" s="50" t="s">
        <v>1234</v>
      </c>
      <c r="B1196" s="50" t="s">
        <v>1243</v>
      </c>
      <c r="C1196" s="50" t="s">
        <v>251</v>
      </c>
      <c r="D1196" s="50">
        <v>17</v>
      </c>
      <c r="E1196" s="50" t="s">
        <v>928</v>
      </c>
      <c r="F1196" s="50" t="s">
        <v>1244</v>
      </c>
      <c r="G1196" s="50" t="s">
        <v>256</v>
      </c>
      <c r="H1196" s="50">
        <v>1000</v>
      </c>
      <c r="M1196" t="str">
        <f>IF(COUNTIF($A:$A,E1196)=0,"Not Exists","Exists")</f>
        <v>Not Exists</v>
      </c>
      <c r="N1196" t="str">
        <f t="shared" si="58"/>
        <v>Not Exists</v>
      </c>
      <c r="O1196" t="str">
        <f t="shared" si="59"/>
        <v>Exists</v>
      </c>
      <c r="P1196" t="str">
        <f t="shared" si="60"/>
        <v>Exists</v>
      </c>
    </row>
    <row r="1197" spans="1:16">
      <c r="A1197" s="50" t="s">
        <v>1234</v>
      </c>
      <c r="B1197" s="50" t="s">
        <v>1245</v>
      </c>
      <c r="C1197" s="50" t="s">
        <v>256</v>
      </c>
      <c r="D1197" s="50">
        <v>50</v>
      </c>
      <c r="E1197" s="50" t="s">
        <v>928</v>
      </c>
      <c r="F1197" s="50" t="s">
        <v>1246</v>
      </c>
      <c r="G1197" s="50" t="s">
        <v>256</v>
      </c>
      <c r="H1197" s="50">
        <v>1000</v>
      </c>
      <c r="M1197" t="str">
        <f>IF(COUNTIF($A:$A,E1197)=0,"Not Exists","Exists")</f>
        <v>Not Exists</v>
      </c>
      <c r="N1197" t="str">
        <f t="shared" si="58"/>
        <v>Not Exists</v>
      </c>
      <c r="O1197" t="str">
        <f t="shared" si="59"/>
        <v>Exists</v>
      </c>
      <c r="P1197" t="str">
        <f t="shared" si="60"/>
        <v>Exists</v>
      </c>
    </row>
    <row r="1198" spans="1:16">
      <c r="A1198" s="50" t="s">
        <v>1234</v>
      </c>
      <c r="B1198" s="50" t="s">
        <v>1247</v>
      </c>
      <c r="C1198" s="50" t="s">
        <v>256</v>
      </c>
      <c r="D1198" s="50">
        <v>450</v>
      </c>
      <c r="E1198" s="50" t="s">
        <v>928</v>
      </c>
      <c r="F1198" s="50" t="s">
        <v>1248</v>
      </c>
      <c r="G1198" s="50" t="s">
        <v>256</v>
      </c>
      <c r="H1198" s="50">
        <v>1000</v>
      </c>
      <c r="M1198" t="str">
        <f>IF(COUNTIF($A:$A,E1198)=0,"Not Exists","Exists")</f>
        <v>Not Exists</v>
      </c>
      <c r="N1198" t="str">
        <f t="shared" si="58"/>
        <v>Not Exists</v>
      </c>
      <c r="O1198" t="str">
        <f t="shared" si="59"/>
        <v>Exists</v>
      </c>
      <c r="P1198" t="str">
        <f t="shared" si="60"/>
        <v>Exists</v>
      </c>
    </row>
    <row r="1199" spans="1:16">
      <c r="A1199" s="50" t="s">
        <v>1234</v>
      </c>
      <c r="B1199" s="50" t="s">
        <v>1249</v>
      </c>
      <c r="C1199" s="50" t="s">
        <v>256</v>
      </c>
      <c r="D1199" s="50">
        <v>1000</v>
      </c>
      <c r="E1199" s="50" t="s">
        <v>928</v>
      </c>
      <c r="F1199" s="50" t="s">
        <v>1250</v>
      </c>
      <c r="G1199" s="50" t="s">
        <v>256</v>
      </c>
      <c r="H1199" s="50">
        <v>1000</v>
      </c>
      <c r="M1199" t="str">
        <f>IF(COUNTIF($A:$A,E1199)=0,"Not Exists","Exists")</f>
        <v>Not Exists</v>
      </c>
      <c r="N1199" t="str">
        <f t="shared" si="58"/>
        <v>Not Exists</v>
      </c>
      <c r="O1199" t="str">
        <f t="shared" si="59"/>
        <v>Exists</v>
      </c>
      <c r="P1199" t="str">
        <f t="shared" si="60"/>
        <v>Exists</v>
      </c>
    </row>
    <row r="1200" spans="1:16">
      <c r="A1200" s="50" t="s">
        <v>1251</v>
      </c>
      <c r="B1200" s="50" t="s">
        <v>1252</v>
      </c>
      <c r="C1200" s="50" t="s">
        <v>256</v>
      </c>
      <c r="D1200" s="50">
        <v>50</v>
      </c>
      <c r="E1200" s="50" t="s">
        <v>928</v>
      </c>
      <c r="F1200" s="50" t="s">
        <v>1253</v>
      </c>
      <c r="G1200" s="50" t="s">
        <v>256</v>
      </c>
      <c r="H1200" s="50">
        <v>1000</v>
      </c>
      <c r="M1200" t="str">
        <f>IF(COUNTIF($A:$A,E1200)=0,"Not Exists","Exists")</f>
        <v>Not Exists</v>
      </c>
      <c r="N1200" t="str">
        <f t="shared" si="58"/>
        <v>Not Exists</v>
      </c>
      <c r="O1200" t="str">
        <f t="shared" si="59"/>
        <v>Exists</v>
      </c>
      <c r="P1200" t="str">
        <f t="shared" si="60"/>
        <v>Exists</v>
      </c>
    </row>
    <row r="1201" spans="1:16">
      <c r="A1201" s="50" t="s">
        <v>1251</v>
      </c>
      <c r="B1201" s="50" t="s">
        <v>1254</v>
      </c>
      <c r="C1201" s="50" t="s">
        <v>256</v>
      </c>
      <c r="D1201" s="50">
        <v>50</v>
      </c>
      <c r="E1201" s="50" t="s">
        <v>928</v>
      </c>
      <c r="F1201" s="50" t="s">
        <v>1255</v>
      </c>
      <c r="G1201" s="50" t="s">
        <v>256</v>
      </c>
      <c r="H1201" s="50">
        <v>1000</v>
      </c>
      <c r="M1201" t="str">
        <f>IF(COUNTIF($A:$A,E1201)=0,"Not Exists","Exists")</f>
        <v>Not Exists</v>
      </c>
      <c r="N1201" t="str">
        <f t="shared" si="58"/>
        <v>Not Exists</v>
      </c>
      <c r="O1201" t="str">
        <f t="shared" si="59"/>
        <v>Exists</v>
      </c>
      <c r="P1201" t="str">
        <f t="shared" si="60"/>
        <v>Not Exists</v>
      </c>
    </row>
    <row r="1202" spans="1:16">
      <c r="A1202" s="50" t="s">
        <v>1251</v>
      </c>
      <c r="B1202" s="50" t="s">
        <v>1256</v>
      </c>
      <c r="C1202" s="50" t="s">
        <v>251</v>
      </c>
      <c r="D1202" s="50">
        <v>17</v>
      </c>
      <c r="E1202" s="50" t="s">
        <v>928</v>
      </c>
      <c r="F1202" s="50" t="s">
        <v>1257</v>
      </c>
      <c r="G1202" s="50" t="s">
        <v>256</v>
      </c>
      <c r="H1202" s="50">
        <v>1000</v>
      </c>
      <c r="M1202" t="str">
        <f>IF(COUNTIF($A:$A,E1202)=0,"Not Exists","Exists")</f>
        <v>Not Exists</v>
      </c>
      <c r="N1202" t="str">
        <f t="shared" si="58"/>
        <v>Not Exists</v>
      </c>
      <c r="O1202" t="str">
        <f t="shared" si="59"/>
        <v>Exists</v>
      </c>
      <c r="P1202" t="str">
        <f t="shared" si="60"/>
        <v>Exists</v>
      </c>
    </row>
    <row r="1203" spans="1:16">
      <c r="A1203" s="50" t="s">
        <v>1251</v>
      </c>
      <c r="B1203" s="50" t="s">
        <v>1258</v>
      </c>
      <c r="C1203" s="50" t="s">
        <v>256</v>
      </c>
      <c r="D1203" s="50">
        <v>50</v>
      </c>
      <c r="E1203" s="50" t="s">
        <v>928</v>
      </c>
      <c r="F1203" s="50" t="s">
        <v>1259</v>
      </c>
      <c r="G1203" s="50" t="s">
        <v>256</v>
      </c>
      <c r="H1203" s="50">
        <v>1000</v>
      </c>
      <c r="M1203" t="str">
        <f>IF(COUNTIF($A:$A,E1203)=0,"Not Exists","Exists")</f>
        <v>Not Exists</v>
      </c>
      <c r="N1203" t="str">
        <f t="shared" si="58"/>
        <v>Not Exists</v>
      </c>
      <c r="O1203" t="str">
        <f t="shared" si="59"/>
        <v>Exists</v>
      </c>
      <c r="P1203" t="str">
        <f t="shared" si="60"/>
        <v>Exists</v>
      </c>
    </row>
    <row r="1204" spans="1:16">
      <c r="A1204" s="50" t="s">
        <v>1251</v>
      </c>
      <c r="B1204" s="50" t="s">
        <v>1260</v>
      </c>
      <c r="C1204" s="50" t="s">
        <v>251</v>
      </c>
      <c r="D1204" s="50">
        <v>17</v>
      </c>
      <c r="E1204" s="50" t="s">
        <v>928</v>
      </c>
      <c r="F1204" s="50" t="s">
        <v>1261</v>
      </c>
      <c r="G1204" s="50" t="s">
        <v>256</v>
      </c>
      <c r="H1204" s="50">
        <v>1000</v>
      </c>
      <c r="M1204" t="str">
        <f>IF(COUNTIF($A:$A,E1204)=0,"Not Exists","Exists")</f>
        <v>Not Exists</v>
      </c>
      <c r="N1204" t="str">
        <f t="shared" si="58"/>
        <v>Not Exists</v>
      </c>
      <c r="O1204" t="str">
        <f t="shared" si="59"/>
        <v>Exists</v>
      </c>
      <c r="P1204" t="str">
        <f t="shared" si="60"/>
        <v>Exists</v>
      </c>
    </row>
    <row r="1205" spans="1:16">
      <c r="A1205" s="50" t="s">
        <v>1251</v>
      </c>
      <c r="B1205" s="50" t="s">
        <v>1262</v>
      </c>
      <c r="C1205" s="50" t="s">
        <v>256</v>
      </c>
      <c r="D1205" s="50">
        <v>50</v>
      </c>
      <c r="E1205" s="50" t="s">
        <v>928</v>
      </c>
      <c r="F1205" s="50" t="s">
        <v>1263</v>
      </c>
      <c r="G1205" s="50" t="s">
        <v>256</v>
      </c>
      <c r="H1205" s="50">
        <v>1000</v>
      </c>
      <c r="M1205" t="str">
        <f>IF(COUNTIF($A:$A,E1205)=0,"Not Exists","Exists")</f>
        <v>Not Exists</v>
      </c>
      <c r="N1205" t="str">
        <f t="shared" si="58"/>
        <v>Not Exists</v>
      </c>
      <c r="O1205" t="str">
        <f t="shared" si="59"/>
        <v>Exists</v>
      </c>
      <c r="P1205" t="str">
        <f t="shared" si="60"/>
        <v>Exists</v>
      </c>
    </row>
    <row r="1206" spans="1:16">
      <c r="A1206" s="50" t="s">
        <v>1251</v>
      </c>
      <c r="B1206" s="50" t="s">
        <v>1264</v>
      </c>
      <c r="C1206" s="50" t="s">
        <v>256</v>
      </c>
      <c r="D1206" s="50">
        <v>450</v>
      </c>
      <c r="E1206" s="50" t="s">
        <v>928</v>
      </c>
      <c r="F1206" s="50" t="s">
        <v>1265</v>
      </c>
      <c r="G1206" s="50" t="s">
        <v>256</v>
      </c>
      <c r="H1206" s="50">
        <v>1000</v>
      </c>
      <c r="M1206" t="str">
        <f>IF(COUNTIF($A:$A,E1206)=0,"Not Exists","Exists")</f>
        <v>Not Exists</v>
      </c>
      <c r="N1206" t="str">
        <f t="shared" si="58"/>
        <v>Not Exists</v>
      </c>
      <c r="O1206" t="str">
        <f t="shared" si="59"/>
        <v>Exists</v>
      </c>
      <c r="P1206" t="str">
        <f t="shared" si="60"/>
        <v>Exists</v>
      </c>
    </row>
    <row r="1207" spans="1:16">
      <c r="A1207" s="50" t="s">
        <v>1251</v>
      </c>
      <c r="B1207" s="50" t="s">
        <v>1266</v>
      </c>
      <c r="C1207" s="50" t="s">
        <v>256</v>
      </c>
      <c r="D1207" s="50">
        <v>1000</v>
      </c>
      <c r="E1207" s="50" t="s">
        <v>928</v>
      </c>
      <c r="F1207" s="50" t="s">
        <v>1267</v>
      </c>
      <c r="G1207" s="50" t="s">
        <v>256</v>
      </c>
      <c r="H1207" s="50">
        <v>1000</v>
      </c>
      <c r="M1207" t="str">
        <f>IF(COUNTIF($A:$A,E1207)=0,"Not Exists","Exists")</f>
        <v>Not Exists</v>
      </c>
      <c r="N1207" t="str">
        <f t="shared" si="58"/>
        <v>Not Exists</v>
      </c>
      <c r="O1207" t="str">
        <f t="shared" si="59"/>
        <v>Exists</v>
      </c>
      <c r="P1207" t="str">
        <f t="shared" si="60"/>
        <v>Exists</v>
      </c>
    </row>
    <row r="1208" spans="1:16">
      <c r="A1208" s="50" t="s">
        <v>1251</v>
      </c>
      <c r="B1208" s="50" t="s">
        <v>1268</v>
      </c>
      <c r="C1208" s="50" t="s">
        <v>254</v>
      </c>
      <c r="D1208" s="50">
        <v>22</v>
      </c>
      <c r="E1208" s="50" t="s">
        <v>928</v>
      </c>
      <c r="F1208" s="50" t="s">
        <v>1269</v>
      </c>
      <c r="G1208" s="50" t="s">
        <v>256</v>
      </c>
      <c r="H1208" s="50">
        <v>1000</v>
      </c>
      <c r="M1208" t="str">
        <f>IF(COUNTIF($A:$A,E1208)=0,"Not Exists","Exists")</f>
        <v>Not Exists</v>
      </c>
      <c r="N1208" t="str">
        <f t="shared" si="58"/>
        <v>Not Exists</v>
      </c>
      <c r="O1208" t="str">
        <f t="shared" si="59"/>
        <v>Exists</v>
      </c>
      <c r="P1208" t="str">
        <f t="shared" si="60"/>
        <v>Exists</v>
      </c>
    </row>
    <row r="1209" spans="1:16">
      <c r="A1209" s="50" t="s">
        <v>1251</v>
      </c>
      <c r="B1209" s="50" t="s">
        <v>1270</v>
      </c>
      <c r="C1209" s="50" t="s">
        <v>256</v>
      </c>
      <c r="D1209" s="50">
        <v>50</v>
      </c>
      <c r="E1209" s="50" t="s">
        <v>928</v>
      </c>
      <c r="F1209" s="50" t="s">
        <v>1271</v>
      </c>
      <c r="G1209" s="50" t="s">
        <v>256</v>
      </c>
      <c r="H1209" s="50">
        <v>1000</v>
      </c>
      <c r="M1209" t="str">
        <f>IF(COUNTIF($A:$A,E1209)=0,"Not Exists","Exists")</f>
        <v>Not Exists</v>
      </c>
      <c r="N1209" t="str">
        <f t="shared" si="58"/>
        <v>Not Exists</v>
      </c>
      <c r="O1209" t="str">
        <f t="shared" si="59"/>
        <v>Exists</v>
      </c>
      <c r="P1209" t="str">
        <f t="shared" si="60"/>
        <v>Exists</v>
      </c>
    </row>
    <row r="1210" spans="1:16">
      <c r="A1210" s="50" t="s">
        <v>1272</v>
      </c>
      <c r="B1210" s="50" t="s">
        <v>1273</v>
      </c>
      <c r="C1210" s="50" t="s">
        <v>256</v>
      </c>
      <c r="D1210" s="50">
        <v>50</v>
      </c>
      <c r="E1210" s="50" t="s">
        <v>928</v>
      </c>
      <c r="F1210" s="50" t="s">
        <v>1274</v>
      </c>
      <c r="G1210" s="50" t="s">
        <v>256</v>
      </c>
      <c r="H1210" s="50">
        <v>1000</v>
      </c>
      <c r="M1210" t="str">
        <f>IF(COUNTIF($A:$A,E1210)=0,"Not Exists","Exists")</f>
        <v>Not Exists</v>
      </c>
      <c r="N1210" t="str">
        <f t="shared" si="58"/>
        <v>Not Exists</v>
      </c>
      <c r="O1210" t="str">
        <f t="shared" si="59"/>
        <v>Exists</v>
      </c>
      <c r="P1210" t="str">
        <f t="shared" si="60"/>
        <v>Exists</v>
      </c>
    </row>
    <row r="1211" spans="1:16">
      <c r="A1211" s="50" t="s">
        <v>1272</v>
      </c>
      <c r="B1211" s="50" t="s">
        <v>1275</v>
      </c>
      <c r="C1211" s="50" t="s">
        <v>256</v>
      </c>
      <c r="D1211" s="50">
        <v>50</v>
      </c>
      <c r="E1211" s="50" t="s">
        <v>928</v>
      </c>
      <c r="F1211" s="50" t="s">
        <v>1276</v>
      </c>
      <c r="G1211" s="50" t="s">
        <v>256</v>
      </c>
      <c r="H1211" s="50">
        <v>1000</v>
      </c>
      <c r="M1211" t="str">
        <f>IF(COUNTIF($A:$A,E1211)=0,"Not Exists","Exists")</f>
        <v>Not Exists</v>
      </c>
      <c r="N1211" t="str">
        <f t="shared" si="58"/>
        <v>Not Exists</v>
      </c>
      <c r="O1211" t="str">
        <f t="shared" si="59"/>
        <v>Exists</v>
      </c>
      <c r="P1211" t="str">
        <f t="shared" si="60"/>
        <v>Not Exists</v>
      </c>
    </row>
    <row r="1212" spans="1:16">
      <c r="A1212" s="50" t="s">
        <v>1272</v>
      </c>
      <c r="B1212" s="50" t="s">
        <v>1277</v>
      </c>
      <c r="C1212" s="50" t="s">
        <v>251</v>
      </c>
      <c r="D1212" s="50">
        <v>17</v>
      </c>
      <c r="E1212" s="50" t="s">
        <v>928</v>
      </c>
      <c r="F1212" s="50" t="s">
        <v>1278</v>
      </c>
      <c r="G1212" s="50" t="s">
        <v>256</v>
      </c>
      <c r="H1212" s="50">
        <v>1000</v>
      </c>
      <c r="M1212" t="str">
        <f>IF(COUNTIF($A:$A,E1212)=0,"Not Exists","Exists")</f>
        <v>Not Exists</v>
      </c>
      <c r="N1212" t="str">
        <f t="shared" si="58"/>
        <v>Not Exists</v>
      </c>
      <c r="O1212" t="str">
        <f t="shared" si="59"/>
        <v>Exists</v>
      </c>
      <c r="P1212" t="str">
        <f t="shared" si="60"/>
        <v>Exists</v>
      </c>
    </row>
    <row r="1213" spans="1:16">
      <c r="A1213" s="50" t="s">
        <v>1272</v>
      </c>
      <c r="B1213" s="50" t="s">
        <v>1279</v>
      </c>
      <c r="C1213" s="50" t="s">
        <v>256</v>
      </c>
      <c r="D1213" s="50">
        <v>50</v>
      </c>
      <c r="E1213" s="50" t="s">
        <v>928</v>
      </c>
      <c r="F1213" s="50" t="s">
        <v>1280</v>
      </c>
      <c r="G1213" s="50" t="s">
        <v>256</v>
      </c>
      <c r="H1213" s="50">
        <v>1000</v>
      </c>
      <c r="M1213" t="str">
        <f>IF(COUNTIF($A:$A,E1213)=0,"Not Exists","Exists")</f>
        <v>Not Exists</v>
      </c>
      <c r="N1213" t="str">
        <f t="shared" ref="N1213:N1276" si="61">IF(COUNTIF($A:$B,F1213)=0,"Not Exists","Exists")</f>
        <v>Not Exists</v>
      </c>
      <c r="O1213" t="str">
        <f t="shared" si="59"/>
        <v>Exists</v>
      </c>
      <c r="P1213" t="str">
        <f t="shared" si="60"/>
        <v>Exists</v>
      </c>
    </row>
    <row r="1214" spans="1:16">
      <c r="A1214" s="50" t="s">
        <v>1272</v>
      </c>
      <c r="B1214" s="50" t="s">
        <v>1281</v>
      </c>
      <c r="C1214" s="50" t="s">
        <v>251</v>
      </c>
      <c r="D1214" s="50">
        <v>17</v>
      </c>
      <c r="E1214" s="50" t="s">
        <v>928</v>
      </c>
      <c r="F1214" s="50" t="s">
        <v>1282</v>
      </c>
      <c r="G1214" s="50" t="s">
        <v>256</v>
      </c>
      <c r="H1214" s="50">
        <v>1000</v>
      </c>
      <c r="M1214" t="str">
        <f>IF(COUNTIF($A:$A,E1214)=0,"Not Exists","Exists")</f>
        <v>Not Exists</v>
      </c>
      <c r="N1214" t="str">
        <f t="shared" si="61"/>
        <v>Not Exists</v>
      </c>
      <c r="O1214" t="str">
        <f t="shared" si="59"/>
        <v>Exists</v>
      </c>
      <c r="P1214" t="str">
        <f t="shared" si="60"/>
        <v>Exists</v>
      </c>
    </row>
    <row r="1215" spans="1:16">
      <c r="A1215" s="50" t="s">
        <v>1272</v>
      </c>
      <c r="B1215" s="50" t="s">
        <v>1283</v>
      </c>
      <c r="C1215" s="50" t="s">
        <v>256</v>
      </c>
      <c r="D1215" s="50">
        <v>50</v>
      </c>
      <c r="E1215" s="50" t="s">
        <v>928</v>
      </c>
      <c r="F1215" s="50" t="s">
        <v>1284</v>
      </c>
      <c r="G1215" s="50" t="s">
        <v>256</v>
      </c>
      <c r="H1215" s="50">
        <v>1000</v>
      </c>
      <c r="M1215" t="str">
        <f>IF(COUNTIF($A:$A,E1215)=0,"Not Exists","Exists")</f>
        <v>Not Exists</v>
      </c>
      <c r="N1215" t="str">
        <f t="shared" si="61"/>
        <v>Not Exists</v>
      </c>
      <c r="O1215" t="str">
        <f t="shared" si="59"/>
        <v>Exists</v>
      </c>
      <c r="P1215" t="str">
        <f t="shared" si="60"/>
        <v>Exists</v>
      </c>
    </row>
    <row r="1216" spans="1:16">
      <c r="A1216" s="50" t="s">
        <v>1272</v>
      </c>
      <c r="B1216" s="50" t="s">
        <v>1285</v>
      </c>
      <c r="C1216" s="50" t="s">
        <v>254</v>
      </c>
      <c r="D1216" s="50">
        <v>22</v>
      </c>
      <c r="E1216" s="50" t="s">
        <v>928</v>
      </c>
      <c r="F1216" s="50" t="s">
        <v>1286</v>
      </c>
      <c r="G1216" s="50" t="s">
        <v>256</v>
      </c>
      <c r="H1216" s="50">
        <v>1000</v>
      </c>
      <c r="M1216" t="str">
        <f>IF(COUNTIF($A:$A,E1216)=0,"Not Exists","Exists")</f>
        <v>Not Exists</v>
      </c>
      <c r="N1216" t="str">
        <f t="shared" si="61"/>
        <v>Not Exists</v>
      </c>
      <c r="O1216" t="str">
        <f t="shared" si="59"/>
        <v>Exists</v>
      </c>
      <c r="P1216" t="str">
        <f t="shared" si="60"/>
        <v>Exists</v>
      </c>
    </row>
    <row r="1217" spans="1:16">
      <c r="A1217" s="50" t="s">
        <v>1272</v>
      </c>
      <c r="B1217" s="50" t="s">
        <v>1287</v>
      </c>
      <c r="C1217" s="50" t="s">
        <v>256</v>
      </c>
      <c r="D1217" s="50">
        <v>50</v>
      </c>
      <c r="E1217" s="50" t="s">
        <v>928</v>
      </c>
      <c r="F1217" s="50" t="s">
        <v>1288</v>
      </c>
      <c r="G1217" s="50" t="s">
        <v>256</v>
      </c>
      <c r="H1217" s="50">
        <v>1000</v>
      </c>
      <c r="M1217" t="str">
        <f>IF(COUNTIF($A:$A,E1217)=0,"Not Exists","Exists")</f>
        <v>Not Exists</v>
      </c>
      <c r="N1217" t="str">
        <f t="shared" si="61"/>
        <v>Not Exists</v>
      </c>
      <c r="O1217" t="str">
        <f t="shared" si="59"/>
        <v>Exists</v>
      </c>
      <c r="P1217" t="str">
        <f t="shared" si="60"/>
        <v>Exists</v>
      </c>
    </row>
    <row r="1218" spans="1:16">
      <c r="A1218" s="50" t="s">
        <v>1272</v>
      </c>
      <c r="B1218" s="50" t="s">
        <v>1289</v>
      </c>
      <c r="C1218" s="50" t="s">
        <v>256</v>
      </c>
      <c r="D1218" s="50">
        <v>2</v>
      </c>
      <c r="E1218" s="50" t="s">
        <v>928</v>
      </c>
      <c r="F1218" s="50" t="s">
        <v>1290</v>
      </c>
      <c r="G1218" s="50" t="s">
        <v>256</v>
      </c>
      <c r="H1218" s="50">
        <v>1000</v>
      </c>
      <c r="M1218" t="str">
        <f>IF(COUNTIF($A:$A,E1218)=0,"Not Exists","Exists")</f>
        <v>Not Exists</v>
      </c>
      <c r="N1218" t="str">
        <f t="shared" si="61"/>
        <v>Not Exists</v>
      </c>
      <c r="O1218" t="str">
        <f t="shared" si="59"/>
        <v>Exists</v>
      </c>
      <c r="P1218" t="str">
        <f t="shared" si="60"/>
        <v>Exists</v>
      </c>
    </row>
    <row r="1219" spans="1:16">
      <c r="A1219" s="50" t="s">
        <v>1272</v>
      </c>
      <c r="B1219" s="50" t="s">
        <v>1291</v>
      </c>
      <c r="C1219" s="50" t="s">
        <v>256</v>
      </c>
      <c r="D1219" s="50">
        <v>50</v>
      </c>
      <c r="E1219" s="50" t="s">
        <v>928</v>
      </c>
      <c r="F1219" s="50" t="s">
        <v>1292</v>
      </c>
      <c r="G1219" s="50" t="s">
        <v>256</v>
      </c>
      <c r="H1219" s="50">
        <v>1000</v>
      </c>
      <c r="M1219" t="str">
        <f>IF(COUNTIF($A:$A,E1219)=0,"Not Exists","Exists")</f>
        <v>Not Exists</v>
      </c>
      <c r="N1219" t="str">
        <f t="shared" si="61"/>
        <v>Not Exists</v>
      </c>
      <c r="O1219" t="str">
        <f t="shared" si="59"/>
        <v>Exists</v>
      </c>
      <c r="P1219" t="str">
        <f t="shared" si="60"/>
        <v>Exists</v>
      </c>
    </row>
    <row r="1220" spans="1:16">
      <c r="A1220" s="50" t="s">
        <v>1272</v>
      </c>
      <c r="B1220" s="50" t="s">
        <v>1293</v>
      </c>
      <c r="C1220" s="50" t="s">
        <v>254</v>
      </c>
      <c r="D1220" s="50">
        <v>22</v>
      </c>
      <c r="E1220" s="50" t="s">
        <v>928</v>
      </c>
      <c r="F1220" s="50" t="s">
        <v>1294</v>
      </c>
      <c r="G1220" s="50" t="s">
        <v>256</v>
      </c>
      <c r="H1220" s="50">
        <v>1000</v>
      </c>
      <c r="M1220" t="str">
        <f>IF(COUNTIF($A:$A,E1220)=0,"Not Exists","Exists")</f>
        <v>Not Exists</v>
      </c>
      <c r="N1220" t="str">
        <f t="shared" si="61"/>
        <v>Not Exists</v>
      </c>
      <c r="O1220" t="str">
        <f t="shared" ref="O1220:O1283" si="62">IF(COUNTIF($E:$E,A1220)=0,"Not Exists","Exists")</f>
        <v>Exists</v>
      </c>
      <c r="P1220" t="str">
        <f t="shared" ref="P1220:P1283" si="63">IF(COUNTIF($F:$F,B1220)=0,"Not Exists","Exists")</f>
        <v>Exists</v>
      </c>
    </row>
    <row r="1221" spans="1:16">
      <c r="A1221" s="50" t="s">
        <v>1272</v>
      </c>
      <c r="B1221" s="50" t="s">
        <v>1295</v>
      </c>
      <c r="C1221" s="50" t="s">
        <v>251</v>
      </c>
      <c r="D1221" s="50">
        <v>1</v>
      </c>
      <c r="E1221" s="50" t="s">
        <v>928</v>
      </c>
      <c r="F1221" s="50" t="s">
        <v>1296</v>
      </c>
      <c r="G1221" s="50" t="s">
        <v>256</v>
      </c>
      <c r="H1221" s="50">
        <v>1000</v>
      </c>
      <c r="M1221" t="str">
        <f>IF(COUNTIF($A:$A,E1221)=0,"Not Exists","Exists")</f>
        <v>Not Exists</v>
      </c>
      <c r="N1221" t="str">
        <f t="shared" si="61"/>
        <v>Not Exists</v>
      </c>
      <c r="O1221" t="str">
        <f t="shared" si="62"/>
        <v>Exists</v>
      </c>
      <c r="P1221" t="str">
        <f t="shared" si="63"/>
        <v>Exists</v>
      </c>
    </row>
    <row r="1222" spans="1:16">
      <c r="A1222" s="50" t="s">
        <v>1272</v>
      </c>
      <c r="B1222" s="50" t="s">
        <v>1297</v>
      </c>
      <c r="C1222" s="50" t="s">
        <v>256</v>
      </c>
      <c r="D1222" s="50">
        <v>450</v>
      </c>
      <c r="E1222" s="50" t="s">
        <v>928</v>
      </c>
      <c r="F1222" s="50" t="s">
        <v>1298</v>
      </c>
      <c r="G1222" s="50" t="s">
        <v>256</v>
      </c>
      <c r="H1222" s="50">
        <v>1000</v>
      </c>
      <c r="M1222" t="str">
        <f>IF(COUNTIF($A:$A,E1222)=0,"Not Exists","Exists")</f>
        <v>Not Exists</v>
      </c>
      <c r="N1222" t="str">
        <f t="shared" si="61"/>
        <v>Not Exists</v>
      </c>
      <c r="O1222" t="str">
        <f t="shared" si="62"/>
        <v>Exists</v>
      </c>
      <c r="P1222" t="str">
        <f t="shared" si="63"/>
        <v>Exists</v>
      </c>
    </row>
    <row r="1223" spans="1:16">
      <c r="A1223" s="50" t="s">
        <v>1272</v>
      </c>
      <c r="B1223" s="50" t="s">
        <v>1299</v>
      </c>
      <c r="C1223" s="50" t="s">
        <v>254</v>
      </c>
      <c r="D1223" s="50">
        <v>22</v>
      </c>
      <c r="E1223" s="50" t="s">
        <v>928</v>
      </c>
      <c r="F1223" s="50" t="s">
        <v>1300</v>
      </c>
      <c r="G1223" s="50" t="s">
        <v>256</v>
      </c>
      <c r="H1223" s="50">
        <v>20</v>
      </c>
      <c r="M1223" t="str">
        <f>IF(COUNTIF($A:$A,E1223)=0,"Not Exists","Exists")</f>
        <v>Not Exists</v>
      </c>
      <c r="N1223" t="str">
        <f t="shared" si="61"/>
        <v>Not Exists</v>
      </c>
      <c r="O1223" t="str">
        <f t="shared" si="62"/>
        <v>Exists</v>
      </c>
      <c r="P1223" t="str">
        <f t="shared" si="63"/>
        <v>Exists</v>
      </c>
    </row>
    <row r="1224" spans="1:16">
      <c r="A1224" s="50" t="s">
        <v>1272</v>
      </c>
      <c r="B1224" s="50" t="s">
        <v>1301</v>
      </c>
      <c r="C1224" s="50" t="s">
        <v>256</v>
      </c>
      <c r="D1224" s="50">
        <v>3000</v>
      </c>
      <c r="E1224" s="50" t="s">
        <v>928</v>
      </c>
      <c r="F1224" s="50" t="s">
        <v>1302</v>
      </c>
      <c r="G1224" s="50" t="s">
        <v>256</v>
      </c>
      <c r="H1224" s="50">
        <v>200</v>
      </c>
      <c r="M1224" t="str">
        <f>IF(COUNTIF($A:$A,E1224)=0,"Not Exists","Exists")</f>
        <v>Not Exists</v>
      </c>
      <c r="N1224" t="str">
        <f t="shared" si="61"/>
        <v>Not Exists</v>
      </c>
      <c r="O1224" t="str">
        <f t="shared" si="62"/>
        <v>Exists</v>
      </c>
      <c r="P1224" t="str">
        <f t="shared" si="63"/>
        <v>Exists</v>
      </c>
    </row>
    <row r="1225" spans="1:16">
      <c r="A1225" s="50" t="s">
        <v>1272</v>
      </c>
      <c r="B1225" s="50" t="s">
        <v>1303</v>
      </c>
      <c r="C1225" s="50" t="s">
        <v>251</v>
      </c>
      <c r="D1225" s="50">
        <v>1</v>
      </c>
      <c r="E1225" s="50" t="s">
        <v>928</v>
      </c>
      <c r="F1225" s="50" t="s">
        <v>1304</v>
      </c>
      <c r="G1225" s="50" t="s">
        <v>254</v>
      </c>
      <c r="H1225" s="50">
        <v>22</v>
      </c>
      <c r="M1225" t="str">
        <f>IF(COUNTIF($A:$A,E1225)=0,"Not Exists","Exists")</f>
        <v>Not Exists</v>
      </c>
      <c r="N1225" t="str">
        <f t="shared" si="61"/>
        <v>Not Exists</v>
      </c>
      <c r="O1225" t="str">
        <f t="shared" si="62"/>
        <v>Exists</v>
      </c>
      <c r="P1225" t="str">
        <f t="shared" si="63"/>
        <v>Exists</v>
      </c>
    </row>
    <row r="1226" spans="1:16">
      <c r="A1226" s="50" t="s">
        <v>1272</v>
      </c>
      <c r="B1226" s="50" t="s">
        <v>1305</v>
      </c>
      <c r="C1226" s="50" t="s">
        <v>251</v>
      </c>
      <c r="D1226" s="50">
        <v>1</v>
      </c>
      <c r="E1226" s="50" t="s">
        <v>928</v>
      </c>
      <c r="F1226" s="50" t="s">
        <v>1306</v>
      </c>
      <c r="G1226" s="50" t="s">
        <v>256</v>
      </c>
      <c r="H1226" s="50">
        <v>9</v>
      </c>
      <c r="M1226" t="str">
        <f>IF(COUNTIF($A:$A,E1226)=0,"Not Exists","Exists")</f>
        <v>Not Exists</v>
      </c>
      <c r="N1226" t="str">
        <f t="shared" si="61"/>
        <v>Not Exists</v>
      </c>
      <c r="O1226" t="str">
        <f t="shared" si="62"/>
        <v>Exists</v>
      </c>
      <c r="P1226" t="str">
        <f t="shared" si="63"/>
        <v>Exists</v>
      </c>
    </row>
    <row r="1227" spans="1:16">
      <c r="A1227" s="50" t="s">
        <v>1272</v>
      </c>
      <c r="B1227" s="50" t="s">
        <v>1307</v>
      </c>
      <c r="C1227" s="50" t="s">
        <v>254</v>
      </c>
      <c r="D1227" s="50">
        <v>22</v>
      </c>
      <c r="E1227" s="50" t="s">
        <v>928</v>
      </c>
      <c r="F1227" s="50" t="s">
        <v>1308</v>
      </c>
      <c r="G1227" s="50" t="s">
        <v>256</v>
      </c>
      <c r="H1227" s="50">
        <v>200</v>
      </c>
      <c r="M1227" t="str">
        <f>IF(COUNTIF($A:$A,E1227)=0,"Not Exists","Exists")</f>
        <v>Not Exists</v>
      </c>
      <c r="N1227" t="str">
        <f t="shared" si="61"/>
        <v>Not Exists</v>
      </c>
      <c r="O1227" t="str">
        <f t="shared" si="62"/>
        <v>Exists</v>
      </c>
      <c r="P1227" t="str">
        <f t="shared" si="63"/>
        <v>Exists</v>
      </c>
    </row>
    <row r="1228" spans="1:16">
      <c r="A1228" s="50" t="s">
        <v>1272</v>
      </c>
      <c r="B1228" s="50" t="s">
        <v>1309</v>
      </c>
      <c r="C1228" s="50" t="s">
        <v>256</v>
      </c>
      <c r="D1228" s="50">
        <v>50</v>
      </c>
      <c r="E1228" s="50" t="s">
        <v>928</v>
      </c>
      <c r="F1228" s="50" t="s">
        <v>1310</v>
      </c>
      <c r="G1228" s="50" t="s">
        <v>254</v>
      </c>
      <c r="H1228" s="50">
        <v>22</v>
      </c>
      <c r="M1228" t="str">
        <f>IF(COUNTIF($A:$A,E1228)=0,"Not Exists","Exists")</f>
        <v>Not Exists</v>
      </c>
      <c r="N1228" t="str">
        <f t="shared" si="61"/>
        <v>Not Exists</v>
      </c>
      <c r="O1228" t="str">
        <f t="shared" si="62"/>
        <v>Exists</v>
      </c>
      <c r="P1228" t="str">
        <f t="shared" si="63"/>
        <v>Exists</v>
      </c>
    </row>
    <row r="1229" spans="1:16">
      <c r="A1229" s="50" t="s">
        <v>1272</v>
      </c>
      <c r="B1229" s="50" t="s">
        <v>1311</v>
      </c>
      <c r="C1229" s="50" t="s">
        <v>256</v>
      </c>
      <c r="D1229" s="50">
        <v>50</v>
      </c>
      <c r="E1229" s="50" t="s">
        <v>928</v>
      </c>
      <c r="F1229" s="50" t="s">
        <v>1312</v>
      </c>
      <c r="G1229" s="50" t="s">
        <v>256</v>
      </c>
      <c r="H1229" s="50">
        <v>9</v>
      </c>
      <c r="M1229" t="str">
        <f>IF(COUNTIF($A:$A,E1229)=0,"Not Exists","Exists")</f>
        <v>Not Exists</v>
      </c>
      <c r="N1229" t="str">
        <f t="shared" si="61"/>
        <v>Not Exists</v>
      </c>
      <c r="O1229" t="str">
        <f t="shared" si="62"/>
        <v>Exists</v>
      </c>
      <c r="P1229" t="str">
        <f t="shared" si="63"/>
        <v>Exists</v>
      </c>
    </row>
    <row r="1230" spans="1:16">
      <c r="A1230" s="50" t="s">
        <v>1272</v>
      </c>
      <c r="B1230" s="50" t="s">
        <v>1313</v>
      </c>
      <c r="C1230" s="50" t="s">
        <v>251</v>
      </c>
      <c r="D1230" s="50">
        <v>1</v>
      </c>
      <c r="E1230" s="50" t="s">
        <v>928</v>
      </c>
      <c r="F1230" s="50" t="s">
        <v>1314</v>
      </c>
      <c r="G1230" s="50" t="s">
        <v>256</v>
      </c>
      <c r="H1230" s="50">
        <v>200</v>
      </c>
      <c r="M1230" t="str">
        <f>IF(COUNTIF($A:$A,E1230)=0,"Not Exists","Exists")</f>
        <v>Not Exists</v>
      </c>
      <c r="N1230" t="str">
        <f t="shared" si="61"/>
        <v>Not Exists</v>
      </c>
      <c r="O1230" t="str">
        <f t="shared" si="62"/>
        <v>Exists</v>
      </c>
      <c r="P1230" t="str">
        <f t="shared" si="63"/>
        <v>Exists</v>
      </c>
    </row>
    <row r="1231" spans="1:16">
      <c r="A1231" s="50" t="s">
        <v>1272</v>
      </c>
      <c r="B1231" s="50" t="s">
        <v>1315</v>
      </c>
      <c r="C1231" s="50" t="s">
        <v>254</v>
      </c>
      <c r="D1231" s="50">
        <v>22</v>
      </c>
      <c r="E1231" s="50" t="s">
        <v>928</v>
      </c>
      <c r="F1231" s="50" t="s">
        <v>1316</v>
      </c>
      <c r="G1231" s="50" t="s">
        <v>254</v>
      </c>
      <c r="H1231" s="50">
        <v>22</v>
      </c>
      <c r="M1231" t="str">
        <f>IF(COUNTIF($A:$A,E1231)=0,"Not Exists","Exists")</f>
        <v>Not Exists</v>
      </c>
      <c r="N1231" t="str">
        <f t="shared" si="61"/>
        <v>Not Exists</v>
      </c>
      <c r="O1231" t="str">
        <f t="shared" si="62"/>
        <v>Exists</v>
      </c>
      <c r="P1231" t="str">
        <f t="shared" si="63"/>
        <v>Exists</v>
      </c>
    </row>
    <row r="1232" spans="1:16">
      <c r="A1232" s="50" t="s">
        <v>1272</v>
      </c>
      <c r="B1232" s="50" t="s">
        <v>1317</v>
      </c>
      <c r="C1232" s="50" t="s">
        <v>256</v>
      </c>
      <c r="D1232" s="50">
        <v>1</v>
      </c>
      <c r="E1232" s="50" t="s">
        <v>928</v>
      </c>
      <c r="F1232" s="50" t="s">
        <v>1318</v>
      </c>
      <c r="G1232" s="50" t="s">
        <v>256</v>
      </c>
      <c r="H1232" s="50">
        <v>9</v>
      </c>
      <c r="M1232" t="str">
        <f>IF(COUNTIF($A:$A,E1232)=0,"Not Exists","Exists")</f>
        <v>Not Exists</v>
      </c>
      <c r="N1232" t="str">
        <f t="shared" si="61"/>
        <v>Not Exists</v>
      </c>
      <c r="O1232" t="str">
        <f t="shared" si="62"/>
        <v>Exists</v>
      </c>
      <c r="P1232" t="str">
        <f t="shared" si="63"/>
        <v>Exists</v>
      </c>
    </row>
    <row r="1233" spans="1:16">
      <c r="A1233" s="50" t="s">
        <v>1272</v>
      </c>
      <c r="B1233" s="50" t="s">
        <v>1319</v>
      </c>
      <c r="C1233" s="50" t="s">
        <v>256</v>
      </c>
      <c r="D1233" s="50">
        <v>450</v>
      </c>
      <c r="E1233" s="50" t="s">
        <v>928</v>
      </c>
      <c r="F1233" s="50" t="s">
        <v>1320</v>
      </c>
      <c r="G1233" s="50" t="s">
        <v>256</v>
      </c>
      <c r="H1233" s="50">
        <v>200</v>
      </c>
      <c r="M1233" t="str">
        <f>IF(COUNTIF($A:$A,E1233)=0,"Not Exists","Exists")</f>
        <v>Not Exists</v>
      </c>
      <c r="N1233" t="str">
        <f t="shared" si="61"/>
        <v>Not Exists</v>
      </c>
      <c r="O1233" t="str">
        <f t="shared" si="62"/>
        <v>Exists</v>
      </c>
      <c r="P1233" t="str">
        <f t="shared" si="63"/>
        <v>Exists</v>
      </c>
    </row>
    <row r="1234" spans="1:16">
      <c r="A1234" s="50" t="s">
        <v>1272</v>
      </c>
      <c r="B1234" s="50" t="s">
        <v>1321</v>
      </c>
      <c r="C1234" s="50" t="s">
        <v>256</v>
      </c>
      <c r="D1234" s="50">
        <v>50</v>
      </c>
      <c r="E1234" s="50" t="s">
        <v>928</v>
      </c>
      <c r="F1234" s="50" t="s">
        <v>1322</v>
      </c>
      <c r="G1234" s="50" t="s">
        <v>254</v>
      </c>
      <c r="H1234" s="50">
        <v>22</v>
      </c>
      <c r="M1234" t="str">
        <f>IF(COUNTIF($A:$A,E1234)=0,"Not Exists","Exists")</f>
        <v>Not Exists</v>
      </c>
      <c r="N1234" t="str">
        <f t="shared" si="61"/>
        <v>Not Exists</v>
      </c>
      <c r="O1234" t="str">
        <f t="shared" si="62"/>
        <v>Exists</v>
      </c>
      <c r="P1234" t="str">
        <f t="shared" si="63"/>
        <v>Exists</v>
      </c>
    </row>
    <row r="1235" spans="1:16">
      <c r="A1235" s="50" t="s">
        <v>1272</v>
      </c>
      <c r="B1235" s="50" t="s">
        <v>1323</v>
      </c>
      <c r="C1235" s="50" t="s">
        <v>256</v>
      </c>
      <c r="D1235" s="50">
        <v>50</v>
      </c>
      <c r="E1235" s="50" t="s">
        <v>928</v>
      </c>
      <c r="F1235" s="50" t="s">
        <v>1324</v>
      </c>
      <c r="G1235" s="50" t="s">
        <v>256</v>
      </c>
      <c r="H1235" s="50">
        <v>9</v>
      </c>
      <c r="M1235" t="str">
        <f>IF(COUNTIF($A:$A,E1235)=0,"Not Exists","Exists")</f>
        <v>Not Exists</v>
      </c>
      <c r="N1235" t="str">
        <f t="shared" si="61"/>
        <v>Not Exists</v>
      </c>
      <c r="O1235" t="str">
        <f t="shared" si="62"/>
        <v>Exists</v>
      </c>
      <c r="P1235" t="str">
        <f t="shared" si="63"/>
        <v>Exists</v>
      </c>
    </row>
    <row r="1236" spans="1:16">
      <c r="A1236" s="50" t="s">
        <v>1272</v>
      </c>
      <c r="B1236" s="50" t="s">
        <v>1325</v>
      </c>
      <c r="C1236" s="50" t="s">
        <v>251</v>
      </c>
      <c r="D1236" s="50">
        <v>1</v>
      </c>
      <c r="E1236" s="50" t="s">
        <v>928</v>
      </c>
      <c r="F1236" s="50" t="s">
        <v>1326</v>
      </c>
      <c r="G1236" s="50" t="s">
        <v>256</v>
      </c>
      <c r="H1236" s="50">
        <v>200</v>
      </c>
      <c r="M1236" t="str">
        <f>IF(COUNTIF($A:$A,E1236)=0,"Not Exists","Exists")</f>
        <v>Not Exists</v>
      </c>
      <c r="N1236" t="str">
        <f t="shared" si="61"/>
        <v>Not Exists</v>
      </c>
      <c r="O1236" t="str">
        <f t="shared" si="62"/>
        <v>Exists</v>
      </c>
      <c r="P1236" t="str">
        <f t="shared" si="63"/>
        <v>Exists</v>
      </c>
    </row>
    <row r="1237" spans="1:16">
      <c r="A1237" s="50" t="s">
        <v>1272</v>
      </c>
      <c r="B1237" s="50" t="s">
        <v>1327</v>
      </c>
      <c r="C1237" s="50" t="s">
        <v>256</v>
      </c>
      <c r="D1237" s="50">
        <v>50</v>
      </c>
      <c r="E1237" s="50" t="s">
        <v>928</v>
      </c>
      <c r="F1237" s="50" t="s">
        <v>1328</v>
      </c>
      <c r="G1237" s="50" t="s">
        <v>254</v>
      </c>
      <c r="H1237" s="50">
        <v>22</v>
      </c>
      <c r="M1237" t="str">
        <f>IF(COUNTIF($A:$A,E1237)=0,"Not Exists","Exists")</f>
        <v>Not Exists</v>
      </c>
      <c r="N1237" t="str">
        <f t="shared" si="61"/>
        <v>Not Exists</v>
      </c>
      <c r="O1237" t="str">
        <f t="shared" si="62"/>
        <v>Exists</v>
      </c>
      <c r="P1237" t="str">
        <f t="shared" si="63"/>
        <v>Exists</v>
      </c>
    </row>
    <row r="1238" spans="1:16">
      <c r="A1238" s="50" t="s">
        <v>1272</v>
      </c>
      <c r="B1238" s="50" t="s">
        <v>1329</v>
      </c>
      <c r="C1238" s="50" t="s">
        <v>254</v>
      </c>
      <c r="D1238" s="50">
        <v>22</v>
      </c>
      <c r="E1238" s="50" t="s">
        <v>928</v>
      </c>
      <c r="F1238" s="50" t="s">
        <v>1330</v>
      </c>
      <c r="G1238" s="50" t="s">
        <v>256</v>
      </c>
      <c r="H1238" s="50">
        <v>9</v>
      </c>
      <c r="M1238" t="str">
        <f>IF(COUNTIF($A:$A,E1238)=0,"Not Exists","Exists")</f>
        <v>Not Exists</v>
      </c>
      <c r="N1238" t="str">
        <f t="shared" si="61"/>
        <v>Not Exists</v>
      </c>
      <c r="O1238" t="str">
        <f t="shared" si="62"/>
        <v>Exists</v>
      </c>
      <c r="P1238" t="str">
        <f t="shared" si="63"/>
        <v>Exists</v>
      </c>
    </row>
    <row r="1239" spans="1:16">
      <c r="A1239" s="50" t="s">
        <v>1272</v>
      </c>
      <c r="B1239" s="50" t="s">
        <v>1331</v>
      </c>
      <c r="C1239" s="50" t="s">
        <v>256</v>
      </c>
      <c r="D1239" s="50">
        <v>10</v>
      </c>
      <c r="E1239" s="50" t="s">
        <v>928</v>
      </c>
      <c r="F1239" s="50" t="s">
        <v>1332</v>
      </c>
      <c r="G1239" s="50" t="s">
        <v>256</v>
      </c>
      <c r="H1239" s="50">
        <v>200</v>
      </c>
      <c r="M1239" t="str">
        <f>IF(COUNTIF($A:$A,E1239)=0,"Not Exists","Exists")</f>
        <v>Not Exists</v>
      </c>
      <c r="N1239" t="str">
        <f t="shared" si="61"/>
        <v>Not Exists</v>
      </c>
      <c r="O1239" t="str">
        <f t="shared" si="62"/>
        <v>Exists</v>
      </c>
      <c r="P1239" t="str">
        <f t="shared" si="63"/>
        <v>Not Exists</v>
      </c>
    </row>
    <row r="1240" spans="1:16">
      <c r="A1240" s="50" t="s">
        <v>1272</v>
      </c>
      <c r="B1240" s="50" t="s">
        <v>1333</v>
      </c>
      <c r="C1240" s="50" t="s">
        <v>256</v>
      </c>
      <c r="D1240" s="50">
        <v>10</v>
      </c>
      <c r="E1240" s="50" t="s">
        <v>928</v>
      </c>
      <c r="F1240" s="50" t="s">
        <v>1334</v>
      </c>
      <c r="G1240" s="50" t="s">
        <v>254</v>
      </c>
      <c r="H1240" s="50">
        <v>22</v>
      </c>
      <c r="M1240" t="str">
        <f>IF(COUNTIF($A:$A,E1240)=0,"Not Exists","Exists")</f>
        <v>Not Exists</v>
      </c>
      <c r="N1240" t="str">
        <f t="shared" si="61"/>
        <v>Not Exists</v>
      </c>
      <c r="O1240" t="str">
        <f t="shared" si="62"/>
        <v>Exists</v>
      </c>
      <c r="P1240" t="str">
        <f t="shared" si="63"/>
        <v>Not Exists</v>
      </c>
    </row>
    <row r="1241" spans="1:16">
      <c r="A1241" s="50" t="s">
        <v>1272</v>
      </c>
      <c r="B1241" s="50" t="s">
        <v>1335</v>
      </c>
      <c r="C1241" s="50" t="s">
        <v>256</v>
      </c>
      <c r="D1241" s="50">
        <v>10</v>
      </c>
      <c r="E1241" s="50" t="s">
        <v>928</v>
      </c>
      <c r="F1241" s="50" t="s">
        <v>1336</v>
      </c>
      <c r="G1241" s="50" t="s">
        <v>256</v>
      </c>
      <c r="H1241" s="50">
        <v>9</v>
      </c>
      <c r="M1241" t="str">
        <f>IF(COUNTIF($A:$A,E1241)=0,"Not Exists","Exists")</f>
        <v>Not Exists</v>
      </c>
      <c r="N1241" t="str">
        <f t="shared" si="61"/>
        <v>Not Exists</v>
      </c>
      <c r="O1241" t="str">
        <f t="shared" si="62"/>
        <v>Exists</v>
      </c>
      <c r="P1241" t="str">
        <f t="shared" si="63"/>
        <v>Not Exists</v>
      </c>
    </row>
    <row r="1242" spans="1:16">
      <c r="A1242" s="50" t="s">
        <v>1272</v>
      </c>
      <c r="B1242" s="50" t="s">
        <v>1337</v>
      </c>
      <c r="C1242" s="50" t="s">
        <v>256</v>
      </c>
      <c r="D1242" s="50">
        <v>10</v>
      </c>
      <c r="E1242" s="50" t="s">
        <v>928</v>
      </c>
      <c r="F1242" s="50" t="s">
        <v>1338</v>
      </c>
      <c r="G1242" s="50" t="s">
        <v>256</v>
      </c>
      <c r="H1242" s="50">
        <v>200</v>
      </c>
      <c r="M1242" t="str">
        <f>IF(COUNTIF($A:$A,E1242)=0,"Not Exists","Exists")</f>
        <v>Not Exists</v>
      </c>
      <c r="N1242" t="str">
        <f t="shared" si="61"/>
        <v>Not Exists</v>
      </c>
      <c r="O1242" t="str">
        <f t="shared" si="62"/>
        <v>Exists</v>
      </c>
      <c r="P1242" t="str">
        <f t="shared" si="63"/>
        <v>Not Exists</v>
      </c>
    </row>
    <row r="1243" spans="1:16">
      <c r="A1243" s="50" t="s">
        <v>1272</v>
      </c>
      <c r="B1243" s="50" t="s">
        <v>1339</v>
      </c>
      <c r="C1243" s="50" t="s">
        <v>256</v>
      </c>
      <c r="D1243" s="50">
        <v>10</v>
      </c>
      <c r="E1243" s="50" t="s">
        <v>928</v>
      </c>
      <c r="F1243" s="50" t="s">
        <v>1340</v>
      </c>
      <c r="G1243" s="50" t="s">
        <v>254</v>
      </c>
      <c r="H1243" s="50">
        <v>22</v>
      </c>
      <c r="M1243" t="str">
        <f>IF(COUNTIF($A:$A,E1243)=0,"Not Exists","Exists")</f>
        <v>Not Exists</v>
      </c>
      <c r="N1243" t="str">
        <f t="shared" si="61"/>
        <v>Not Exists</v>
      </c>
      <c r="O1243" t="str">
        <f t="shared" si="62"/>
        <v>Exists</v>
      </c>
      <c r="P1243" t="str">
        <f t="shared" si="63"/>
        <v>Not Exists</v>
      </c>
    </row>
    <row r="1244" spans="1:16">
      <c r="A1244" s="50" t="s">
        <v>1272</v>
      </c>
      <c r="B1244" s="50" t="s">
        <v>1341</v>
      </c>
      <c r="C1244" s="50" t="s">
        <v>251</v>
      </c>
      <c r="D1244" s="50">
        <v>1</v>
      </c>
      <c r="E1244" s="50" t="s">
        <v>928</v>
      </c>
      <c r="F1244" s="50" t="s">
        <v>1342</v>
      </c>
      <c r="G1244" s="50" t="s">
        <v>256</v>
      </c>
      <c r="H1244" s="50">
        <v>9</v>
      </c>
      <c r="M1244" t="str">
        <f>IF(COUNTIF($A:$A,E1244)=0,"Not Exists","Exists")</f>
        <v>Not Exists</v>
      </c>
      <c r="N1244" t="str">
        <f t="shared" si="61"/>
        <v>Not Exists</v>
      </c>
      <c r="O1244" t="str">
        <f t="shared" si="62"/>
        <v>Exists</v>
      </c>
      <c r="P1244" t="str">
        <f t="shared" si="63"/>
        <v>Not Exists</v>
      </c>
    </row>
    <row r="1245" spans="1:16">
      <c r="A1245" s="50" t="s">
        <v>1272</v>
      </c>
      <c r="B1245" s="50" t="s">
        <v>1343</v>
      </c>
      <c r="C1245" s="50" t="s">
        <v>256</v>
      </c>
      <c r="D1245" s="50">
        <v>10</v>
      </c>
      <c r="E1245" s="50" t="s">
        <v>928</v>
      </c>
      <c r="F1245" s="50" t="s">
        <v>1344</v>
      </c>
      <c r="G1245" s="50" t="s">
        <v>256</v>
      </c>
      <c r="H1245" s="50">
        <v>200</v>
      </c>
      <c r="M1245" t="str">
        <f>IF(COUNTIF($A:$A,E1245)=0,"Not Exists","Exists")</f>
        <v>Not Exists</v>
      </c>
      <c r="N1245" t="str">
        <f t="shared" si="61"/>
        <v>Not Exists</v>
      </c>
      <c r="O1245" t="str">
        <f t="shared" si="62"/>
        <v>Exists</v>
      </c>
      <c r="P1245" t="str">
        <f t="shared" si="63"/>
        <v>Not Exists</v>
      </c>
    </row>
    <row r="1246" spans="1:16">
      <c r="A1246" s="50" t="s">
        <v>1272</v>
      </c>
      <c r="B1246" s="50" t="s">
        <v>1345</v>
      </c>
      <c r="C1246" s="50" t="s">
        <v>256</v>
      </c>
      <c r="D1246" s="50">
        <v>10</v>
      </c>
      <c r="E1246" s="50" t="s">
        <v>928</v>
      </c>
      <c r="F1246" s="50" t="s">
        <v>1346</v>
      </c>
      <c r="G1246" s="50" t="s">
        <v>254</v>
      </c>
      <c r="H1246" s="50">
        <v>22</v>
      </c>
      <c r="M1246" t="str">
        <f>IF(COUNTIF($A:$A,E1246)=0,"Not Exists","Exists")</f>
        <v>Not Exists</v>
      </c>
      <c r="N1246" t="str">
        <f t="shared" si="61"/>
        <v>Not Exists</v>
      </c>
      <c r="O1246" t="str">
        <f t="shared" si="62"/>
        <v>Exists</v>
      </c>
      <c r="P1246" t="str">
        <f t="shared" si="63"/>
        <v>Not Exists</v>
      </c>
    </row>
    <row r="1247" spans="1:16">
      <c r="A1247" s="50" t="s">
        <v>1272</v>
      </c>
      <c r="B1247" s="50" t="s">
        <v>1347</v>
      </c>
      <c r="C1247" s="50" t="s">
        <v>256</v>
      </c>
      <c r="D1247" s="50">
        <v>10</v>
      </c>
      <c r="E1247" s="50" t="s">
        <v>928</v>
      </c>
      <c r="F1247" s="50" t="s">
        <v>1348</v>
      </c>
      <c r="G1247" s="50" t="s">
        <v>256</v>
      </c>
      <c r="H1247" s="50">
        <v>9</v>
      </c>
      <c r="M1247" t="str">
        <f>IF(COUNTIF($A:$A,E1247)=0,"Not Exists","Exists")</f>
        <v>Not Exists</v>
      </c>
      <c r="N1247" t="str">
        <f t="shared" si="61"/>
        <v>Not Exists</v>
      </c>
      <c r="O1247" t="str">
        <f t="shared" si="62"/>
        <v>Exists</v>
      </c>
      <c r="P1247" t="str">
        <f t="shared" si="63"/>
        <v>Not Exists</v>
      </c>
    </row>
    <row r="1248" spans="1:16">
      <c r="A1248" s="50" t="s">
        <v>1272</v>
      </c>
      <c r="B1248" s="50" t="s">
        <v>1349</v>
      </c>
      <c r="C1248" s="50" t="s">
        <v>256</v>
      </c>
      <c r="D1248" s="50">
        <v>10</v>
      </c>
      <c r="E1248" s="50" t="s">
        <v>928</v>
      </c>
      <c r="F1248" s="50" t="s">
        <v>1350</v>
      </c>
      <c r="G1248" s="50" t="s">
        <v>256</v>
      </c>
      <c r="H1248" s="50">
        <v>200</v>
      </c>
      <c r="M1248" t="str">
        <f>IF(COUNTIF($A:$A,E1248)=0,"Not Exists","Exists")</f>
        <v>Not Exists</v>
      </c>
      <c r="N1248" t="str">
        <f t="shared" si="61"/>
        <v>Not Exists</v>
      </c>
      <c r="O1248" t="str">
        <f t="shared" si="62"/>
        <v>Exists</v>
      </c>
      <c r="P1248" t="str">
        <f t="shared" si="63"/>
        <v>Not Exists</v>
      </c>
    </row>
    <row r="1249" spans="1:16">
      <c r="A1249" s="50" t="s">
        <v>1351</v>
      </c>
      <c r="B1249" s="50" t="s">
        <v>1352</v>
      </c>
      <c r="C1249" s="50" t="s">
        <v>256</v>
      </c>
      <c r="D1249" s="50">
        <v>50</v>
      </c>
      <c r="E1249" s="50" t="s">
        <v>928</v>
      </c>
      <c r="F1249" s="50" t="s">
        <v>1353</v>
      </c>
      <c r="G1249" s="50" t="s">
        <v>254</v>
      </c>
      <c r="H1249" s="50">
        <v>22</v>
      </c>
      <c r="M1249" t="str">
        <f>IF(COUNTIF($A:$A,E1249)=0,"Not Exists","Exists")</f>
        <v>Not Exists</v>
      </c>
      <c r="N1249" t="str">
        <f t="shared" si="61"/>
        <v>Not Exists</v>
      </c>
      <c r="O1249" t="str">
        <f t="shared" si="62"/>
        <v>Exists</v>
      </c>
      <c r="P1249" t="str">
        <f t="shared" si="63"/>
        <v>Exists</v>
      </c>
    </row>
    <row r="1250" spans="1:16">
      <c r="A1250" s="50" t="s">
        <v>1351</v>
      </c>
      <c r="B1250" s="50" t="s">
        <v>1354</v>
      </c>
      <c r="C1250" s="50" t="s">
        <v>256</v>
      </c>
      <c r="D1250" s="50">
        <v>50</v>
      </c>
      <c r="E1250" s="50" t="s">
        <v>928</v>
      </c>
      <c r="F1250" s="50" t="s">
        <v>1355</v>
      </c>
      <c r="G1250" s="50" t="s">
        <v>256</v>
      </c>
      <c r="H1250" s="50">
        <v>9</v>
      </c>
      <c r="M1250" t="str">
        <f>IF(COUNTIF($A:$A,E1250)=0,"Not Exists","Exists")</f>
        <v>Not Exists</v>
      </c>
      <c r="N1250" t="str">
        <f t="shared" si="61"/>
        <v>Not Exists</v>
      </c>
      <c r="O1250" t="str">
        <f t="shared" si="62"/>
        <v>Exists</v>
      </c>
      <c r="P1250" t="str">
        <f t="shared" si="63"/>
        <v>Not Exists</v>
      </c>
    </row>
    <row r="1251" spans="1:16">
      <c r="A1251" s="50" t="s">
        <v>1351</v>
      </c>
      <c r="B1251" s="50" t="s">
        <v>1356</v>
      </c>
      <c r="C1251" s="50" t="s">
        <v>251</v>
      </c>
      <c r="D1251" s="50">
        <v>17</v>
      </c>
      <c r="E1251" s="50" t="s">
        <v>928</v>
      </c>
      <c r="F1251" s="50" t="s">
        <v>1357</v>
      </c>
      <c r="G1251" s="50" t="s">
        <v>256</v>
      </c>
      <c r="H1251" s="50">
        <v>200</v>
      </c>
      <c r="M1251" t="str">
        <f>IF(COUNTIF($A:$A,E1251)=0,"Not Exists","Exists")</f>
        <v>Not Exists</v>
      </c>
      <c r="N1251" t="str">
        <f t="shared" si="61"/>
        <v>Not Exists</v>
      </c>
      <c r="O1251" t="str">
        <f t="shared" si="62"/>
        <v>Exists</v>
      </c>
      <c r="P1251" t="str">
        <f t="shared" si="63"/>
        <v>Exists</v>
      </c>
    </row>
    <row r="1252" spans="1:16">
      <c r="A1252" s="50" t="s">
        <v>1351</v>
      </c>
      <c r="B1252" s="50" t="s">
        <v>1358</v>
      </c>
      <c r="C1252" s="50" t="s">
        <v>256</v>
      </c>
      <c r="D1252" s="50">
        <v>50</v>
      </c>
      <c r="E1252" s="50" t="s">
        <v>928</v>
      </c>
      <c r="F1252" s="50" t="s">
        <v>1359</v>
      </c>
      <c r="G1252" s="50" t="s">
        <v>254</v>
      </c>
      <c r="H1252" s="50">
        <v>22</v>
      </c>
      <c r="M1252" t="str">
        <f>IF(COUNTIF($A:$A,E1252)=0,"Not Exists","Exists")</f>
        <v>Not Exists</v>
      </c>
      <c r="N1252" t="str">
        <f t="shared" si="61"/>
        <v>Not Exists</v>
      </c>
      <c r="O1252" t="str">
        <f t="shared" si="62"/>
        <v>Exists</v>
      </c>
      <c r="P1252" t="str">
        <f t="shared" si="63"/>
        <v>Exists</v>
      </c>
    </row>
    <row r="1253" spans="1:16">
      <c r="A1253" s="50" t="s">
        <v>1351</v>
      </c>
      <c r="B1253" s="50" t="s">
        <v>1360</v>
      </c>
      <c r="C1253" s="50" t="s">
        <v>251</v>
      </c>
      <c r="D1253" s="50">
        <v>17</v>
      </c>
      <c r="E1253" s="50" t="s">
        <v>928</v>
      </c>
      <c r="F1253" s="50" t="s">
        <v>1361</v>
      </c>
      <c r="G1253" s="50" t="s">
        <v>256</v>
      </c>
      <c r="H1253" s="50">
        <v>9</v>
      </c>
      <c r="M1253" t="str">
        <f>IF(COUNTIF($A:$A,E1253)=0,"Not Exists","Exists")</f>
        <v>Not Exists</v>
      </c>
      <c r="N1253" t="str">
        <f t="shared" si="61"/>
        <v>Not Exists</v>
      </c>
      <c r="O1253" t="str">
        <f t="shared" si="62"/>
        <v>Exists</v>
      </c>
      <c r="P1253" t="str">
        <f t="shared" si="63"/>
        <v>Exists</v>
      </c>
    </row>
    <row r="1254" spans="1:16">
      <c r="A1254" s="50" t="s">
        <v>1351</v>
      </c>
      <c r="B1254" s="50" t="s">
        <v>1362</v>
      </c>
      <c r="C1254" s="50" t="s">
        <v>256</v>
      </c>
      <c r="D1254" s="50">
        <v>50</v>
      </c>
      <c r="E1254" s="50" t="s">
        <v>928</v>
      </c>
      <c r="F1254" s="50" t="s">
        <v>1363</v>
      </c>
      <c r="G1254" s="50" t="s">
        <v>256</v>
      </c>
      <c r="H1254" s="50">
        <v>200</v>
      </c>
      <c r="M1254" t="str">
        <f>IF(COUNTIF($A:$A,E1254)=0,"Not Exists","Exists")</f>
        <v>Not Exists</v>
      </c>
      <c r="N1254" t="str">
        <f t="shared" si="61"/>
        <v>Not Exists</v>
      </c>
      <c r="O1254" t="str">
        <f t="shared" si="62"/>
        <v>Exists</v>
      </c>
      <c r="P1254" t="str">
        <f t="shared" si="63"/>
        <v>Exists</v>
      </c>
    </row>
    <row r="1255" spans="1:16">
      <c r="A1255" s="50" t="s">
        <v>1351</v>
      </c>
      <c r="B1255" s="50" t="s">
        <v>1364</v>
      </c>
      <c r="C1255" s="50" t="s">
        <v>251</v>
      </c>
      <c r="D1255" s="50">
        <v>50</v>
      </c>
      <c r="E1255" s="50" t="s">
        <v>928</v>
      </c>
      <c r="F1255" s="50" t="s">
        <v>1365</v>
      </c>
      <c r="G1255" s="50" t="s">
        <v>254</v>
      </c>
      <c r="H1255" s="50">
        <v>22</v>
      </c>
      <c r="M1255" t="str">
        <f>IF(COUNTIF($A:$A,E1255)=0,"Not Exists","Exists")</f>
        <v>Not Exists</v>
      </c>
      <c r="N1255" t="str">
        <f t="shared" si="61"/>
        <v>Not Exists</v>
      </c>
      <c r="O1255" t="str">
        <f t="shared" si="62"/>
        <v>Exists</v>
      </c>
      <c r="P1255" t="str">
        <f t="shared" si="63"/>
        <v>Exists</v>
      </c>
    </row>
    <row r="1256" spans="1:16">
      <c r="A1256" s="50" t="s">
        <v>1351</v>
      </c>
      <c r="B1256" s="50" t="s">
        <v>1366</v>
      </c>
      <c r="C1256" s="50" t="s">
        <v>256</v>
      </c>
      <c r="D1256" s="50">
        <v>150</v>
      </c>
      <c r="E1256" s="50" t="s">
        <v>928</v>
      </c>
      <c r="F1256" s="50" t="s">
        <v>1367</v>
      </c>
      <c r="G1256" s="50" t="s">
        <v>256</v>
      </c>
      <c r="H1256" s="50">
        <v>9</v>
      </c>
      <c r="M1256" t="str">
        <f>IF(COUNTIF($A:$A,E1256)=0,"Not Exists","Exists")</f>
        <v>Not Exists</v>
      </c>
      <c r="N1256" t="str">
        <f t="shared" si="61"/>
        <v>Not Exists</v>
      </c>
      <c r="O1256" t="str">
        <f t="shared" si="62"/>
        <v>Exists</v>
      </c>
      <c r="P1256" t="str">
        <f t="shared" si="63"/>
        <v>Exists</v>
      </c>
    </row>
    <row r="1257" spans="1:16">
      <c r="A1257" s="50" t="s">
        <v>1351</v>
      </c>
      <c r="B1257" s="50" t="s">
        <v>1368</v>
      </c>
      <c r="C1257" s="50" t="s">
        <v>256</v>
      </c>
      <c r="D1257" s="50">
        <v>450</v>
      </c>
      <c r="E1257" s="50" t="s">
        <v>928</v>
      </c>
      <c r="F1257" s="50" t="s">
        <v>1369</v>
      </c>
      <c r="G1257" s="50" t="s">
        <v>256</v>
      </c>
      <c r="H1257" s="50">
        <v>200</v>
      </c>
      <c r="M1257" t="str">
        <f>IF(COUNTIF($A:$A,E1257)=0,"Not Exists","Exists")</f>
        <v>Not Exists</v>
      </c>
      <c r="N1257" t="str">
        <f t="shared" si="61"/>
        <v>Not Exists</v>
      </c>
      <c r="O1257" t="str">
        <f t="shared" si="62"/>
        <v>Exists</v>
      </c>
      <c r="P1257" t="str">
        <f t="shared" si="63"/>
        <v>Exists</v>
      </c>
    </row>
    <row r="1258" spans="1:16">
      <c r="A1258" s="50" t="s">
        <v>1351</v>
      </c>
      <c r="B1258" s="50" t="s">
        <v>1370</v>
      </c>
      <c r="C1258" s="50" t="s">
        <v>251</v>
      </c>
      <c r="D1258" s="50">
        <v>1</v>
      </c>
      <c r="E1258" s="50" t="s">
        <v>928</v>
      </c>
      <c r="F1258" s="50" t="s">
        <v>1371</v>
      </c>
      <c r="G1258" s="50" t="s">
        <v>254</v>
      </c>
      <c r="H1258" s="50">
        <v>22</v>
      </c>
      <c r="M1258" t="str">
        <f>IF(COUNTIF($A:$A,E1258)=0,"Not Exists","Exists")</f>
        <v>Not Exists</v>
      </c>
      <c r="N1258" t="str">
        <f t="shared" si="61"/>
        <v>Not Exists</v>
      </c>
      <c r="O1258" t="str">
        <f t="shared" si="62"/>
        <v>Exists</v>
      </c>
      <c r="P1258" t="str">
        <f t="shared" si="63"/>
        <v>Exists</v>
      </c>
    </row>
    <row r="1259" spans="1:16">
      <c r="A1259" s="50" t="s">
        <v>1351</v>
      </c>
      <c r="B1259" s="50" t="s">
        <v>1372</v>
      </c>
      <c r="C1259" s="50" t="s">
        <v>256</v>
      </c>
      <c r="D1259" s="50">
        <v>3000</v>
      </c>
      <c r="E1259" s="50" t="s">
        <v>928</v>
      </c>
      <c r="F1259" s="50" t="s">
        <v>1373</v>
      </c>
      <c r="G1259" s="50" t="s">
        <v>256</v>
      </c>
      <c r="H1259" s="50">
        <v>9</v>
      </c>
      <c r="M1259" t="str">
        <f>IF(COUNTIF($A:$A,E1259)=0,"Not Exists","Exists")</f>
        <v>Not Exists</v>
      </c>
      <c r="N1259" t="str">
        <f t="shared" si="61"/>
        <v>Not Exists</v>
      </c>
      <c r="O1259" t="str">
        <f t="shared" si="62"/>
        <v>Exists</v>
      </c>
      <c r="P1259" t="str">
        <f t="shared" si="63"/>
        <v>Exists</v>
      </c>
    </row>
    <row r="1260" spans="1:16">
      <c r="A1260" s="50" t="s">
        <v>1351</v>
      </c>
      <c r="B1260" s="50" t="s">
        <v>1374</v>
      </c>
      <c r="C1260" s="50" t="s">
        <v>251</v>
      </c>
      <c r="D1260" s="50">
        <v>1</v>
      </c>
      <c r="E1260" s="50" t="s">
        <v>928</v>
      </c>
      <c r="F1260" s="50" t="s">
        <v>1375</v>
      </c>
      <c r="G1260" s="50" t="s">
        <v>256</v>
      </c>
      <c r="H1260" s="50">
        <v>200</v>
      </c>
      <c r="M1260" t="str">
        <f>IF(COUNTIF($A:$A,E1260)=0,"Not Exists","Exists")</f>
        <v>Not Exists</v>
      </c>
      <c r="N1260" t="str">
        <f t="shared" si="61"/>
        <v>Not Exists</v>
      </c>
      <c r="O1260" t="str">
        <f t="shared" si="62"/>
        <v>Exists</v>
      </c>
      <c r="P1260" t="str">
        <f t="shared" si="63"/>
        <v>Exists</v>
      </c>
    </row>
    <row r="1261" spans="1:16">
      <c r="A1261" s="50" t="s">
        <v>1351</v>
      </c>
      <c r="B1261" s="50" t="s">
        <v>1376</v>
      </c>
      <c r="C1261" s="50" t="s">
        <v>256</v>
      </c>
      <c r="D1261" s="50">
        <v>17</v>
      </c>
      <c r="E1261" s="50" t="s">
        <v>928</v>
      </c>
      <c r="F1261" s="50" t="s">
        <v>1377</v>
      </c>
      <c r="G1261" s="50" t="s">
        <v>254</v>
      </c>
      <c r="H1261" s="50">
        <v>22</v>
      </c>
      <c r="M1261" t="str">
        <f>IF(COUNTIF($A:$A,E1261)=0,"Not Exists","Exists")</f>
        <v>Not Exists</v>
      </c>
      <c r="N1261" t="str">
        <f t="shared" si="61"/>
        <v>Not Exists</v>
      </c>
      <c r="O1261" t="str">
        <f t="shared" si="62"/>
        <v>Exists</v>
      </c>
      <c r="P1261" t="str">
        <f t="shared" si="63"/>
        <v>Exists</v>
      </c>
    </row>
    <row r="1262" spans="1:16">
      <c r="A1262" s="50" t="s">
        <v>1351</v>
      </c>
      <c r="B1262" s="50" t="s">
        <v>1378</v>
      </c>
      <c r="C1262" s="50" t="s">
        <v>256</v>
      </c>
      <c r="D1262" s="50">
        <v>50</v>
      </c>
      <c r="E1262" s="50" t="s">
        <v>928</v>
      </c>
      <c r="F1262" s="50" t="s">
        <v>1379</v>
      </c>
      <c r="G1262" s="50" t="s">
        <v>256</v>
      </c>
      <c r="H1262" s="50">
        <v>9</v>
      </c>
      <c r="M1262" t="str">
        <f>IF(COUNTIF($A:$A,E1262)=0,"Not Exists","Exists")</f>
        <v>Not Exists</v>
      </c>
      <c r="N1262" t="str">
        <f t="shared" si="61"/>
        <v>Not Exists</v>
      </c>
      <c r="O1262" t="str">
        <f t="shared" si="62"/>
        <v>Exists</v>
      </c>
      <c r="P1262" t="str">
        <f t="shared" si="63"/>
        <v>Exists</v>
      </c>
    </row>
    <row r="1263" spans="1:16">
      <c r="A1263" s="50" t="s">
        <v>1351</v>
      </c>
      <c r="B1263" s="50" t="s">
        <v>1380</v>
      </c>
      <c r="C1263" s="50" t="s">
        <v>256</v>
      </c>
      <c r="D1263" s="50">
        <v>50</v>
      </c>
      <c r="E1263" s="50" t="s">
        <v>928</v>
      </c>
      <c r="F1263" s="50" t="s">
        <v>1381</v>
      </c>
      <c r="G1263" s="50" t="s">
        <v>256</v>
      </c>
      <c r="H1263" s="50">
        <v>200</v>
      </c>
      <c r="M1263" t="str">
        <f>IF(COUNTIF($A:$A,E1263)=0,"Not Exists","Exists")</f>
        <v>Not Exists</v>
      </c>
      <c r="N1263" t="str">
        <f t="shared" si="61"/>
        <v>Not Exists</v>
      </c>
      <c r="O1263" t="str">
        <f t="shared" si="62"/>
        <v>Exists</v>
      </c>
      <c r="P1263" t="str">
        <f t="shared" si="63"/>
        <v>Exists</v>
      </c>
    </row>
    <row r="1264" spans="1:16">
      <c r="A1264" s="50" t="s">
        <v>1351</v>
      </c>
      <c r="B1264" s="50" t="s">
        <v>1382</v>
      </c>
      <c r="C1264" s="50" t="s">
        <v>256</v>
      </c>
      <c r="D1264" s="50">
        <v>17</v>
      </c>
      <c r="E1264" s="50" t="s">
        <v>928</v>
      </c>
      <c r="F1264" s="50" t="s">
        <v>1383</v>
      </c>
      <c r="G1264" s="50" t="s">
        <v>254</v>
      </c>
      <c r="H1264" s="50">
        <v>22</v>
      </c>
      <c r="M1264" t="str">
        <f>IF(COUNTIF($A:$A,E1264)=0,"Not Exists","Exists")</f>
        <v>Not Exists</v>
      </c>
      <c r="N1264" t="str">
        <f t="shared" si="61"/>
        <v>Not Exists</v>
      </c>
      <c r="O1264" t="str">
        <f t="shared" si="62"/>
        <v>Exists</v>
      </c>
      <c r="P1264" t="str">
        <f t="shared" si="63"/>
        <v>Exists</v>
      </c>
    </row>
    <row r="1265" spans="1:16">
      <c r="A1265" s="50" t="s">
        <v>1351</v>
      </c>
      <c r="B1265" s="50" t="s">
        <v>1384</v>
      </c>
      <c r="C1265" s="50" t="s">
        <v>254</v>
      </c>
      <c r="D1265" s="50">
        <v>22</v>
      </c>
      <c r="E1265" s="50" t="s">
        <v>928</v>
      </c>
      <c r="F1265" s="50" t="s">
        <v>1385</v>
      </c>
      <c r="G1265" s="50" t="s">
        <v>256</v>
      </c>
      <c r="H1265" s="50">
        <v>9</v>
      </c>
      <c r="M1265" t="str">
        <f>IF(COUNTIF($A:$A,E1265)=0,"Not Exists","Exists")</f>
        <v>Not Exists</v>
      </c>
      <c r="N1265" t="str">
        <f t="shared" si="61"/>
        <v>Not Exists</v>
      </c>
      <c r="O1265" t="str">
        <f t="shared" si="62"/>
        <v>Exists</v>
      </c>
      <c r="P1265" t="str">
        <f t="shared" si="63"/>
        <v>Exists</v>
      </c>
    </row>
    <row r="1266" spans="1:16">
      <c r="A1266" s="50" t="s">
        <v>1351</v>
      </c>
      <c r="B1266" s="50" t="s">
        <v>1386</v>
      </c>
      <c r="C1266" s="50" t="s">
        <v>256</v>
      </c>
      <c r="D1266" s="50">
        <v>50</v>
      </c>
      <c r="E1266" s="50" t="s">
        <v>928</v>
      </c>
      <c r="F1266" s="50" t="s">
        <v>1387</v>
      </c>
      <c r="G1266" s="50" t="s">
        <v>256</v>
      </c>
      <c r="H1266" s="50">
        <v>200</v>
      </c>
      <c r="M1266" t="str">
        <f>IF(COUNTIF($A:$A,E1266)=0,"Not Exists","Exists")</f>
        <v>Not Exists</v>
      </c>
      <c r="N1266" t="str">
        <f t="shared" si="61"/>
        <v>Not Exists</v>
      </c>
      <c r="O1266" t="str">
        <f t="shared" si="62"/>
        <v>Exists</v>
      </c>
      <c r="P1266" t="str">
        <f t="shared" si="63"/>
        <v>Exists</v>
      </c>
    </row>
    <row r="1267" spans="1:16">
      <c r="A1267" s="50" t="s">
        <v>1388</v>
      </c>
      <c r="B1267" s="50" t="s">
        <v>1389</v>
      </c>
      <c r="C1267" s="50" t="s">
        <v>256</v>
      </c>
      <c r="D1267" s="50">
        <v>50</v>
      </c>
      <c r="E1267" s="50" t="s">
        <v>928</v>
      </c>
      <c r="F1267" s="50" t="s">
        <v>1390</v>
      </c>
      <c r="G1267" s="50" t="s">
        <v>254</v>
      </c>
      <c r="H1267" s="50">
        <v>22</v>
      </c>
      <c r="M1267" t="str">
        <f>IF(COUNTIF($A:$A,E1267)=0,"Not Exists","Exists")</f>
        <v>Not Exists</v>
      </c>
      <c r="N1267" t="str">
        <f t="shared" si="61"/>
        <v>Not Exists</v>
      </c>
      <c r="O1267" t="str">
        <f t="shared" si="62"/>
        <v>Exists</v>
      </c>
      <c r="P1267" t="str">
        <f t="shared" si="63"/>
        <v>Exists</v>
      </c>
    </row>
    <row r="1268" spans="1:16">
      <c r="A1268" s="50" t="s">
        <v>1388</v>
      </c>
      <c r="B1268" s="50" t="s">
        <v>1391</v>
      </c>
      <c r="C1268" s="50" t="s">
        <v>256</v>
      </c>
      <c r="D1268" s="50">
        <v>50</v>
      </c>
      <c r="E1268" s="50" t="s">
        <v>1392</v>
      </c>
      <c r="F1268" s="50" t="s">
        <v>781</v>
      </c>
      <c r="G1268" s="50" t="s">
        <v>256</v>
      </c>
      <c r="H1268" s="50">
        <v>8</v>
      </c>
      <c r="M1268" t="str">
        <f>IF(COUNTIF($A:$A,E1268)=0,"Not Exists","Exists")</f>
        <v>Not Exists</v>
      </c>
      <c r="N1268" t="str">
        <f t="shared" si="61"/>
        <v>Exists</v>
      </c>
      <c r="O1268" t="str">
        <f t="shared" si="62"/>
        <v>Exists</v>
      </c>
      <c r="P1268" t="str">
        <f t="shared" si="63"/>
        <v>Not Exists</v>
      </c>
    </row>
    <row r="1269" spans="1:16">
      <c r="A1269" s="50" t="s">
        <v>1388</v>
      </c>
      <c r="B1269" s="50" t="s">
        <v>1393</v>
      </c>
      <c r="C1269" s="50" t="s">
        <v>251</v>
      </c>
      <c r="D1269" s="50">
        <v>17</v>
      </c>
      <c r="E1269" s="50" t="s">
        <v>1392</v>
      </c>
      <c r="F1269" s="50" t="s">
        <v>780</v>
      </c>
      <c r="G1269" s="50" t="s">
        <v>256</v>
      </c>
      <c r="H1269" s="50">
        <v>20</v>
      </c>
      <c r="M1269" t="str">
        <f>IF(COUNTIF($A:$A,E1269)=0,"Not Exists","Exists")</f>
        <v>Not Exists</v>
      </c>
      <c r="N1269" t="str">
        <f t="shared" si="61"/>
        <v>Exists</v>
      </c>
      <c r="O1269" t="str">
        <f t="shared" si="62"/>
        <v>Exists</v>
      </c>
      <c r="P1269" t="str">
        <f t="shared" si="63"/>
        <v>Exists</v>
      </c>
    </row>
    <row r="1270" spans="1:16">
      <c r="A1270" s="50" t="s">
        <v>1388</v>
      </c>
      <c r="B1270" s="50" t="s">
        <v>1394</v>
      </c>
      <c r="C1270" s="50" t="s">
        <v>256</v>
      </c>
      <c r="D1270" s="50">
        <v>50</v>
      </c>
      <c r="E1270" s="50" t="s">
        <v>1392</v>
      </c>
      <c r="F1270" s="50" t="s">
        <v>1395</v>
      </c>
      <c r="G1270" s="50" t="s">
        <v>256</v>
      </c>
      <c r="H1270" s="50">
        <v>1</v>
      </c>
      <c r="M1270" t="str">
        <f>IF(COUNTIF($A:$A,E1270)=0,"Not Exists","Exists")</f>
        <v>Not Exists</v>
      </c>
      <c r="N1270" t="str">
        <f t="shared" si="61"/>
        <v>Not Exists</v>
      </c>
      <c r="O1270" t="str">
        <f t="shared" si="62"/>
        <v>Exists</v>
      </c>
      <c r="P1270" t="str">
        <f t="shared" si="63"/>
        <v>Exists</v>
      </c>
    </row>
    <row r="1271" spans="1:16">
      <c r="A1271" s="50" t="s">
        <v>1388</v>
      </c>
      <c r="B1271" s="50" t="s">
        <v>1396</v>
      </c>
      <c r="C1271" s="50" t="s">
        <v>251</v>
      </c>
      <c r="D1271" s="50">
        <v>17</v>
      </c>
      <c r="E1271" s="50" t="s">
        <v>1392</v>
      </c>
      <c r="F1271" s="50" t="s">
        <v>1397</v>
      </c>
      <c r="G1271" s="50" t="s">
        <v>256</v>
      </c>
      <c r="H1271" s="50">
        <v>2</v>
      </c>
      <c r="M1271" t="str">
        <f>IF(COUNTIF($A:$A,E1271)=0,"Not Exists","Exists")</f>
        <v>Not Exists</v>
      </c>
      <c r="N1271" t="str">
        <f t="shared" si="61"/>
        <v>Not Exists</v>
      </c>
      <c r="O1271" t="str">
        <f t="shared" si="62"/>
        <v>Exists</v>
      </c>
      <c r="P1271" t="str">
        <f t="shared" si="63"/>
        <v>Exists</v>
      </c>
    </row>
    <row r="1272" spans="1:16">
      <c r="A1272" s="50" t="s">
        <v>1388</v>
      </c>
      <c r="B1272" s="50" t="s">
        <v>1398</v>
      </c>
      <c r="C1272" s="50" t="s">
        <v>256</v>
      </c>
      <c r="D1272" s="50">
        <v>50</v>
      </c>
      <c r="E1272" s="50" t="s">
        <v>1392</v>
      </c>
      <c r="F1272" s="50" t="s">
        <v>796</v>
      </c>
      <c r="G1272" s="50" t="s">
        <v>254</v>
      </c>
      <c r="H1272" s="50">
        <v>22</v>
      </c>
      <c r="M1272" t="str">
        <f>IF(COUNTIF($A:$A,E1272)=0,"Not Exists","Exists")</f>
        <v>Not Exists</v>
      </c>
      <c r="N1272" t="str">
        <f t="shared" si="61"/>
        <v>Exists</v>
      </c>
      <c r="O1272" t="str">
        <f t="shared" si="62"/>
        <v>Exists</v>
      </c>
      <c r="P1272" t="str">
        <f t="shared" si="63"/>
        <v>Exists</v>
      </c>
    </row>
    <row r="1273" spans="1:16">
      <c r="A1273" s="50" t="s">
        <v>1388</v>
      </c>
      <c r="B1273" s="50" t="s">
        <v>1399</v>
      </c>
      <c r="C1273" s="50" t="s">
        <v>254</v>
      </c>
      <c r="D1273" s="50">
        <v>22</v>
      </c>
      <c r="E1273" s="50" t="s">
        <v>1392</v>
      </c>
      <c r="F1273" s="50" t="s">
        <v>424</v>
      </c>
      <c r="G1273" s="50" t="s">
        <v>256</v>
      </c>
      <c r="H1273" s="50">
        <v>60</v>
      </c>
      <c r="M1273" t="str">
        <f>IF(COUNTIF($A:$A,E1273)=0,"Not Exists","Exists")</f>
        <v>Not Exists</v>
      </c>
      <c r="N1273" t="str">
        <f t="shared" si="61"/>
        <v>Exists</v>
      </c>
      <c r="O1273" t="str">
        <f t="shared" si="62"/>
        <v>Exists</v>
      </c>
      <c r="P1273" t="str">
        <f t="shared" si="63"/>
        <v>Exists</v>
      </c>
    </row>
    <row r="1274" spans="1:16">
      <c r="A1274" s="50" t="s">
        <v>1388</v>
      </c>
      <c r="B1274" s="50" t="s">
        <v>1400</v>
      </c>
      <c r="C1274" s="50" t="s">
        <v>427</v>
      </c>
      <c r="D1274" s="50">
        <v>4000</v>
      </c>
      <c r="E1274" s="50" t="s">
        <v>1392</v>
      </c>
      <c r="F1274" s="50" t="s">
        <v>1401</v>
      </c>
      <c r="G1274" s="50" t="s">
        <v>256</v>
      </c>
      <c r="H1274" s="50">
        <v>3</v>
      </c>
      <c r="M1274" t="str">
        <f>IF(COUNTIF($A:$A,E1274)=0,"Not Exists","Exists")</f>
        <v>Not Exists</v>
      </c>
      <c r="N1274" t="str">
        <f t="shared" si="61"/>
        <v>Not Exists</v>
      </c>
      <c r="O1274" t="str">
        <f t="shared" si="62"/>
        <v>Exists</v>
      </c>
      <c r="P1274" t="str">
        <f t="shared" si="63"/>
        <v>Exists</v>
      </c>
    </row>
    <row r="1275" spans="1:16">
      <c r="A1275" s="50" t="s">
        <v>1388</v>
      </c>
      <c r="B1275" s="50" t="s">
        <v>1402</v>
      </c>
      <c r="C1275" s="50" t="s">
        <v>256</v>
      </c>
      <c r="D1275" s="50">
        <v>50</v>
      </c>
      <c r="E1275" s="50" t="s">
        <v>1392</v>
      </c>
      <c r="F1275" s="50" t="s">
        <v>430</v>
      </c>
      <c r="G1275" s="50" t="s">
        <v>256</v>
      </c>
      <c r="H1275" s="50">
        <v>50</v>
      </c>
      <c r="M1275" t="str">
        <f>IF(COUNTIF($A:$A,E1275)=0,"Not Exists","Exists")</f>
        <v>Not Exists</v>
      </c>
      <c r="N1275" t="str">
        <f t="shared" si="61"/>
        <v>Exists</v>
      </c>
      <c r="O1275" t="str">
        <f t="shared" si="62"/>
        <v>Exists</v>
      </c>
      <c r="P1275" t="str">
        <f t="shared" si="63"/>
        <v>Exists</v>
      </c>
    </row>
    <row r="1276" spans="1:16">
      <c r="A1276" s="50" t="s">
        <v>1403</v>
      </c>
      <c r="B1276" s="50" t="s">
        <v>1404</v>
      </c>
      <c r="C1276" s="50" t="s">
        <v>256</v>
      </c>
      <c r="D1276" s="50">
        <v>50</v>
      </c>
      <c r="E1276" s="50" t="s">
        <v>1392</v>
      </c>
      <c r="F1276" s="50" t="s">
        <v>1405</v>
      </c>
      <c r="G1276" s="50" t="s">
        <v>256</v>
      </c>
      <c r="H1276" s="50">
        <v>9</v>
      </c>
      <c r="M1276" t="str">
        <f>IF(COUNTIF($A:$A,E1276)=0,"Not Exists","Exists")</f>
        <v>Not Exists</v>
      </c>
      <c r="N1276" t="str">
        <f t="shared" si="61"/>
        <v>Not Exists</v>
      </c>
      <c r="O1276" t="str">
        <f t="shared" si="62"/>
        <v>Exists</v>
      </c>
      <c r="P1276" t="str">
        <f t="shared" si="63"/>
        <v>Exists</v>
      </c>
    </row>
    <row r="1277" spans="1:16">
      <c r="A1277" s="50" t="s">
        <v>1403</v>
      </c>
      <c r="B1277" s="50" t="s">
        <v>1406</v>
      </c>
      <c r="C1277" s="50" t="s">
        <v>256</v>
      </c>
      <c r="D1277" s="50">
        <v>50</v>
      </c>
      <c r="E1277" s="50" t="s">
        <v>1392</v>
      </c>
      <c r="F1277" s="50" t="s">
        <v>704</v>
      </c>
      <c r="G1277" s="50" t="s">
        <v>256</v>
      </c>
      <c r="H1277" s="50">
        <v>9</v>
      </c>
      <c r="M1277" t="str">
        <f>IF(COUNTIF($A:$A,E1277)=0,"Not Exists","Exists")</f>
        <v>Not Exists</v>
      </c>
      <c r="N1277" t="str">
        <f t="shared" ref="N1277:N1340" si="64">IF(COUNTIF($A:$B,F1277)=0,"Not Exists","Exists")</f>
        <v>Not Exists</v>
      </c>
      <c r="O1277" t="str">
        <f t="shared" si="62"/>
        <v>Exists</v>
      </c>
      <c r="P1277" t="str">
        <f t="shared" si="63"/>
        <v>Not Exists</v>
      </c>
    </row>
    <row r="1278" spans="1:16">
      <c r="A1278" s="50" t="s">
        <v>1403</v>
      </c>
      <c r="B1278" s="50" t="s">
        <v>1407</v>
      </c>
      <c r="C1278" s="50" t="s">
        <v>251</v>
      </c>
      <c r="D1278" s="50">
        <v>17</v>
      </c>
      <c r="E1278" s="50" t="s">
        <v>1392</v>
      </c>
      <c r="F1278" s="50" t="s">
        <v>1408</v>
      </c>
      <c r="G1278" s="50" t="s">
        <v>256</v>
      </c>
      <c r="H1278" s="50">
        <v>17</v>
      </c>
      <c r="M1278" t="str">
        <f>IF(COUNTIF($A:$A,E1278)=0,"Not Exists","Exists")</f>
        <v>Not Exists</v>
      </c>
      <c r="N1278" t="str">
        <f t="shared" si="64"/>
        <v>Not Exists</v>
      </c>
      <c r="O1278" t="str">
        <f t="shared" si="62"/>
        <v>Exists</v>
      </c>
      <c r="P1278" t="str">
        <f t="shared" si="63"/>
        <v>Exists</v>
      </c>
    </row>
    <row r="1279" spans="1:16">
      <c r="A1279" s="50" t="s">
        <v>1403</v>
      </c>
      <c r="B1279" s="50" t="s">
        <v>1409</v>
      </c>
      <c r="C1279" s="50" t="s">
        <v>256</v>
      </c>
      <c r="D1279" s="50">
        <v>50</v>
      </c>
      <c r="E1279" s="50" t="s">
        <v>1392</v>
      </c>
      <c r="F1279" s="50" t="s">
        <v>1410</v>
      </c>
      <c r="G1279" s="50" t="s">
        <v>256</v>
      </c>
      <c r="H1279" s="50">
        <v>4000</v>
      </c>
      <c r="M1279" t="str">
        <f>IF(COUNTIF($A:$A,E1279)=0,"Not Exists","Exists")</f>
        <v>Not Exists</v>
      </c>
      <c r="N1279" t="str">
        <f t="shared" si="64"/>
        <v>Not Exists</v>
      </c>
      <c r="O1279" t="str">
        <f t="shared" si="62"/>
        <v>Exists</v>
      </c>
      <c r="P1279" t="str">
        <f t="shared" si="63"/>
        <v>Exists</v>
      </c>
    </row>
    <row r="1280" spans="1:16">
      <c r="A1280" s="50" t="s">
        <v>1403</v>
      </c>
      <c r="B1280" s="50" t="s">
        <v>1411</v>
      </c>
      <c r="C1280" s="50" t="s">
        <v>251</v>
      </c>
      <c r="D1280" s="50">
        <v>17</v>
      </c>
      <c r="E1280" s="50" t="s">
        <v>1392</v>
      </c>
      <c r="F1280" s="50" t="s">
        <v>1412</v>
      </c>
      <c r="G1280" s="50" t="s">
        <v>256</v>
      </c>
      <c r="H1280" s="50">
        <v>4000</v>
      </c>
      <c r="M1280" t="str">
        <f>IF(COUNTIF($A:$A,E1280)=0,"Not Exists","Exists")</f>
        <v>Not Exists</v>
      </c>
      <c r="N1280" t="str">
        <f t="shared" si="64"/>
        <v>Not Exists</v>
      </c>
      <c r="O1280" t="str">
        <f t="shared" si="62"/>
        <v>Exists</v>
      </c>
      <c r="P1280" t="str">
        <f t="shared" si="63"/>
        <v>Exists</v>
      </c>
    </row>
    <row r="1281" spans="1:16">
      <c r="A1281" s="50" t="s">
        <v>1403</v>
      </c>
      <c r="B1281" s="50" t="s">
        <v>1413</v>
      </c>
      <c r="C1281" s="50" t="s">
        <v>256</v>
      </c>
      <c r="D1281" s="50">
        <v>50</v>
      </c>
      <c r="E1281" s="50" t="s">
        <v>1392</v>
      </c>
      <c r="F1281" s="50" t="s">
        <v>1414</v>
      </c>
      <c r="G1281" s="50" t="s">
        <v>256</v>
      </c>
      <c r="H1281" s="50">
        <v>4000</v>
      </c>
      <c r="M1281" t="str">
        <f>IF(COUNTIF($A:$A,E1281)=0,"Not Exists","Exists")</f>
        <v>Not Exists</v>
      </c>
      <c r="N1281" t="str">
        <f t="shared" si="64"/>
        <v>Not Exists</v>
      </c>
      <c r="O1281" t="str">
        <f t="shared" si="62"/>
        <v>Exists</v>
      </c>
      <c r="P1281" t="str">
        <f t="shared" si="63"/>
        <v>Exists</v>
      </c>
    </row>
    <row r="1282" spans="1:16">
      <c r="A1282" s="50" t="s">
        <v>1403</v>
      </c>
      <c r="B1282" s="50" t="s">
        <v>1415</v>
      </c>
      <c r="C1282" s="50" t="s">
        <v>256</v>
      </c>
      <c r="D1282" s="50">
        <v>50</v>
      </c>
      <c r="E1282" s="50" t="s">
        <v>1416</v>
      </c>
      <c r="F1282" s="50" t="s">
        <v>781</v>
      </c>
      <c r="G1282" s="50" t="s">
        <v>256</v>
      </c>
      <c r="H1282" s="50">
        <v>8</v>
      </c>
      <c r="M1282" t="str">
        <f>IF(COUNTIF($A:$A,E1282)=0,"Not Exists","Exists")</f>
        <v>Not Exists</v>
      </c>
      <c r="N1282" t="str">
        <f t="shared" si="64"/>
        <v>Exists</v>
      </c>
      <c r="O1282" t="str">
        <f t="shared" si="62"/>
        <v>Exists</v>
      </c>
      <c r="P1282" t="str">
        <f t="shared" si="63"/>
        <v>Exists</v>
      </c>
    </row>
    <row r="1283" spans="1:16">
      <c r="A1283" s="50" t="s">
        <v>1403</v>
      </c>
      <c r="B1283" s="50" t="s">
        <v>1417</v>
      </c>
      <c r="C1283" s="50" t="s">
        <v>251</v>
      </c>
      <c r="D1283" s="50">
        <v>41</v>
      </c>
      <c r="E1283" s="50" t="s">
        <v>1416</v>
      </c>
      <c r="F1283" s="50" t="s">
        <v>780</v>
      </c>
      <c r="G1283" s="50" t="s">
        <v>256</v>
      </c>
      <c r="H1283" s="50">
        <v>20</v>
      </c>
      <c r="M1283" t="str">
        <f>IF(COUNTIF($A:$A,E1283)=0,"Not Exists","Exists")</f>
        <v>Not Exists</v>
      </c>
      <c r="N1283" t="str">
        <f t="shared" si="64"/>
        <v>Exists</v>
      </c>
      <c r="O1283" t="str">
        <f t="shared" si="62"/>
        <v>Exists</v>
      </c>
      <c r="P1283" t="str">
        <f t="shared" si="63"/>
        <v>Exists</v>
      </c>
    </row>
    <row r="1284" spans="1:16">
      <c r="A1284" s="50" t="s">
        <v>1403</v>
      </c>
      <c r="B1284" s="50" t="s">
        <v>1418</v>
      </c>
      <c r="C1284" s="50" t="s">
        <v>256</v>
      </c>
      <c r="D1284" s="50">
        <v>50</v>
      </c>
      <c r="E1284" s="50" t="s">
        <v>1416</v>
      </c>
      <c r="F1284" s="50" t="s">
        <v>1395</v>
      </c>
      <c r="G1284" s="50" t="s">
        <v>256</v>
      </c>
      <c r="H1284" s="50">
        <v>1</v>
      </c>
      <c r="M1284" t="str">
        <f>IF(COUNTIF($A:$A,E1284)=0,"Not Exists","Exists")</f>
        <v>Not Exists</v>
      </c>
      <c r="N1284" t="str">
        <f t="shared" si="64"/>
        <v>Not Exists</v>
      </c>
      <c r="O1284" t="str">
        <f t="shared" ref="O1284:O1347" si="65">IF(COUNTIF($E:$E,A1284)=0,"Not Exists","Exists")</f>
        <v>Exists</v>
      </c>
      <c r="P1284" t="str">
        <f t="shared" ref="P1284:P1347" si="66">IF(COUNTIF($F:$F,B1284)=0,"Not Exists","Exists")</f>
        <v>Exists</v>
      </c>
    </row>
    <row r="1285" spans="1:16">
      <c r="A1285" s="50" t="s">
        <v>1419</v>
      </c>
      <c r="B1285" s="50" t="s">
        <v>1420</v>
      </c>
      <c r="C1285" s="50" t="s">
        <v>256</v>
      </c>
      <c r="D1285" s="50">
        <v>50</v>
      </c>
      <c r="E1285" s="50" t="s">
        <v>1416</v>
      </c>
      <c r="F1285" s="50" t="s">
        <v>1397</v>
      </c>
      <c r="G1285" s="50" t="s">
        <v>256</v>
      </c>
      <c r="H1285" s="50">
        <v>2</v>
      </c>
      <c r="M1285" t="str">
        <f>IF(COUNTIF($A:$A,E1285)=0,"Not Exists","Exists")</f>
        <v>Not Exists</v>
      </c>
      <c r="N1285" t="str">
        <f t="shared" si="64"/>
        <v>Not Exists</v>
      </c>
      <c r="O1285" t="str">
        <f t="shared" si="65"/>
        <v>Exists</v>
      </c>
      <c r="P1285" t="str">
        <f t="shared" si="66"/>
        <v>Exists</v>
      </c>
    </row>
    <row r="1286" spans="1:16">
      <c r="A1286" s="50" t="s">
        <v>1419</v>
      </c>
      <c r="B1286" s="50" t="s">
        <v>1421</v>
      </c>
      <c r="C1286" s="50" t="s">
        <v>256</v>
      </c>
      <c r="D1286" s="50">
        <v>50</v>
      </c>
      <c r="E1286" s="50" t="s">
        <v>1416</v>
      </c>
      <c r="F1286" s="50" t="s">
        <v>796</v>
      </c>
      <c r="G1286" s="50" t="s">
        <v>254</v>
      </c>
      <c r="H1286" s="50">
        <v>22</v>
      </c>
      <c r="M1286" t="str">
        <f>IF(COUNTIF($A:$A,E1286)=0,"Not Exists","Exists")</f>
        <v>Not Exists</v>
      </c>
      <c r="N1286" t="str">
        <f t="shared" si="64"/>
        <v>Exists</v>
      </c>
      <c r="O1286" t="str">
        <f t="shared" si="65"/>
        <v>Exists</v>
      </c>
      <c r="P1286" t="str">
        <f t="shared" si="66"/>
        <v>Not Exists</v>
      </c>
    </row>
    <row r="1287" spans="1:16">
      <c r="A1287" s="50" t="s">
        <v>1419</v>
      </c>
      <c r="B1287" s="50" t="s">
        <v>1422</v>
      </c>
      <c r="C1287" s="50" t="s">
        <v>256</v>
      </c>
      <c r="D1287" s="50">
        <v>50</v>
      </c>
      <c r="E1287" s="50" t="s">
        <v>1416</v>
      </c>
      <c r="F1287" s="50" t="s">
        <v>424</v>
      </c>
      <c r="G1287" s="50" t="s">
        <v>256</v>
      </c>
      <c r="H1287" s="50">
        <v>60</v>
      </c>
      <c r="M1287" t="str">
        <f>IF(COUNTIF($A:$A,E1287)=0,"Not Exists","Exists")</f>
        <v>Not Exists</v>
      </c>
      <c r="N1287" t="str">
        <f t="shared" si="64"/>
        <v>Exists</v>
      </c>
      <c r="O1287" t="str">
        <f t="shared" si="65"/>
        <v>Exists</v>
      </c>
      <c r="P1287" t="str">
        <f t="shared" si="66"/>
        <v>Exists</v>
      </c>
    </row>
    <row r="1288" spans="1:16">
      <c r="A1288" s="50" t="s">
        <v>1419</v>
      </c>
      <c r="B1288" s="50" t="s">
        <v>1423</v>
      </c>
      <c r="C1288" s="50" t="s">
        <v>251</v>
      </c>
      <c r="D1288" s="50">
        <v>17</v>
      </c>
      <c r="E1288" s="50" t="s">
        <v>1416</v>
      </c>
      <c r="F1288" s="50" t="s">
        <v>1401</v>
      </c>
      <c r="G1288" s="50" t="s">
        <v>256</v>
      </c>
      <c r="H1288" s="50">
        <v>3</v>
      </c>
      <c r="M1288" t="str">
        <f>IF(COUNTIF($A:$A,E1288)=0,"Not Exists","Exists")</f>
        <v>Not Exists</v>
      </c>
      <c r="N1288" t="str">
        <f t="shared" si="64"/>
        <v>Not Exists</v>
      </c>
      <c r="O1288" t="str">
        <f t="shared" si="65"/>
        <v>Exists</v>
      </c>
      <c r="P1288" t="str">
        <f t="shared" si="66"/>
        <v>Exists</v>
      </c>
    </row>
    <row r="1289" spans="1:16">
      <c r="A1289" s="50" t="s">
        <v>1419</v>
      </c>
      <c r="B1289" s="50" t="s">
        <v>1424</v>
      </c>
      <c r="C1289" s="50" t="s">
        <v>256</v>
      </c>
      <c r="D1289" s="50">
        <v>50</v>
      </c>
      <c r="E1289" s="50" t="s">
        <v>1416</v>
      </c>
      <c r="F1289" s="50" t="s">
        <v>430</v>
      </c>
      <c r="G1289" s="50" t="s">
        <v>256</v>
      </c>
      <c r="H1289" s="50">
        <v>50</v>
      </c>
      <c r="M1289" t="str">
        <f>IF(COUNTIF($A:$A,E1289)=0,"Not Exists","Exists")</f>
        <v>Not Exists</v>
      </c>
      <c r="N1289" t="str">
        <f t="shared" si="64"/>
        <v>Exists</v>
      </c>
      <c r="O1289" t="str">
        <f t="shared" si="65"/>
        <v>Exists</v>
      </c>
      <c r="P1289" t="str">
        <f t="shared" si="66"/>
        <v>Exists</v>
      </c>
    </row>
    <row r="1290" spans="1:16">
      <c r="A1290" s="50" t="s">
        <v>1419</v>
      </c>
      <c r="B1290" s="50" t="s">
        <v>1425</v>
      </c>
      <c r="C1290" s="50" t="s">
        <v>251</v>
      </c>
      <c r="D1290" s="50">
        <v>17</v>
      </c>
      <c r="E1290" s="50" t="s">
        <v>1416</v>
      </c>
      <c r="F1290" s="50" t="s">
        <v>1405</v>
      </c>
      <c r="G1290" s="50" t="s">
        <v>256</v>
      </c>
      <c r="H1290" s="50">
        <v>9</v>
      </c>
      <c r="M1290" t="str">
        <f>IF(COUNTIF($A:$A,E1290)=0,"Not Exists","Exists")</f>
        <v>Not Exists</v>
      </c>
      <c r="N1290" t="str">
        <f t="shared" si="64"/>
        <v>Not Exists</v>
      </c>
      <c r="O1290" t="str">
        <f t="shared" si="65"/>
        <v>Exists</v>
      </c>
      <c r="P1290" t="str">
        <f t="shared" si="66"/>
        <v>Exists</v>
      </c>
    </row>
    <row r="1291" spans="1:16">
      <c r="A1291" s="50" t="s">
        <v>1419</v>
      </c>
      <c r="B1291" s="50" t="s">
        <v>1426</v>
      </c>
      <c r="C1291" s="50" t="s">
        <v>256</v>
      </c>
      <c r="D1291" s="50">
        <v>50</v>
      </c>
      <c r="E1291" s="50" t="s">
        <v>1416</v>
      </c>
      <c r="F1291" s="50" t="s">
        <v>704</v>
      </c>
      <c r="G1291" s="50" t="s">
        <v>256</v>
      </c>
      <c r="H1291" s="50">
        <v>9</v>
      </c>
      <c r="M1291" t="str">
        <f>IF(COUNTIF($A:$A,E1291)=0,"Not Exists","Exists")</f>
        <v>Not Exists</v>
      </c>
      <c r="N1291" t="str">
        <f t="shared" si="64"/>
        <v>Not Exists</v>
      </c>
      <c r="O1291" t="str">
        <f t="shared" si="65"/>
        <v>Exists</v>
      </c>
      <c r="P1291" t="str">
        <f t="shared" si="66"/>
        <v>Exists</v>
      </c>
    </row>
    <row r="1292" spans="1:16">
      <c r="A1292" s="50" t="s">
        <v>1419</v>
      </c>
      <c r="B1292" s="50" t="s">
        <v>1427</v>
      </c>
      <c r="C1292" s="50" t="s">
        <v>256</v>
      </c>
      <c r="D1292" s="50">
        <v>3000</v>
      </c>
      <c r="E1292" s="50" t="s">
        <v>1416</v>
      </c>
      <c r="F1292" s="50" t="s">
        <v>1408</v>
      </c>
      <c r="G1292" s="50" t="s">
        <v>256</v>
      </c>
      <c r="H1292" s="50">
        <v>17</v>
      </c>
      <c r="M1292" t="str">
        <f>IF(COUNTIF($A:$A,E1292)=0,"Not Exists","Exists")</f>
        <v>Not Exists</v>
      </c>
      <c r="N1292" t="str">
        <f t="shared" si="64"/>
        <v>Not Exists</v>
      </c>
      <c r="O1292" t="str">
        <f t="shared" si="65"/>
        <v>Exists</v>
      </c>
      <c r="P1292" t="str">
        <f t="shared" si="66"/>
        <v>Exists</v>
      </c>
    </row>
    <row r="1293" spans="1:16">
      <c r="A1293" s="50" t="s">
        <v>1428</v>
      </c>
      <c r="B1293" s="50" t="s">
        <v>1429</v>
      </c>
      <c r="C1293" s="50" t="s">
        <v>256</v>
      </c>
      <c r="D1293" s="50">
        <v>50</v>
      </c>
      <c r="E1293" s="50" t="s">
        <v>1416</v>
      </c>
      <c r="F1293" s="50" t="s">
        <v>1410</v>
      </c>
      <c r="G1293" s="50" t="s">
        <v>256</v>
      </c>
      <c r="H1293" s="50">
        <v>4000</v>
      </c>
      <c r="M1293" t="str">
        <f>IF(COUNTIF($A:$A,E1293)=0,"Not Exists","Exists")</f>
        <v>Not Exists</v>
      </c>
      <c r="N1293" t="str">
        <f t="shared" si="64"/>
        <v>Not Exists</v>
      </c>
      <c r="O1293" t="str">
        <f t="shared" si="65"/>
        <v>Exists</v>
      </c>
      <c r="P1293" t="str">
        <f t="shared" si="66"/>
        <v>Exists</v>
      </c>
    </row>
    <row r="1294" spans="1:16">
      <c r="A1294" s="50" t="s">
        <v>1428</v>
      </c>
      <c r="B1294" s="50" t="s">
        <v>1430</v>
      </c>
      <c r="C1294" s="50" t="s">
        <v>256</v>
      </c>
      <c r="D1294" s="50">
        <v>50</v>
      </c>
      <c r="E1294" s="50" t="s">
        <v>1416</v>
      </c>
      <c r="F1294" s="50" t="s">
        <v>1412</v>
      </c>
      <c r="G1294" s="50" t="s">
        <v>256</v>
      </c>
      <c r="H1294" s="50">
        <v>4000</v>
      </c>
      <c r="M1294" t="str">
        <f>IF(COUNTIF($A:$A,E1294)=0,"Not Exists","Exists")</f>
        <v>Not Exists</v>
      </c>
      <c r="N1294" t="str">
        <f t="shared" si="64"/>
        <v>Not Exists</v>
      </c>
      <c r="O1294" t="str">
        <f t="shared" si="65"/>
        <v>Exists</v>
      </c>
      <c r="P1294" t="str">
        <f t="shared" si="66"/>
        <v>Not Exists</v>
      </c>
    </row>
    <row r="1295" spans="1:16">
      <c r="A1295" s="50" t="s">
        <v>1428</v>
      </c>
      <c r="B1295" s="50" t="s">
        <v>1431</v>
      </c>
      <c r="C1295" s="50" t="s">
        <v>251</v>
      </c>
      <c r="D1295" s="50">
        <v>17</v>
      </c>
      <c r="E1295" s="50" t="s">
        <v>1416</v>
      </c>
      <c r="F1295" s="50" t="s">
        <v>1414</v>
      </c>
      <c r="G1295" s="50" t="s">
        <v>256</v>
      </c>
      <c r="H1295" s="50">
        <v>4000</v>
      </c>
      <c r="M1295" t="str">
        <f>IF(COUNTIF($A:$A,E1295)=0,"Not Exists","Exists")</f>
        <v>Not Exists</v>
      </c>
      <c r="N1295" t="str">
        <f t="shared" si="64"/>
        <v>Not Exists</v>
      </c>
      <c r="O1295" t="str">
        <f t="shared" si="65"/>
        <v>Exists</v>
      </c>
      <c r="P1295" t="str">
        <f t="shared" si="66"/>
        <v>Exists</v>
      </c>
    </row>
    <row r="1296" spans="1:16">
      <c r="A1296" s="50" t="s">
        <v>1428</v>
      </c>
      <c r="B1296" s="50" t="s">
        <v>1432</v>
      </c>
      <c r="C1296" s="50" t="s">
        <v>256</v>
      </c>
      <c r="D1296" s="50">
        <v>50</v>
      </c>
      <c r="E1296" s="50" t="s">
        <v>1433</v>
      </c>
      <c r="F1296" s="50" t="s">
        <v>781</v>
      </c>
      <c r="G1296" s="50" t="s">
        <v>256</v>
      </c>
      <c r="H1296" s="50">
        <v>8</v>
      </c>
      <c r="M1296" t="str">
        <f>IF(COUNTIF($A:$A,E1296)=0,"Not Exists","Exists")</f>
        <v>Not Exists</v>
      </c>
      <c r="N1296" t="str">
        <f t="shared" si="64"/>
        <v>Exists</v>
      </c>
      <c r="O1296" t="str">
        <f t="shared" si="65"/>
        <v>Exists</v>
      </c>
      <c r="P1296" t="str">
        <f t="shared" si="66"/>
        <v>Exists</v>
      </c>
    </row>
    <row r="1297" spans="1:16">
      <c r="A1297" s="50" t="s">
        <v>1428</v>
      </c>
      <c r="B1297" s="50" t="s">
        <v>1434</v>
      </c>
      <c r="C1297" s="50" t="s">
        <v>251</v>
      </c>
      <c r="D1297" s="50">
        <v>17</v>
      </c>
      <c r="E1297" s="50" t="s">
        <v>1433</v>
      </c>
      <c r="F1297" s="50" t="s">
        <v>780</v>
      </c>
      <c r="G1297" s="50" t="s">
        <v>256</v>
      </c>
      <c r="H1297" s="50">
        <v>20</v>
      </c>
      <c r="M1297" t="str">
        <f>IF(COUNTIF($A:$A,E1297)=0,"Not Exists","Exists")</f>
        <v>Not Exists</v>
      </c>
      <c r="N1297" t="str">
        <f t="shared" si="64"/>
        <v>Exists</v>
      </c>
      <c r="O1297" t="str">
        <f t="shared" si="65"/>
        <v>Exists</v>
      </c>
      <c r="P1297" t="str">
        <f t="shared" si="66"/>
        <v>Exists</v>
      </c>
    </row>
    <row r="1298" spans="1:16">
      <c r="A1298" s="50" t="s">
        <v>1428</v>
      </c>
      <c r="B1298" s="50" t="s">
        <v>1435</v>
      </c>
      <c r="C1298" s="50" t="s">
        <v>256</v>
      </c>
      <c r="D1298" s="50">
        <v>50</v>
      </c>
      <c r="E1298" s="50" t="s">
        <v>1433</v>
      </c>
      <c r="F1298" s="50" t="s">
        <v>1395</v>
      </c>
      <c r="G1298" s="50" t="s">
        <v>256</v>
      </c>
      <c r="H1298" s="50">
        <v>1</v>
      </c>
      <c r="M1298" t="str">
        <f>IF(COUNTIF($A:$A,E1298)=0,"Not Exists","Exists")</f>
        <v>Not Exists</v>
      </c>
      <c r="N1298" t="str">
        <f t="shared" si="64"/>
        <v>Not Exists</v>
      </c>
      <c r="O1298" t="str">
        <f t="shared" si="65"/>
        <v>Exists</v>
      </c>
      <c r="P1298" t="str">
        <f t="shared" si="66"/>
        <v>Exists</v>
      </c>
    </row>
    <row r="1299" spans="1:16">
      <c r="A1299" s="50" t="s">
        <v>1428</v>
      </c>
      <c r="B1299" s="50" t="s">
        <v>389</v>
      </c>
      <c r="C1299" s="50" t="s">
        <v>256</v>
      </c>
      <c r="D1299" s="50">
        <v>50</v>
      </c>
      <c r="E1299" s="50" t="s">
        <v>1433</v>
      </c>
      <c r="F1299" s="50" t="s">
        <v>1397</v>
      </c>
      <c r="G1299" s="50" t="s">
        <v>256</v>
      </c>
      <c r="H1299" s="50">
        <v>2</v>
      </c>
      <c r="M1299" t="str">
        <f>IF(COUNTIF($A:$A,E1299)=0,"Not Exists","Exists")</f>
        <v>Not Exists</v>
      </c>
      <c r="N1299" t="str">
        <f t="shared" si="64"/>
        <v>Not Exists</v>
      </c>
      <c r="O1299" t="str">
        <f t="shared" si="65"/>
        <v>Exists</v>
      </c>
      <c r="P1299" t="str">
        <f t="shared" si="66"/>
        <v>Exists</v>
      </c>
    </row>
    <row r="1300" spans="1:16">
      <c r="A1300" s="50" t="s">
        <v>1428</v>
      </c>
      <c r="B1300" s="50" t="s">
        <v>1436</v>
      </c>
      <c r="C1300" s="50" t="s">
        <v>256</v>
      </c>
      <c r="D1300" s="50">
        <v>450</v>
      </c>
      <c r="E1300" s="50" t="s">
        <v>1433</v>
      </c>
      <c r="F1300" s="50" t="s">
        <v>796</v>
      </c>
      <c r="G1300" s="50" t="s">
        <v>254</v>
      </c>
      <c r="H1300" s="50">
        <v>22</v>
      </c>
      <c r="M1300" t="str">
        <f>IF(COUNTIF($A:$A,E1300)=0,"Not Exists","Exists")</f>
        <v>Not Exists</v>
      </c>
      <c r="N1300" t="str">
        <f t="shared" si="64"/>
        <v>Exists</v>
      </c>
      <c r="O1300" t="str">
        <f t="shared" si="65"/>
        <v>Exists</v>
      </c>
      <c r="P1300" t="str">
        <f t="shared" si="66"/>
        <v>Exists</v>
      </c>
    </row>
    <row r="1301" spans="1:16">
      <c r="A1301" s="50" t="s">
        <v>1428</v>
      </c>
      <c r="B1301" s="50" t="s">
        <v>1437</v>
      </c>
      <c r="C1301" s="50" t="s">
        <v>251</v>
      </c>
      <c r="D1301" s="50">
        <v>1</v>
      </c>
      <c r="E1301" s="50" t="s">
        <v>1433</v>
      </c>
      <c r="F1301" s="50" t="s">
        <v>424</v>
      </c>
      <c r="G1301" s="50" t="s">
        <v>256</v>
      </c>
      <c r="H1301" s="50">
        <v>60</v>
      </c>
      <c r="M1301" t="str">
        <f>IF(COUNTIF($A:$A,E1301)=0,"Not Exists","Exists")</f>
        <v>Not Exists</v>
      </c>
      <c r="N1301" t="str">
        <f t="shared" si="64"/>
        <v>Exists</v>
      </c>
      <c r="O1301" t="str">
        <f t="shared" si="65"/>
        <v>Exists</v>
      </c>
      <c r="P1301" t="str">
        <f t="shared" si="66"/>
        <v>Exists</v>
      </c>
    </row>
    <row r="1302" spans="1:16">
      <c r="A1302" s="50" t="s">
        <v>1438</v>
      </c>
      <c r="B1302" s="50" t="s">
        <v>1439</v>
      </c>
      <c r="C1302" s="50" t="s">
        <v>256</v>
      </c>
      <c r="D1302" s="50">
        <v>50</v>
      </c>
      <c r="E1302" s="50" t="s">
        <v>1433</v>
      </c>
      <c r="F1302" s="50" t="s">
        <v>1401</v>
      </c>
      <c r="G1302" s="50" t="s">
        <v>256</v>
      </c>
      <c r="H1302" s="50">
        <v>3</v>
      </c>
      <c r="M1302" t="str">
        <f>IF(COUNTIF($A:$A,E1302)=0,"Not Exists","Exists")</f>
        <v>Not Exists</v>
      </c>
      <c r="N1302" t="str">
        <f t="shared" si="64"/>
        <v>Not Exists</v>
      </c>
      <c r="O1302" t="str">
        <f t="shared" si="65"/>
        <v>Exists</v>
      </c>
      <c r="P1302" t="str">
        <f t="shared" si="66"/>
        <v>Exists</v>
      </c>
    </row>
    <row r="1303" spans="1:16">
      <c r="A1303" s="50" t="s">
        <v>1438</v>
      </c>
      <c r="B1303" s="50" t="s">
        <v>1440</v>
      </c>
      <c r="C1303" s="50" t="s">
        <v>256</v>
      </c>
      <c r="D1303" s="50">
        <v>50</v>
      </c>
      <c r="E1303" s="50" t="s">
        <v>1433</v>
      </c>
      <c r="F1303" s="50" t="s">
        <v>430</v>
      </c>
      <c r="G1303" s="50" t="s">
        <v>256</v>
      </c>
      <c r="H1303" s="50">
        <v>50</v>
      </c>
      <c r="M1303" t="str">
        <f>IF(COUNTIF($A:$A,E1303)=0,"Not Exists","Exists")</f>
        <v>Not Exists</v>
      </c>
      <c r="N1303" t="str">
        <f t="shared" si="64"/>
        <v>Exists</v>
      </c>
      <c r="O1303" t="str">
        <f t="shared" si="65"/>
        <v>Exists</v>
      </c>
      <c r="P1303" t="str">
        <f t="shared" si="66"/>
        <v>Not Exists</v>
      </c>
    </row>
    <row r="1304" spans="1:16">
      <c r="A1304" s="50" t="s">
        <v>1438</v>
      </c>
      <c r="B1304" s="50" t="s">
        <v>1441</v>
      </c>
      <c r="C1304" s="50" t="s">
        <v>251</v>
      </c>
      <c r="D1304" s="50">
        <v>17</v>
      </c>
      <c r="E1304" s="50" t="s">
        <v>1433</v>
      </c>
      <c r="F1304" s="50" t="s">
        <v>1405</v>
      </c>
      <c r="G1304" s="50" t="s">
        <v>256</v>
      </c>
      <c r="H1304" s="50">
        <v>9</v>
      </c>
      <c r="M1304" t="str">
        <f>IF(COUNTIF($A:$A,E1304)=0,"Not Exists","Exists")</f>
        <v>Not Exists</v>
      </c>
      <c r="N1304" t="str">
        <f t="shared" si="64"/>
        <v>Not Exists</v>
      </c>
      <c r="O1304" t="str">
        <f t="shared" si="65"/>
        <v>Exists</v>
      </c>
      <c r="P1304" t="str">
        <f t="shared" si="66"/>
        <v>Exists</v>
      </c>
    </row>
    <row r="1305" spans="1:16">
      <c r="A1305" s="50" t="s">
        <v>1438</v>
      </c>
      <c r="B1305" s="50" t="s">
        <v>1442</v>
      </c>
      <c r="C1305" s="50" t="s">
        <v>256</v>
      </c>
      <c r="D1305" s="50">
        <v>50</v>
      </c>
      <c r="E1305" s="50" t="s">
        <v>1433</v>
      </c>
      <c r="F1305" s="50" t="s">
        <v>704</v>
      </c>
      <c r="G1305" s="50" t="s">
        <v>256</v>
      </c>
      <c r="H1305" s="50">
        <v>9</v>
      </c>
      <c r="M1305" t="str">
        <f>IF(COUNTIF($A:$A,E1305)=0,"Not Exists","Exists")</f>
        <v>Not Exists</v>
      </c>
      <c r="N1305" t="str">
        <f t="shared" si="64"/>
        <v>Not Exists</v>
      </c>
      <c r="O1305" t="str">
        <f t="shared" si="65"/>
        <v>Exists</v>
      </c>
      <c r="P1305" t="str">
        <f t="shared" si="66"/>
        <v>Exists</v>
      </c>
    </row>
    <row r="1306" spans="1:16">
      <c r="A1306" s="50" t="s">
        <v>1438</v>
      </c>
      <c r="B1306" s="50" t="s">
        <v>1443</v>
      </c>
      <c r="C1306" s="50" t="s">
        <v>251</v>
      </c>
      <c r="D1306" s="50">
        <v>17</v>
      </c>
      <c r="E1306" s="50" t="s">
        <v>1433</v>
      </c>
      <c r="F1306" s="50" t="s">
        <v>1408</v>
      </c>
      <c r="G1306" s="50" t="s">
        <v>256</v>
      </c>
      <c r="H1306" s="50">
        <v>17</v>
      </c>
      <c r="M1306" t="str">
        <f>IF(COUNTIF($A:$A,E1306)=0,"Not Exists","Exists")</f>
        <v>Not Exists</v>
      </c>
      <c r="N1306" t="str">
        <f t="shared" si="64"/>
        <v>Not Exists</v>
      </c>
      <c r="O1306" t="str">
        <f t="shared" si="65"/>
        <v>Exists</v>
      </c>
      <c r="P1306" t="str">
        <f t="shared" si="66"/>
        <v>Exists</v>
      </c>
    </row>
    <row r="1307" spans="1:16">
      <c r="A1307" s="50" t="s">
        <v>1438</v>
      </c>
      <c r="B1307" s="50" t="s">
        <v>1444</v>
      </c>
      <c r="C1307" s="50" t="s">
        <v>256</v>
      </c>
      <c r="D1307" s="50">
        <v>50</v>
      </c>
      <c r="E1307" s="50" t="s">
        <v>1433</v>
      </c>
      <c r="F1307" s="50" t="s">
        <v>1410</v>
      </c>
      <c r="G1307" s="50" t="s">
        <v>256</v>
      </c>
      <c r="H1307" s="50">
        <v>4000</v>
      </c>
      <c r="M1307" t="str">
        <f>IF(COUNTIF($A:$A,E1307)=0,"Not Exists","Exists")</f>
        <v>Not Exists</v>
      </c>
      <c r="N1307" t="str">
        <f t="shared" si="64"/>
        <v>Not Exists</v>
      </c>
      <c r="O1307" t="str">
        <f t="shared" si="65"/>
        <v>Exists</v>
      </c>
      <c r="P1307" t="str">
        <f t="shared" si="66"/>
        <v>Exists</v>
      </c>
    </row>
    <row r="1308" spans="1:16">
      <c r="A1308" s="50" t="s">
        <v>1438</v>
      </c>
      <c r="B1308" s="50" t="s">
        <v>1445</v>
      </c>
      <c r="C1308" s="50" t="s">
        <v>256</v>
      </c>
      <c r="D1308" s="50">
        <v>450</v>
      </c>
      <c r="E1308" s="50" t="s">
        <v>1433</v>
      </c>
      <c r="F1308" s="50" t="s">
        <v>1412</v>
      </c>
      <c r="G1308" s="50" t="s">
        <v>256</v>
      </c>
      <c r="H1308" s="50">
        <v>4000</v>
      </c>
      <c r="M1308" t="str">
        <f>IF(COUNTIF($A:$A,E1308)=0,"Not Exists","Exists")</f>
        <v>Not Exists</v>
      </c>
      <c r="N1308" t="str">
        <f t="shared" si="64"/>
        <v>Not Exists</v>
      </c>
      <c r="O1308" t="str">
        <f t="shared" si="65"/>
        <v>Exists</v>
      </c>
      <c r="P1308" t="str">
        <f t="shared" si="66"/>
        <v>Exists</v>
      </c>
    </row>
    <row r="1309" spans="1:16">
      <c r="A1309" s="50" t="s">
        <v>1438</v>
      </c>
      <c r="B1309" s="50" t="s">
        <v>1446</v>
      </c>
      <c r="C1309" s="50" t="s">
        <v>256</v>
      </c>
      <c r="D1309" s="50">
        <v>450</v>
      </c>
      <c r="E1309" s="50" t="s">
        <v>1433</v>
      </c>
      <c r="F1309" s="50" t="s">
        <v>1414</v>
      </c>
      <c r="G1309" s="50" t="s">
        <v>256</v>
      </c>
      <c r="H1309" s="50">
        <v>4000</v>
      </c>
      <c r="M1309" t="str">
        <f>IF(COUNTIF($A:$A,E1309)=0,"Not Exists","Exists")</f>
        <v>Not Exists</v>
      </c>
      <c r="N1309" t="str">
        <f t="shared" si="64"/>
        <v>Not Exists</v>
      </c>
      <c r="O1309" t="str">
        <f t="shared" si="65"/>
        <v>Exists</v>
      </c>
      <c r="P1309" t="str">
        <f t="shared" si="66"/>
        <v>Exists</v>
      </c>
    </row>
    <row r="1310" spans="1:16">
      <c r="A1310" s="50" t="s">
        <v>1438</v>
      </c>
      <c r="B1310" s="50" t="s">
        <v>1447</v>
      </c>
      <c r="C1310" s="50" t="s">
        <v>251</v>
      </c>
      <c r="D1310" s="50">
        <v>1</v>
      </c>
      <c r="E1310" s="50" t="s">
        <v>1448</v>
      </c>
      <c r="F1310" s="50" t="s">
        <v>781</v>
      </c>
      <c r="G1310" s="50" t="s">
        <v>256</v>
      </c>
      <c r="H1310" s="50">
        <v>8</v>
      </c>
      <c r="M1310" t="str">
        <f>IF(COUNTIF($A:$A,E1310)=0,"Not Exists","Exists")</f>
        <v>Not Exists</v>
      </c>
      <c r="N1310" t="str">
        <f t="shared" si="64"/>
        <v>Exists</v>
      </c>
      <c r="O1310" t="str">
        <f t="shared" si="65"/>
        <v>Exists</v>
      </c>
      <c r="P1310" t="str">
        <f t="shared" si="66"/>
        <v>Exists</v>
      </c>
    </row>
    <row r="1311" spans="1:16">
      <c r="A1311" s="50" t="s">
        <v>1438</v>
      </c>
      <c r="B1311" s="50" t="s">
        <v>1449</v>
      </c>
      <c r="C1311" s="50" t="s">
        <v>256</v>
      </c>
      <c r="D1311" s="50">
        <v>450</v>
      </c>
      <c r="E1311" s="50" t="s">
        <v>1448</v>
      </c>
      <c r="F1311" s="50" t="s">
        <v>780</v>
      </c>
      <c r="G1311" s="50" t="s">
        <v>256</v>
      </c>
      <c r="H1311" s="50">
        <v>20</v>
      </c>
      <c r="M1311" t="str">
        <f>IF(COUNTIF($A:$A,E1311)=0,"Not Exists","Exists")</f>
        <v>Not Exists</v>
      </c>
      <c r="N1311" t="str">
        <f t="shared" si="64"/>
        <v>Exists</v>
      </c>
      <c r="O1311" t="str">
        <f t="shared" si="65"/>
        <v>Exists</v>
      </c>
      <c r="P1311" t="str">
        <f t="shared" si="66"/>
        <v>Exists</v>
      </c>
    </row>
    <row r="1312" spans="1:16">
      <c r="A1312" s="50" t="s">
        <v>1438</v>
      </c>
      <c r="B1312" s="50" t="s">
        <v>1450</v>
      </c>
      <c r="C1312" s="50" t="s">
        <v>256</v>
      </c>
      <c r="D1312" s="50">
        <v>450</v>
      </c>
      <c r="E1312" s="50" t="s">
        <v>1448</v>
      </c>
      <c r="F1312" s="50" t="s">
        <v>1395</v>
      </c>
      <c r="G1312" s="50" t="s">
        <v>256</v>
      </c>
      <c r="H1312" s="50">
        <v>1</v>
      </c>
      <c r="M1312" t="str">
        <f>IF(COUNTIF($A:$A,E1312)=0,"Not Exists","Exists")</f>
        <v>Not Exists</v>
      </c>
      <c r="N1312" t="str">
        <f t="shared" si="64"/>
        <v>Not Exists</v>
      </c>
      <c r="O1312" t="str">
        <f t="shared" si="65"/>
        <v>Exists</v>
      </c>
      <c r="P1312" t="str">
        <f t="shared" si="66"/>
        <v>Exists</v>
      </c>
    </row>
    <row r="1313" spans="1:16">
      <c r="A1313" s="50" t="s">
        <v>1438</v>
      </c>
      <c r="B1313" s="50" t="s">
        <v>1451</v>
      </c>
      <c r="C1313" s="50" t="s">
        <v>256</v>
      </c>
      <c r="D1313" s="50">
        <v>450</v>
      </c>
      <c r="E1313" s="50" t="s">
        <v>1448</v>
      </c>
      <c r="F1313" s="50" t="s">
        <v>1397</v>
      </c>
      <c r="G1313" s="50" t="s">
        <v>256</v>
      </c>
      <c r="H1313" s="50">
        <v>2</v>
      </c>
      <c r="M1313" t="str">
        <f>IF(COUNTIF($A:$A,E1313)=0,"Not Exists","Exists")</f>
        <v>Not Exists</v>
      </c>
      <c r="N1313" t="str">
        <f t="shared" si="64"/>
        <v>Not Exists</v>
      </c>
      <c r="O1313" t="str">
        <f t="shared" si="65"/>
        <v>Exists</v>
      </c>
      <c r="P1313" t="str">
        <f t="shared" si="66"/>
        <v>Exists</v>
      </c>
    </row>
    <row r="1314" spans="1:16">
      <c r="A1314" s="50" t="s">
        <v>1452</v>
      </c>
      <c r="B1314" s="50" t="s">
        <v>1453</v>
      </c>
      <c r="C1314" s="50" t="s">
        <v>256</v>
      </c>
      <c r="D1314" s="50">
        <v>50</v>
      </c>
      <c r="E1314" s="50" t="s">
        <v>1448</v>
      </c>
      <c r="F1314" s="50" t="s">
        <v>796</v>
      </c>
      <c r="G1314" s="50" t="s">
        <v>254</v>
      </c>
      <c r="H1314" s="50">
        <v>22</v>
      </c>
      <c r="M1314" t="str">
        <f>IF(COUNTIF($A:$A,E1314)=0,"Not Exists","Exists")</f>
        <v>Not Exists</v>
      </c>
      <c r="N1314" t="str">
        <f t="shared" si="64"/>
        <v>Exists</v>
      </c>
      <c r="O1314" t="str">
        <f t="shared" si="65"/>
        <v>Exists</v>
      </c>
      <c r="P1314" t="str">
        <f t="shared" si="66"/>
        <v>Exists</v>
      </c>
    </row>
    <row r="1315" spans="1:16">
      <c r="A1315" s="50" t="s">
        <v>1452</v>
      </c>
      <c r="B1315" s="50" t="s">
        <v>1454</v>
      </c>
      <c r="C1315" s="50" t="s">
        <v>256</v>
      </c>
      <c r="D1315" s="50">
        <v>50</v>
      </c>
      <c r="E1315" s="50" t="s">
        <v>1448</v>
      </c>
      <c r="F1315" s="50" t="s">
        <v>424</v>
      </c>
      <c r="G1315" s="50" t="s">
        <v>256</v>
      </c>
      <c r="H1315" s="50">
        <v>60</v>
      </c>
      <c r="M1315" t="str">
        <f>IF(COUNTIF($A:$A,E1315)=0,"Not Exists","Exists")</f>
        <v>Not Exists</v>
      </c>
      <c r="N1315" t="str">
        <f t="shared" si="64"/>
        <v>Exists</v>
      </c>
      <c r="O1315" t="str">
        <f t="shared" si="65"/>
        <v>Exists</v>
      </c>
      <c r="P1315" t="str">
        <f t="shared" si="66"/>
        <v>Not Exists</v>
      </c>
    </row>
    <row r="1316" spans="1:16">
      <c r="A1316" s="50" t="s">
        <v>1452</v>
      </c>
      <c r="B1316" s="50" t="s">
        <v>1455</v>
      </c>
      <c r="C1316" s="50" t="s">
        <v>251</v>
      </c>
      <c r="D1316" s="50">
        <v>17</v>
      </c>
      <c r="E1316" s="50" t="s">
        <v>1448</v>
      </c>
      <c r="F1316" s="50" t="s">
        <v>1401</v>
      </c>
      <c r="G1316" s="50" t="s">
        <v>256</v>
      </c>
      <c r="H1316" s="50">
        <v>3</v>
      </c>
      <c r="M1316" t="str">
        <f>IF(COUNTIF($A:$A,E1316)=0,"Not Exists","Exists")</f>
        <v>Not Exists</v>
      </c>
      <c r="N1316" t="str">
        <f t="shared" si="64"/>
        <v>Not Exists</v>
      </c>
      <c r="O1316" t="str">
        <f t="shared" si="65"/>
        <v>Exists</v>
      </c>
      <c r="P1316" t="str">
        <f t="shared" si="66"/>
        <v>Exists</v>
      </c>
    </row>
    <row r="1317" spans="1:16">
      <c r="A1317" s="50" t="s">
        <v>1452</v>
      </c>
      <c r="B1317" s="50" t="s">
        <v>1456</v>
      </c>
      <c r="C1317" s="50" t="s">
        <v>256</v>
      </c>
      <c r="D1317" s="50">
        <v>50</v>
      </c>
      <c r="E1317" s="50" t="s">
        <v>1448</v>
      </c>
      <c r="F1317" s="50" t="s">
        <v>430</v>
      </c>
      <c r="G1317" s="50" t="s">
        <v>256</v>
      </c>
      <c r="H1317" s="50">
        <v>50</v>
      </c>
      <c r="M1317" t="str">
        <f>IF(COUNTIF($A:$A,E1317)=0,"Not Exists","Exists")</f>
        <v>Not Exists</v>
      </c>
      <c r="N1317" t="str">
        <f t="shared" si="64"/>
        <v>Exists</v>
      </c>
      <c r="O1317" t="str">
        <f t="shared" si="65"/>
        <v>Exists</v>
      </c>
      <c r="P1317" t="str">
        <f t="shared" si="66"/>
        <v>Exists</v>
      </c>
    </row>
    <row r="1318" spans="1:16">
      <c r="A1318" s="50" t="s">
        <v>1452</v>
      </c>
      <c r="B1318" s="50" t="s">
        <v>1457</v>
      </c>
      <c r="C1318" s="50" t="s">
        <v>251</v>
      </c>
      <c r="D1318" s="50">
        <v>17</v>
      </c>
      <c r="E1318" s="50" t="s">
        <v>1448</v>
      </c>
      <c r="F1318" s="50" t="s">
        <v>1405</v>
      </c>
      <c r="G1318" s="50" t="s">
        <v>256</v>
      </c>
      <c r="H1318" s="50">
        <v>9</v>
      </c>
      <c r="M1318" t="str">
        <f>IF(COUNTIF($A:$A,E1318)=0,"Not Exists","Exists")</f>
        <v>Not Exists</v>
      </c>
      <c r="N1318" t="str">
        <f t="shared" si="64"/>
        <v>Not Exists</v>
      </c>
      <c r="O1318" t="str">
        <f t="shared" si="65"/>
        <v>Exists</v>
      </c>
      <c r="P1318" t="str">
        <f t="shared" si="66"/>
        <v>Exists</v>
      </c>
    </row>
    <row r="1319" spans="1:16">
      <c r="A1319" s="50" t="s">
        <v>1452</v>
      </c>
      <c r="B1319" s="50" t="s">
        <v>1458</v>
      </c>
      <c r="C1319" s="50" t="s">
        <v>256</v>
      </c>
      <c r="D1319" s="50">
        <v>50</v>
      </c>
      <c r="E1319" s="50" t="s">
        <v>1448</v>
      </c>
      <c r="F1319" s="50" t="s">
        <v>704</v>
      </c>
      <c r="G1319" s="50" t="s">
        <v>256</v>
      </c>
      <c r="H1319" s="50">
        <v>9</v>
      </c>
      <c r="M1319" t="str">
        <f>IF(COUNTIF($A:$A,E1319)=0,"Not Exists","Exists")</f>
        <v>Not Exists</v>
      </c>
      <c r="N1319" t="str">
        <f t="shared" si="64"/>
        <v>Not Exists</v>
      </c>
      <c r="O1319" t="str">
        <f t="shared" si="65"/>
        <v>Exists</v>
      </c>
      <c r="P1319" t="str">
        <f t="shared" si="66"/>
        <v>Exists</v>
      </c>
    </row>
    <row r="1320" spans="1:16">
      <c r="A1320" s="50" t="s">
        <v>1452</v>
      </c>
      <c r="B1320" s="50" t="s">
        <v>1459</v>
      </c>
      <c r="C1320" s="50" t="s">
        <v>256</v>
      </c>
      <c r="D1320" s="50">
        <v>3000</v>
      </c>
      <c r="E1320" s="50" t="s">
        <v>1448</v>
      </c>
      <c r="F1320" s="50" t="s">
        <v>1408</v>
      </c>
      <c r="G1320" s="50" t="s">
        <v>256</v>
      </c>
      <c r="H1320" s="50">
        <v>17</v>
      </c>
      <c r="M1320" t="str">
        <f>IF(COUNTIF($A:$A,E1320)=0,"Not Exists","Exists")</f>
        <v>Not Exists</v>
      </c>
      <c r="N1320" t="str">
        <f t="shared" si="64"/>
        <v>Not Exists</v>
      </c>
      <c r="O1320" t="str">
        <f t="shared" si="65"/>
        <v>Exists</v>
      </c>
      <c r="P1320" t="str">
        <f t="shared" si="66"/>
        <v>Exists</v>
      </c>
    </row>
    <row r="1321" spans="1:16">
      <c r="A1321" s="50" t="s">
        <v>1452</v>
      </c>
      <c r="B1321" s="50" t="s">
        <v>1460</v>
      </c>
      <c r="C1321" s="50" t="s">
        <v>254</v>
      </c>
      <c r="D1321" s="50">
        <v>22</v>
      </c>
      <c r="E1321" s="50" t="s">
        <v>1448</v>
      </c>
      <c r="F1321" s="50" t="s">
        <v>1410</v>
      </c>
      <c r="G1321" s="50" t="s">
        <v>256</v>
      </c>
      <c r="H1321" s="50">
        <v>4000</v>
      </c>
      <c r="M1321" t="str">
        <f>IF(COUNTIF($A:$A,E1321)=0,"Not Exists","Exists")</f>
        <v>Not Exists</v>
      </c>
      <c r="N1321" t="str">
        <f t="shared" si="64"/>
        <v>Not Exists</v>
      </c>
      <c r="O1321" t="str">
        <f t="shared" si="65"/>
        <v>Exists</v>
      </c>
      <c r="P1321" t="str">
        <f t="shared" si="66"/>
        <v>Exists</v>
      </c>
    </row>
    <row r="1322" spans="1:16">
      <c r="A1322" s="50" t="s">
        <v>1452</v>
      </c>
      <c r="B1322" s="50" t="s">
        <v>1461</v>
      </c>
      <c r="C1322" s="50" t="s">
        <v>256</v>
      </c>
      <c r="D1322" s="50">
        <v>50</v>
      </c>
      <c r="E1322" s="50" t="s">
        <v>1448</v>
      </c>
      <c r="F1322" s="50" t="s">
        <v>1412</v>
      </c>
      <c r="G1322" s="50" t="s">
        <v>256</v>
      </c>
      <c r="H1322" s="50">
        <v>4000</v>
      </c>
      <c r="M1322" t="str">
        <f>IF(COUNTIF($A:$A,E1322)=0,"Not Exists","Exists")</f>
        <v>Not Exists</v>
      </c>
      <c r="N1322" t="str">
        <f t="shared" si="64"/>
        <v>Not Exists</v>
      </c>
      <c r="O1322" t="str">
        <f t="shared" si="65"/>
        <v>Exists</v>
      </c>
      <c r="P1322" t="str">
        <f t="shared" si="66"/>
        <v>Exists</v>
      </c>
    </row>
    <row r="1323" spans="1:16">
      <c r="A1323" s="50" t="s">
        <v>1452</v>
      </c>
      <c r="B1323" s="50" t="s">
        <v>1462</v>
      </c>
      <c r="C1323" s="50" t="s">
        <v>256</v>
      </c>
      <c r="D1323" s="50">
        <v>50</v>
      </c>
      <c r="E1323" s="50" t="s">
        <v>1448</v>
      </c>
      <c r="F1323" s="50" t="s">
        <v>1414</v>
      </c>
      <c r="G1323" s="50" t="s">
        <v>256</v>
      </c>
      <c r="H1323" s="50">
        <v>4000</v>
      </c>
      <c r="M1323" t="str">
        <f>IF(COUNTIF($A:$A,E1323)=0,"Not Exists","Exists")</f>
        <v>Not Exists</v>
      </c>
      <c r="N1323" t="str">
        <f t="shared" si="64"/>
        <v>Not Exists</v>
      </c>
      <c r="O1323" t="str">
        <f t="shared" si="65"/>
        <v>Exists</v>
      </c>
      <c r="P1323" t="str">
        <f t="shared" si="66"/>
        <v>Exists</v>
      </c>
    </row>
    <row r="1324" spans="1:16">
      <c r="A1324" s="50" t="s">
        <v>1452</v>
      </c>
      <c r="B1324" s="50" t="s">
        <v>1463</v>
      </c>
      <c r="C1324" s="50" t="s">
        <v>256</v>
      </c>
      <c r="D1324" s="50">
        <v>50</v>
      </c>
      <c r="E1324" s="50" t="s">
        <v>1464</v>
      </c>
      <c r="F1324" s="50" t="s">
        <v>781</v>
      </c>
      <c r="G1324" s="50" t="s">
        <v>256</v>
      </c>
      <c r="H1324" s="50">
        <v>8</v>
      </c>
      <c r="M1324" t="str">
        <f>IF(COUNTIF($A:$A,E1324)=0,"Not Exists","Exists")</f>
        <v>Not Exists</v>
      </c>
      <c r="N1324" t="str">
        <f t="shared" si="64"/>
        <v>Exists</v>
      </c>
      <c r="O1324" t="str">
        <f t="shared" si="65"/>
        <v>Exists</v>
      </c>
      <c r="P1324" t="str">
        <f t="shared" si="66"/>
        <v>Exists</v>
      </c>
    </row>
    <row r="1325" spans="1:16">
      <c r="A1325" s="50" t="s">
        <v>1452</v>
      </c>
      <c r="B1325" s="50" t="s">
        <v>1465</v>
      </c>
      <c r="C1325" s="50" t="s">
        <v>254</v>
      </c>
      <c r="D1325" s="50">
        <v>22</v>
      </c>
      <c r="E1325" s="50" t="s">
        <v>1464</v>
      </c>
      <c r="F1325" s="50" t="s">
        <v>780</v>
      </c>
      <c r="G1325" s="50" t="s">
        <v>256</v>
      </c>
      <c r="H1325" s="50">
        <v>20</v>
      </c>
      <c r="M1325" t="str">
        <f>IF(COUNTIF($A:$A,E1325)=0,"Not Exists","Exists")</f>
        <v>Not Exists</v>
      </c>
      <c r="N1325" t="str">
        <f t="shared" si="64"/>
        <v>Exists</v>
      </c>
      <c r="O1325" t="str">
        <f t="shared" si="65"/>
        <v>Exists</v>
      </c>
      <c r="P1325" t="str">
        <f t="shared" si="66"/>
        <v>Exists</v>
      </c>
    </row>
    <row r="1326" spans="1:16">
      <c r="A1326" s="50" t="s">
        <v>1452</v>
      </c>
      <c r="B1326" s="50" t="s">
        <v>1466</v>
      </c>
      <c r="C1326" s="50" t="s">
        <v>256</v>
      </c>
      <c r="D1326" s="50">
        <v>3000</v>
      </c>
      <c r="E1326" s="50" t="s">
        <v>1464</v>
      </c>
      <c r="F1326" s="50" t="s">
        <v>1395</v>
      </c>
      <c r="G1326" s="50" t="s">
        <v>256</v>
      </c>
      <c r="H1326" s="50">
        <v>1</v>
      </c>
      <c r="M1326" t="str">
        <f>IF(COUNTIF($A:$A,E1326)=0,"Not Exists","Exists")</f>
        <v>Not Exists</v>
      </c>
      <c r="N1326" t="str">
        <f t="shared" si="64"/>
        <v>Not Exists</v>
      </c>
      <c r="O1326" t="str">
        <f t="shared" si="65"/>
        <v>Exists</v>
      </c>
      <c r="P1326" t="str">
        <f t="shared" si="66"/>
        <v>Exists</v>
      </c>
    </row>
    <row r="1327" spans="1:16">
      <c r="A1327" s="50" t="s">
        <v>1452</v>
      </c>
      <c r="B1327" s="50" t="s">
        <v>1467</v>
      </c>
      <c r="C1327" s="50" t="s">
        <v>254</v>
      </c>
      <c r="D1327" s="50">
        <v>22</v>
      </c>
      <c r="E1327" s="50" t="s">
        <v>1464</v>
      </c>
      <c r="F1327" s="50" t="s">
        <v>1397</v>
      </c>
      <c r="G1327" s="50" t="s">
        <v>256</v>
      </c>
      <c r="H1327" s="50">
        <v>2</v>
      </c>
      <c r="M1327" t="str">
        <f>IF(COUNTIF($A:$A,E1327)=0,"Not Exists","Exists")</f>
        <v>Not Exists</v>
      </c>
      <c r="N1327" t="str">
        <f t="shared" si="64"/>
        <v>Not Exists</v>
      </c>
      <c r="O1327" t="str">
        <f t="shared" si="65"/>
        <v>Exists</v>
      </c>
      <c r="P1327" t="str">
        <f t="shared" si="66"/>
        <v>Exists</v>
      </c>
    </row>
    <row r="1328" spans="1:16">
      <c r="A1328" s="50" t="s">
        <v>1452</v>
      </c>
      <c r="B1328" s="50" t="s">
        <v>1468</v>
      </c>
      <c r="C1328" s="50" t="s">
        <v>256</v>
      </c>
      <c r="D1328" s="50">
        <v>450</v>
      </c>
      <c r="E1328" s="50" t="s">
        <v>1464</v>
      </c>
      <c r="F1328" s="50" t="s">
        <v>796</v>
      </c>
      <c r="G1328" s="50" t="s">
        <v>254</v>
      </c>
      <c r="H1328" s="50">
        <v>22</v>
      </c>
      <c r="M1328" t="str">
        <f>IF(COUNTIF($A:$A,E1328)=0,"Not Exists","Exists")</f>
        <v>Not Exists</v>
      </c>
      <c r="N1328" t="str">
        <f t="shared" si="64"/>
        <v>Exists</v>
      </c>
      <c r="O1328" t="str">
        <f t="shared" si="65"/>
        <v>Exists</v>
      </c>
      <c r="P1328" t="str">
        <f t="shared" si="66"/>
        <v>Exists</v>
      </c>
    </row>
    <row r="1329" spans="1:16">
      <c r="A1329" s="50" t="s">
        <v>1452</v>
      </c>
      <c r="B1329" s="50" t="s">
        <v>1469</v>
      </c>
      <c r="C1329" s="50" t="s">
        <v>254</v>
      </c>
      <c r="D1329" s="50">
        <v>22</v>
      </c>
      <c r="E1329" s="50" t="s">
        <v>1464</v>
      </c>
      <c r="F1329" s="50" t="s">
        <v>424</v>
      </c>
      <c r="G1329" s="50" t="s">
        <v>256</v>
      </c>
      <c r="H1329" s="50">
        <v>60</v>
      </c>
      <c r="M1329" t="str">
        <f>IF(COUNTIF($A:$A,E1329)=0,"Not Exists","Exists")</f>
        <v>Not Exists</v>
      </c>
      <c r="N1329" t="str">
        <f t="shared" si="64"/>
        <v>Exists</v>
      </c>
      <c r="O1329" t="str">
        <f t="shared" si="65"/>
        <v>Exists</v>
      </c>
      <c r="P1329" t="str">
        <f t="shared" si="66"/>
        <v>Exists</v>
      </c>
    </row>
    <row r="1330" spans="1:16">
      <c r="A1330" s="50" t="s">
        <v>1452</v>
      </c>
      <c r="B1330" s="50" t="s">
        <v>1470</v>
      </c>
      <c r="C1330" s="50" t="s">
        <v>256</v>
      </c>
      <c r="D1330" s="50">
        <v>50</v>
      </c>
      <c r="E1330" s="50" t="s">
        <v>1464</v>
      </c>
      <c r="F1330" s="50" t="s">
        <v>1401</v>
      </c>
      <c r="G1330" s="50" t="s">
        <v>256</v>
      </c>
      <c r="H1330" s="50">
        <v>3</v>
      </c>
      <c r="M1330" t="str">
        <f>IF(COUNTIF($A:$A,E1330)=0,"Not Exists","Exists")</f>
        <v>Not Exists</v>
      </c>
      <c r="N1330" t="str">
        <f t="shared" si="64"/>
        <v>Not Exists</v>
      </c>
      <c r="O1330" t="str">
        <f t="shared" si="65"/>
        <v>Exists</v>
      </c>
      <c r="P1330" t="str">
        <f t="shared" si="66"/>
        <v>Exists</v>
      </c>
    </row>
    <row r="1331" spans="1:16">
      <c r="A1331" s="50" t="s">
        <v>1452</v>
      </c>
      <c r="B1331" s="50" t="s">
        <v>1471</v>
      </c>
      <c r="C1331" s="50" t="s">
        <v>256</v>
      </c>
      <c r="D1331" s="50">
        <v>50</v>
      </c>
      <c r="E1331" s="50" t="s">
        <v>1464</v>
      </c>
      <c r="F1331" s="50" t="s">
        <v>430</v>
      </c>
      <c r="G1331" s="50" t="s">
        <v>256</v>
      </c>
      <c r="H1331" s="50">
        <v>50</v>
      </c>
      <c r="M1331" t="str">
        <f>IF(COUNTIF($A:$A,E1331)=0,"Not Exists","Exists")</f>
        <v>Not Exists</v>
      </c>
      <c r="N1331" t="str">
        <f t="shared" si="64"/>
        <v>Exists</v>
      </c>
      <c r="O1331" t="str">
        <f t="shared" si="65"/>
        <v>Exists</v>
      </c>
      <c r="P1331" t="str">
        <f t="shared" si="66"/>
        <v>Exists</v>
      </c>
    </row>
    <row r="1332" spans="1:16">
      <c r="A1332" s="50" t="s">
        <v>1452</v>
      </c>
      <c r="B1332" s="50" t="s">
        <v>1472</v>
      </c>
      <c r="C1332" s="50" t="s">
        <v>256</v>
      </c>
      <c r="D1332" s="50">
        <v>50</v>
      </c>
      <c r="E1332" s="50" t="s">
        <v>1464</v>
      </c>
      <c r="F1332" s="50" t="s">
        <v>1405</v>
      </c>
      <c r="G1332" s="50" t="s">
        <v>256</v>
      </c>
      <c r="H1332" s="50">
        <v>9</v>
      </c>
      <c r="M1332" t="str">
        <f>IF(COUNTIF($A:$A,E1332)=0,"Not Exists","Exists")</f>
        <v>Not Exists</v>
      </c>
      <c r="N1332" t="str">
        <f t="shared" si="64"/>
        <v>Not Exists</v>
      </c>
      <c r="O1332" t="str">
        <f t="shared" si="65"/>
        <v>Exists</v>
      </c>
      <c r="P1332" t="str">
        <f t="shared" si="66"/>
        <v>Exists</v>
      </c>
    </row>
    <row r="1333" spans="1:16">
      <c r="A1333" s="50" t="s">
        <v>1452</v>
      </c>
      <c r="B1333" s="50" t="s">
        <v>1473</v>
      </c>
      <c r="C1333" s="50" t="s">
        <v>256</v>
      </c>
      <c r="D1333" s="50">
        <v>50</v>
      </c>
      <c r="E1333" s="50" t="s">
        <v>1464</v>
      </c>
      <c r="F1333" s="50" t="s">
        <v>704</v>
      </c>
      <c r="G1333" s="50" t="s">
        <v>256</v>
      </c>
      <c r="H1333" s="50">
        <v>9</v>
      </c>
      <c r="M1333" t="str">
        <f>IF(COUNTIF($A:$A,E1333)=0,"Not Exists","Exists")</f>
        <v>Not Exists</v>
      </c>
      <c r="N1333" t="str">
        <f t="shared" si="64"/>
        <v>Not Exists</v>
      </c>
      <c r="O1333" t="str">
        <f t="shared" si="65"/>
        <v>Exists</v>
      </c>
      <c r="P1333" t="str">
        <f t="shared" si="66"/>
        <v>Exists</v>
      </c>
    </row>
    <row r="1334" spans="1:16">
      <c r="A1334" s="50" t="s">
        <v>1474</v>
      </c>
      <c r="B1334" s="50" t="s">
        <v>1475</v>
      </c>
      <c r="C1334" s="50" t="s">
        <v>256</v>
      </c>
      <c r="D1334" s="50">
        <v>50</v>
      </c>
      <c r="E1334" s="50" t="s">
        <v>1464</v>
      </c>
      <c r="F1334" s="50" t="s">
        <v>1408</v>
      </c>
      <c r="G1334" s="50" t="s">
        <v>256</v>
      </c>
      <c r="H1334" s="50">
        <v>17</v>
      </c>
      <c r="M1334" t="str">
        <f>IF(COUNTIF($A:$A,E1334)=0,"Not Exists","Exists")</f>
        <v>Not Exists</v>
      </c>
      <c r="N1334" t="str">
        <f t="shared" si="64"/>
        <v>Not Exists</v>
      </c>
      <c r="O1334" t="str">
        <f t="shared" si="65"/>
        <v>Exists</v>
      </c>
      <c r="P1334" t="str">
        <f t="shared" si="66"/>
        <v>Exists</v>
      </c>
    </row>
    <row r="1335" spans="1:16">
      <c r="A1335" s="50" t="s">
        <v>1474</v>
      </c>
      <c r="B1335" s="50" t="s">
        <v>1476</v>
      </c>
      <c r="C1335" s="50" t="s">
        <v>256</v>
      </c>
      <c r="D1335" s="50">
        <v>50</v>
      </c>
      <c r="E1335" s="50" t="s">
        <v>1464</v>
      </c>
      <c r="F1335" s="50" t="s">
        <v>1410</v>
      </c>
      <c r="G1335" s="50" t="s">
        <v>256</v>
      </c>
      <c r="H1335" s="50">
        <v>4000</v>
      </c>
      <c r="M1335" t="str">
        <f>IF(COUNTIF($A:$A,E1335)=0,"Not Exists","Exists")</f>
        <v>Not Exists</v>
      </c>
      <c r="N1335" t="str">
        <f t="shared" si="64"/>
        <v>Not Exists</v>
      </c>
      <c r="O1335" t="str">
        <f t="shared" si="65"/>
        <v>Exists</v>
      </c>
      <c r="P1335" t="str">
        <f t="shared" si="66"/>
        <v>Not Exists</v>
      </c>
    </row>
    <row r="1336" spans="1:16">
      <c r="A1336" s="50" t="s">
        <v>1474</v>
      </c>
      <c r="B1336" s="50" t="s">
        <v>1477</v>
      </c>
      <c r="C1336" s="50" t="s">
        <v>251</v>
      </c>
      <c r="D1336" s="50">
        <v>17</v>
      </c>
      <c r="E1336" s="50" t="s">
        <v>1464</v>
      </c>
      <c r="F1336" s="50" t="s">
        <v>1412</v>
      </c>
      <c r="G1336" s="50" t="s">
        <v>256</v>
      </c>
      <c r="H1336" s="50">
        <v>4000</v>
      </c>
      <c r="M1336" t="str">
        <f>IF(COUNTIF($A:$A,E1336)=0,"Not Exists","Exists")</f>
        <v>Not Exists</v>
      </c>
      <c r="N1336" t="str">
        <f t="shared" si="64"/>
        <v>Not Exists</v>
      </c>
      <c r="O1336" t="str">
        <f t="shared" si="65"/>
        <v>Exists</v>
      </c>
      <c r="P1336" t="str">
        <f t="shared" si="66"/>
        <v>Exists</v>
      </c>
    </row>
    <row r="1337" spans="1:16">
      <c r="A1337" s="50" t="s">
        <v>1474</v>
      </c>
      <c r="B1337" s="50" t="s">
        <v>1478</v>
      </c>
      <c r="C1337" s="50" t="s">
        <v>256</v>
      </c>
      <c r="D1337" s="50">
        <v>50</v>
      </c>
      <c r="E1337" s="50" t="s">
        <v>1464</v>
      </c>
      <c r="F1337" s="50" t="s">
        <v>1414</v>
      </c>
      <c r="G1337" s="50" t="s">
        <v>256</v>
      </c>
      <c r="H1337" s="50">
        <v>4000</v>
      </c>
      <c r="M1337" t="str">
        <f>IF(COUNTIF($A:$A,E1337)=0,"Not Exists","Exists")</f>
        <v>Not Exists</v>
      </c>
      <c r="N1337" t="str">
        <f t="shared" si="64"/>
        <v>Not Exists</v>
      </c>
      <c r="O1337" t="str">
        <f t="shared" si="65"/>
        <v>Exists</v>
      </c>
      <c r="P1337" t="str">
        <f t="shared" si="66"/>
        <v>Exists</v>
      </c>
    </row>
    <row r="1338" spans="1:16">
      <c r="A1338" s="50" t="s">
        <v>1474</v>
      </c>
      <c r="B1338" s="50" t="s">
        <v>1479</v>
      </c>
      <c r="C1338" s="50" t="s">
        <v>251</v>
      </c>
      <c r="D1338" s="50">
        <v>17</v>
      </c>
      <c r="E1338" s="50" t="s">
        <v>1480</v>
      </c>
      <c r="F1338" s="50" t="s">
        <v>781</v>
      </c>
      <c r="G1338" s="50" t="s">
        <v>256</v>
      </c>
      <c r="H1338" s="50">
        <v>8</v>
      </c>
      <c r="M1338" t="str">
        <f>IF(COUNTIF($A:$A,E1338)=0,"Not Exists","Exists")</f>
        <v>Not Exists</v>
      </c>
      <c r="N1338" t="str">
        <f t="shared" si="64"/>
        <v>Exists</v>
      </c>
      <c r="O1338" t="str">
        <f t="shared" si="65"/>
        <v>Exists</v>
      </c>
      <c r="P1338" t="str">
        <f t="shared" si="66"/>
        <v>Exists</v>
      </c>
    </row>
    <row r="1339" spans="1:16">
      <c r="A1339" s="50" t="s">
        <v>1474</v>
      </c>
      <c r="B1339" s="50" t="s">
        <v>1481</v>
      </c>
      <c r="C1339" s="50" t="s">
        <v>256</v>
      </c>
      <c r="D1339" s="50">
        <v>50</v>
      </c>
      <c r="E1339" s="50" t="s">
        <v>1480</v>
      </c>
      <c r="F1339" s="50" t="s">
        <v>780</v>
      </c>
      <c r="G1339" s="50" t="s">
        <v>256</v>
      </c>
      <c r="H1339" s="50">
        <v>20</v>
      </c>
      <c r="M1339" t="str">
        <f>IF(COUNTIF($A:$A,E1339)=0,"Not Exists","Exists")</f>
        <v>Not Exists</v>
      </c>
      <c r="N1339" t="str">
        <f t="shared" si="64"/>
        <v>Exists</v>
      </c>
      <c r="O1339" t="str">
        <f t="shared" si="65"/>
        <v>Exists</v>
      </c>
      <c r="P1339" t="str">
        <f t="shared" si="66"/>
        <v>Exists</v>
      </c>
    </row>
    <row r="1340" spans="1:16">
      <c r="A1340" s="50" t="s">
        <v>1474</v>
      </c>
      <c r="B1340" s="50" t="s">
        <v>1482</v>
      </c>
      <c r="C1340" s="50" t="s">
        <v>256</v>
      </c>
      <c r="D1340" s="50">
        <v>450</v>
      </c>
      <c r="E1340" s="50" t="s">
        <v>1480</v>
      </c>
      <c r="F1340" s="50" t="s">
        <v>1395</v>
      </c>
      <c r="G1340" s="50" t="s">
        <v>256</v>
      </c>
      <c r="H1340" s="50">
        <v>1</v>
      </c>
      <c r="M1340" t="str">
        <f>IF(COUNTIF($A:$A,E1340)=0,"Not Exists","Exists")</f>
        <v>Not Exists</v>
      </c>
      <c r="N1340" t="str">
        <f t="shared" si="64"/>
        <v>Not Exists</v>
      </c>
      <c r="O1340" t="str">
        <f t="shared" si="65"/>
        <v>Exists</v>
      </c>
      <c r="P1340" t="str">
        <f t="shared" si="66"/>
        <v>Exists</v>
      </c>
    </row>
    <row r="1341" spans="1:16">
      <c r="A1341" s="50" t="s">
        <v>1483</v>
      </c>
      <c r="B1341" s="50" t="s">
        <v>1484</v>
      </c>
      <c r="C1341" s="50" t="s">
        <v>256</v>
      </c>
      <c r="D1341" s="50">
        <v>50</v>
      </c>
      <c r="E1341" s="50" t="s">
        <v>1480</v>
      </c>
      <c r="F1341" s="50" t="s">
        <v>1397</v>
      </c>
      <c r="G1341" s="50" t="s">
        <v>256</v>
      </c>
      <c r="H1341" s="50">
        <v>2</v>
      </c>
      <c r="M1341" t="str">
        <f>IF(COUNTIF($A:$A,E1341)=0,"Not Exists","Exists")</f>
        <v>Not Exists</v>
      </c>
      <c r="N1341" t="str">
        <f t="shared" ref="N1341:N1404" si="67">IF(COUNTIF($A:$B,F1341)=0,"Not Exists","Exists")</f>
        <v>Not Exists</v>
      </c>
      <c r="O1341" t="str">
        <f t="shared" si="65"/>
        <v>Not Exists</v>
      </c>
      <c r="P1341" t="str">
        <f t="shared" si="66"/>
        <v>Not Exists</v>
      </c>
    </row>
    <row r="1342" spans="1:16">
      <c r="A1342" s="50" t="s">
        <v>1483</v>
      </c>
      <c r="B1342" s="50" t="s">
        <v>1485</v>
      </c>
      <c r="C1342" s="50" t="s">
        <v>256</v>
      </c>
      <c r="D1342" s="50">
        <v>50</v>
      </c>
      <c r="E1342" s="50" t="s">
        <v>1480</v>
      </c>
      <c r="F1342" s="50" t="s">
        <v>796</v>
      </c>
      <c r="G1342" s="50" t="s">
        <v>254</v>
      </c>
      <c r="H1342" s="50">
        <v>22</v>
      </c>
      <c r="M1342" t="str">
        <f>IF(COUNTIF($A:$A,E1342)=0,"Not Exists","Exists")</f>
        <v>Not Exists</v>
      </c>
      <c r="N1342" t="str">
        <f t="shared" si="67"/>
        <v>Exists</v>
      </c>
      <c r="O1342" t="str">
        <f t="shared" si="65"/>
        <v>Not Exists</v>
      </c>
      <c r="P1342" t="str">
        <f t="shared" si="66"/>
        <v>Not Exists</v>
      </c>
    </row>
    <row r="1343" spans="1:16">
      <c r="A1343" s="50" t="s">
        <v>1483</v>
      </c>
      <c r="B1343" s="50" t="s">
        <v>1486</v>
      </c>
      <c r="C1343" s="50" t="s">
        <v>251</v>
      </c>
      <c r="D1343" s="50">
        <v>17</v>
      </c>
      <c r="E1343" s="50" t="s">
        <v>1480</v>
      </c>
      <c r="F1343" s="50" t="s">
        <v>424</v>
      </c>
      <c r="G1343" s="50" t="s">
        <v>256</v>
      </c>
      <c r="H1343" s="50">
        <v>60</v>
      </c>
      <c r="M1343" t="str">
        <f>IF(COUNTIF($A:$A,E1343)=0,"Not Exists","Exists")</f>
        <v>Not Exists</v>
      </c>
      <c r="N1343" t="str">
        <f t="shared" si="67"/>
        <v>Exists</v>
      </c>
      <c r="O1343" t="str">
        <f t="shared" si="65"/>
        <v>Not Exists</v>
      </c>
      <c r="P1343" t="str">
        <f t="shared" si="66"/>
        <v>Not Exists</v>
      </c>
    </row>
    <row r="1344" spans="1:16">
      <c r="A1344" s="50" t="s">
        <v>1483</v>
      </c>
      <c r="B1344" s="50" t="s">
        <v>1487</v>
      </c>
      <c r="C1344" s="50" t="s">
        <v>256</v>
      </c>
      <c r="D1344" s="50">
        <v>50</v>
      </c>
      <c r="E1344" s="50" t="s">
        <v>1480</v>
      </c>
      <c r="F1344" s="50" t="s">
        <v>1401</v>
      </c>
      <c r="G1344" s="50" t="s">
        <v>256</v>
      </c>
      <c r="H1344" s="50">
        <v>3</v>
      </c>
      <c r="M1344" t="str">
        <f>IF(COUNTIF($A:$A,E1344)=0,"Not Exists","Exists")</f>
        <v>Not Exists</v>
      </c>
      <c r="N1344" t="str">
        <f t="shared" si="67"/>
        <v>Not Exists</v>
      </c>
      <c r="O1344" t="str">
        <f t="shared" si="65"/>
        <v>Not Exists</v>
      </c>
      <c r="P1344" t="str">
        <f t="shared" si="66"/>
        <v>Not Exists</v>
      </c>
    </row>
    <row r="1345" spans="1:16">
      <c r="A1345" s="50" t="s">
        <v>1483</v>
      </c>
      <c r="B1345" s="50" t="s">
        <v>1488</v>
      </c>
      <c r="C1345" s="50" t="s">
        <v>251</v>
      </c>
      <c r="D1345" s="50">
        <v>17</v>
      </c>
      <c r="E1345" s="50" t="s">
        <v>1480</v>
      </c>
      <c r="F1345" s="50" t="s">
        <v>430</v>
      </c>
      <c r="G1345" s="50" t="s">
        <v>256</v>
      </c>
      <c r="H1345" s="50">
        <v>50</v>
      </c>
      <c r="M1345" t="str">
        <f>IF(COUNTIF($A:$A,E1345)=0,"Not Exists","Exists")</f>
        <v>Not Exists</v>
      </c>
      <c r="N1345" t="str">
        <f t="shared" si="67"/>
        <v>Exists</v>
      </c>
      <c r="O1345" t="str">
        <f t="shared" si="65"/>
        <v>Not Exists</v>
      </c>
      <c r="P1345" t="str">
        <f t="shared" si="66"/>
        <v>Not Exists</v>
      </c>
    </row>
    <row r="1346" spans="1:16">
      <c r="A1346" s="50" t="s">
        <v>1483</v>
      </c>
      <c r="B1346" s="50" t="s">
        <v>1489</v>
      </c>
      <c r="C1346" s="50" t="s">
        <v>256</v>
      </c>
      <c r="D1346" s="50">
        <v>50</v>
      </c>
      <c r="E1346" s="50" t="s">
        <v>1480</v>
      </c>
      <c r="F1346" s="50" t="s">
        <v>1405</v>
      </c>
      <c r="G1346" s="50" t="s">
        <v>256</v>
      </c>
      <c r="H1346" s="50">
        <v>9</v>
      </c>
      <c r="M1346" t="str">
        <f>IF(COUNTIF($A:$A,E1346)=0,"Not Exists","Exists")</f>
        <v>Not Exists</v>
      </c>
      <c r="N1346" t="str">
        <f t="shared" si="67"/>
        <v>Not Exists</v>
      </c>
      <c r="O1346" t="str">
        <f t="shared" si="65"/>
        <v>Not Exists</v>
      </c>
      <c r="P1346" t="str">
        <f t="shared" si="66"/>
        <v>Not Exists</v>
      </c>
    </row>
    <row r="1347" spans="1:16">
      <c r="A1347" s="50" t="s">
        <v>1483</v>
      </c>
      <c r="B1347" s="50" t="s">
        <v>1490</v>
      </c>
      <c r="C1347" s="50" t="s">
        <v>256</v>
      </c>
      <c r="D1347" s="50">
        <v>450</v>
      </c>
      <c r="E1347" s="50" t="s">
        <v>1480</v>
      </c>
      <c r="F1347" s="50" t="s">
        <v>704</v>
      </c>
      <c r="G1347" s="50" t="s">
        <v>256</v>
      </c>
      <c r="H1347" s="50">
        <v>9</v>
      </c>
      <c r="M1347" t="str">
        <f>IF(COUNTIF($A:$A,E1347)=0,"Not Exists","Exists")</f>
        <v>Not Exists</v>
      </c>
      <c r="N1347" t="str">
        <f t="shared" si="67"/>
        <v>Not Exists</v>
      </c>
      <c r="O1347" t="str">
        <f t="shared" si="65"/>
        <v>Not Exists</v>
      </c>
      <c r="P1347" t="str">
        <f t="shared" si="66"/>
        <v>Not Exists</v>
      </c>
    </row>
    <row r="1348" spans="1:16">
      <c r="A1348" s="50" t="s">
        <v>1483</v>
      </c>
      <c r="B1348" s="50" t="s">
        <v>1491</v>
      </c>
      <c r="C1348" s="50" t="s">
        <v>256</v>
      </c>
      <c r="D1348" s="50">
        <v>3000</v>
      </c>
      <c r="E1348" s="50" t="s">
        <v>1480</v>
      </c>
      <c r="F1348" s="50" t="s">
        <v>1408</v>
      </c>
      <c r="G1348" s="50" t="s">
        <v>256</v>
      </c>
      <c r="H1348" s="50">
        <v>17</v>
      </c>
      <c r="M1348" t="str">
        <f>IF(COUNTIF($A:$A,E1348)=0,"Not Exists","Exists")</f>
        <v>Not Exists</v>
      </c>
      <c r="N1348" t="str">
        <f t="shared" si="67"/>
        <v>Not Exists</v>
      </c>
      <c r="O1348" t="str">
        <f t="shared" ref="O1348:O1411" si="68">IF(COUNTIF($E:$E,A1348)=0,"Not Exists","Exists")</f>
        <v>Not Exists</v>
      </c>
      <c r="P1348" t="str">
        <f t="shared" ref="P1348:P1411" si="69">IF(COUNTIF($F:$F,B1348)=0,"Not Exists","Exists")</f>
        <v>Not Exists</v>
      </c>
    </row>
    <row r="1349" spans="1:16">
      <c r="A1349" s="50" t="s">
        <v>1483</v>
      </c>
      <c r="B1349" s="50" t="s">
        <v>1492</v>
      </c>
      <c r="C1349" s="50" t="s">
        <v>256</v>
      </c>
      <c r="D1349" s="50">
        <v>3000</v>
      </c>
      <c r="E1349" s="50" t="s">
        <v>1480</v>
      </c>
      <c r="F1349" s="50" t="s">
        <v>1410</v>
      </c>
      <c r="G1349" s="50" t="s">
        <v>256</v>
      </c>
      <c r="H1349" s="50">
        <v>4000</v>
      </c>
      <c r="M1349" t="str">
        <f>IF(COUNTIF($A:$A,E1349)=0,"Not Exists","Exists")</f>
        <v>Not Exists</v>
      </c>
      <c r="N1349" t="str">
        <f t="shared" si="67"/>
        <v>Not Exists</v>
      </c>
      <c r="O1349" t="str">
        <f t="shared" si="68"/>
        <v>Not Exists</v>
      </c>
      <c r="P1349" t="str">
        <f t="shared" si="69"/>
        <v>Not Exists</v>
      </c>
    </row>
    <row r="1350" spans="1:16">
      <c r="A1350" s="50" t="s">
        <v>1483</v>
      </c>
      <c r="B1350" s="50" t="s">
        <v>1493</v>
      </c>
      <c r="C1350" s="50" t="s">
        <v>256</v>
      </c>
      <c r="D1350" s="50">
        <v>50</v>
      </c>
      <c r="E1350" s="50" t="s">
        <v>1480</v>
      </c>
      <c r="F1350" s="50" t="s">
        <v>1412</v>
      </c>
      <c r="G1350" s="50" t="s">
        <v>256</v>
      </c>
      <c r="H1350" s="50">
        <v>4000</v>
      </c>
      <c r="M1350" t="str">
        <f>IF(COUNTIF($A:$A,E1350)=0,"Not Exists","Exists")</f>
        <v>Not Exists</v>
      </c>
      <c r="N1350" t="str">
        <f t="shared" si="67"/>
        <v>Not Exists</v>
      </c>
      <c r="O1350" t="str">
        <f t="shared" si="68"/>
        <v>Not Exists</v>
      </c>
      <c r="P1350" t="str">
        <f t="shared" si="69"/>
        <v>Not Exists</v>
      </c>
    </row>
    <row r="1351" spans="1:16">
      <c r="A1351" s="50" t="s">
        <v>1483</v>
      </c>
      <c r="B1351" s="50" t="s">
        <v>1494</v>
      </c>
      <c r="C1351" s="50" t="s">
        <v>251</v>
      </c>
      <c r="D1351" s="50">
        <v>1</v>
      </c>
      <c r="E1351" s="50" t="s">
        <v>1480</v>
      </c>
      <c r="F1351" s="50" t="s">
        <v>1414</v>
      </c>
      <c r="G1351" s="50" t="s">
        <v>256</v>
      </c>
      <c r="H1351" s="50">
        <v>4000</v>
      </c>
      <c r="M1351" t="str">
        <f>IF(COUNTIF($A:$A,E1351)=0,"Not Exists","Exists")</f>
        <v>Not Exists</v>
      </c>
      <c r="N1351" t="str">
        <f t="shared" si="67"/>
        <v>Not Exists</v>
      </c>
      <c r="O1351" t="str">
        <f t="shared" si="68"/>
        <v>Not Exists</v>
      </c>
      <c r="P1351" t="str">
        <f t="shared" si="69"/>
        <v>Not Exists</v>
      </c>
    </row>
    <row r="1352" spans="1:16">
      <c r="A1352" s="50" t="s">
        <v>1483</v>
      </c>
      <c r="B1352" s="50" t="s">
        <v>1495</v>
      </c>
      <c r="C1352" s="50" t="s">
        <v>256</v>
      </c>
      <c r="D1352" s="50">
        <v>50</v>
      </c>
      <c r="E1352" s="50" t="s">
        <v>1496</v>
      </c>
      <c r="F1352" s="50" t="s">
        <v>781</v>
      </c>
      <c r="G1352" s="50" t="s">
        <v>256</v>
      </c>
      <c r="H1352" s="50">
        <v>8</v>
      </c>
      <c r="M1352" t="str">
        <f>IF(COUNTIF($A:$A,E1352)=0,"Not Exists","Exists")</f>
        <v>Not Exists</v>
      </c>
      <c r="N1352" t="str">
        <f t="shared" si="67"/>
        <v>Exists</v>
      </c>
      <c r="O1352" t="str">
        <f t="shared" si="68"/>
        <v>Not Exists</v>
      </c>
      <c r="P1352" t="str">
        <f t="shared" si="69"/>
        <v>Not Exists</v>
      </c>
    </row>
    <row r="1353" spans="1:16">
      <c r="A1353" s="50" t="s">
        <v>1483</v>
      </c>
      <c r="B1353" s="50" t="s">
        <v>1497</v>
      </c>
      <c r="C1353" s="50" t="s">
        <v>256</v>
      </c>
      <c r="D1353" s="50">
        <v>50</v>
      </c>
      <c r="E1353" s="50" t="s">
        <v>1496</v>
      </c>
      <c r="F1353" s="50" t="s">
        <v>780</v>
      </c>
      <c r="G1353" s="50" t="s">
        <v>256</v>
      </c>
      <c r="H1353" s="50">
        <v>20</v>
      </c>
      <c r="M1353" t="str">
        <f>IF(COUNTIF($A:$A,E1353)=0,"Not Exists","Exists")</f>
        <v>Not Exists</v>
      </c>
      <c r="N1353" t="str">
        <f t="shared" si="67"/>
        <v>Exists</v>
      </c>
      <c r="O1353" t="str">
        <f t="shared" si="68"/>
        <v>Not Exists</v>
      </c>
      <c r="P1353" t="str">
        <f t="shared" si="69"/>
        <v>Not Exists</v>
      </c>
    </row>
    <row r="1354" spans="1:16">
      <c r="A1354" s="50" t="s">
        <v>1483</v>
      </c>
      <c r="B1354" s="50" t="s">
        <v>1498</v>
      </c>
      <c r="C1354" s="50" t="s">
        <v>256</v>
      </c>
      <c r="D1354" s="50">
        <v>50</v>
      </c>
      <c r="E1354" s="50" t="s">
        <v>1496</v>
      </c>
      <c r="F1354" s="50" t="s">
        <v>1395</v>
      </c>
      <c r="G1354" s="50" t="s">
        <v>256</v>
      </c>
      <c r="H1354" s="50">
        <v>1</v>
      </c>
      <c r="M1354" t="str">
        <f>IF(COUNTIF($A:$A,E1354)=0,"Not Exists","Exists")</f>
        <v>Not Exists</v>
      </c>
      <c r="N1354" t="str">
        <f t="shared" si="67"/>
        <v>Not Exists</v>
      </c>
      <c r="O1354" t="str">
        <f t="shared" si="68"/>
        <v>Not Exists</v>
      </c>
      <c r="P1354" t="str">
        <f t="shared" si="69"/>
        <v>Not Exists</v>
      </c>
    </row>
    <row r="1355" spans="1:16">
      <c r="A1355" s="50" t="s">
        <v>1483</v>
      </c>
      <c r="B1355" s="50" t="s">
        <v>1499</v>
      </c>
      <c r="C1355" s="50" t="s">
        <v>256</v>
      </c>
      <c r="D1355" s="50">
        <v>50</v>
      </c>
      <c r="E1355" s="50" t="s">
        <v>1496</v>
      </c>
      <c r="F1355" s="50" t="s">
        <v>1397</v>
      </c>
      <c r="G1355" s="50" t="s">
        <v>256</v>
      </c>
      <c r="H1355" s="50">
        <v>2</v>
      </c>
      <c r="M1355" t="str">
        <f>IF(COUNTIF($A:$A,E1355)=0,"Not Exists","Exists")</f>
        <v>Not Exists</v>
      </c>
      <c r="N1355" t="str">
        <f t="shared" si="67"/>
        <v>Not Exists</v>
      </c>
      <c r="O1355" t="str">
        <f t="shared" si="68"/>
        <v>Not Exists</v>
      </c>
      <c r="P1355" t="str">
        <f t="shared" si="69"/>
        <v>Not Exists</v>
      </c>
    </row>
    <row r="1356" spans="1:16">
      <c r="A1356" s="50" t="s">
        <v>1483</v>
      </c>
      <c r="B1356" s="50" t="s">
        <v>1500</v>
      </c>
      <c r="C1356" s="50" t="s">
        <v>256</v>
      </c>
      <c r="D1356" s="50">
        <v>50</v>
      </c>
      <c r="E1356" s="50" t="s">
        <v>1496</v>
      </c>
      <c r="F1356" s="50" t="s">
        <v>796</v>
      </c>
      <c r="G1356" s="50" t="s">
        <v>254</v>
      </c>
      <c r="H1356" s="50">
        <v>22</v>
      </c>
      <c r="M1356" t="str">
        <f>IF(COUNTIF($A:$A,E1356)=0,"Not Exists","Exists")</f>
        <v>Not Exists</v>
      </c>
      <c r="N1356" t="str">
        <f t="shared" si="67"/>
        <v>Exists</v>
      </c>
      <c r="O1356" t="str">
        <f t="shared" si="68"/>
        <v>Not Exists</v>
      </c>
      <c r="P1356" t="str">
        <f t="shared" si="69"/>
        <v>Not Exists</v>
      </c>
    </row>
    <row r="1357" spans="1:16">
      <c r="A1357" s="50" t="s">
        <v>1483</v>
      </c>
      <c r="B1357" s="50" t="s">
        <v>1501</v>
      </c>
      <c r="C1357" s="50" t="s">
        <v>256</v>
      </c>
      <c r="D1357" s="50">
        <v>50</v>
      </c>
      <c r="E1357" s="50" t="s">
        <v>1496</v>
      </c>
      <c r="F1357" s="50" t="s">
        <v>424</v>
      </c>
      <c r="G1357" s="50" t="s">
        <v>256</v>
      </c>
      <c r="H1357" s="50">
        <v>60</v>
      </c>
      <c r="M1357" t="str">
        <f>IF(COUNTIF($A:$A,E1357)=0,"Not Exists","Exists")</f>
        <v>Not Exists</v>
      </c>
      <c r="N1357" t="str">
        <f t="shared" si="67"/>
        <v>Exists</v>
      </c>
      <c r="O1357" t="str">
        <f t="shared" si="68"/>
        <v>Not Exists</v>
      </c>
      <c r="P1357" t="str">
        <f t="shared" si="69"/>
        <v>Not Exists</v>
      </c>
    </row>
    <row r="1358" spans="1:16">
      <c r="A1358" s="50" t="s">
        <v>1483</v>
      </c>
      <c r="B1358" s="50" t="s">
        <v>1502</v>
      </c>
      <c r="C1358" s="50" t="s">
        <v>256</v>
      </c>
      <c r="D1358" s="50">
        <v>50</v>
      </c>
      <c r="E1358" s="50" t="s">
        <v>1496</v>
      </c>
      <c r="F1358" s="50" t="s">
        <v>1401</v>
      </c>
      <c r="G1358" s="50" t="s">
        <v>256</v>
      </c>
      <c r="H1358" s="50">
        <v>3</v>
      </c>
      <c r="M1358" t="str">
        <f>IF(COUNTIF($A:$A,E1358)=0,"Not Exists","Exists")</f>
        <v>Not Exists</v>
      </c>
      <c r="N1358" t="str">
        <f t="shared" si="67"/>
        <v>Not Exists</v>
      </c>
      <c r="O1358" t="str">
        <f t="shared" si="68"/>
        <v>Not Exists</v>
      </c>
      <c r="P1358" t="str">
        <f t="shared" si="69"/>
        <v>Not Exists</v>
      </c>
    </row>
    <row r="1359" spans="1:16">
      <c r="A1359" s="50" t="s">
        <v>1483</v>
      </c>
      <c r="B1359" s="50" t="s">
        <v>1503</v>
      </c>
      <c r="C1359" s="50" t="s">
        <v>256</v>
      </c>
      <c r="D1359" s="50">
        <v>50</v>
      </c>
      <c r="E1359" s="50" t="s">
        <v>1496</v>
      </c>
      <c r="F1359" s="50" t="s">
        <v>430</v>
      </c>
      <c r="G1359" s="50" t="s">
        <v>256</v>
      </c>
      <c r="H1359" s="50">
        <v>50</v>
      </c>
      <c r="M1359" t="str">
        <f>IF(COUNTIF($A:$A,E1359)=0,"Not Exists","Exists")</f>
        <v>Not Exists</v>
      </c>
      <c r="N1359" t="str">
        <f t="shared" si="67"/>
        <v>Exists</v>
      </c>
      <c r="O1359" t="str">
        <f t="shared" si="68"/>
        <v>Not Exists</v>
      </c>
      <c r="P1359" t="str">
        <f t="shared" si="69"/>
        <v>Not Exists</v>
      </c>
    </row>
    <row r="1360" spans="1:16">
      <c r="A1360" s="50" t="s">
        <v>1483</v>
      </c>
      <c r="B1360" s="50" t="s">
        <v>1504</v>
      </c>
      <c r="C1360" s="50" t="s">
        <v>256</v>
      </c>
      <c r="D1360" s="50">
        <v>50</v>
      </c>
      <c r="E1360" s="50" t="s">
        <v>1496</v>
      </c>
      <c r="F1360" s="50" t="s">
        <v>1405</v>
      </c>
      <c r="G1360" s="50" t="s">
        <v>256</v>
      </c>
      <c r="H1360" s="50">
        <v>9</v>
      </c>
      <c r="M1360" t="str">
        <f>IF(COUNTIF($A:$A,E1360)=0,"Not Exists","Exists")</f>
        <v>Not Exists</v>
      </c>
      <c r="N1360" t="str">
        <f t="shared" si="67"/>
        <v>Not Exists</v>
      </c>
      <c r="O1360" t="str">
        <f t="shared" si="68"/>
        <v>Not Exists</v>
      </c>
      <c r="P1360" t="str">
        <f t="shared" si="69"/>
        <v>Not Exists</v>
      </c>
    </row>
    <row r="1361" spans="1:16">
      <c r="A1361" s="50" t="s">
        <v>1483</v>
      </c>
      <c r="B1361" s="50" t="s">
        <v>1505</v>
      </c>
      <c r="C1361" s="50" t="s">
        <v>256</v>
      </c>
      <c r="D1361" s="50">
        <v>50</v>
      </c>
      <c r="E1361" s="50" t="s">
        <v>1496</v>
      </c>
      <c r="F1361" s="50" t="s">
        <v>704</v>
      </c>
      <c r="G1361" s="50" t="s">
        <v>256</v>
      </c>
      <c r="H1361" s="50">
        <v>9</v>
      </c>
      <c r="M1361" t="str">
        <f>IF(COUNTIF($A:$A,E1361)=0,"Not Exists","Exists")</f>
        <v>Not Exists</v>
      </c>
      <c r="N1361" t="str">
        <f t="shared" si="67"/>
        <v>Not Exists</v>
      </c>
      <c r="O1361" t="str">
        <f t="shared" si="68"/>
        <v>Not Exists</v>
      </c>
      <c r="P1361" t="str">
        <f t="shared" si="69"/>
        <v>Not Exists</v>
      </c>
    </row>
    <row r="1362" spans="1:16">
      <c r="A1362" s="50" t="s">
        <v>1483</v>
      </c>
      <c r="B1362" s="50" t="s">
        <v>1506</v>
      </c>
      <c r="C1362" s="50" t="s">
        <v>256</v>
      </c>
      <c r="D1362" s="50">
        <v>10</v>
      </c>
      <c r="E1362" s="50" t="s">
        <v>1496</v>
      </c>
      <c r="F1362" s="50" t="s">
        <v>1408</v>
      </c>
      <c r="G1362" s="50" t="s">
        <v>256</v>
      </c>
      <c r="H1362" s="50">
        <v>17</v>
      </c>
      <c r="M1362" t="str">
        <f>IF(COUNTIF($A:$A,E1362)=0,"Not Exists","Exists")</f>
        <v>Not Exists</v>
      </c>
      <c r="N1362" t="str">
        <f t="shared" si="67"/>
        <v>Not Exists</v>
      </c>
      <c r="O1362" t="str">
        <f t="shared" si="68"/>
        <v>Not Exists</v>
      </c>
      <c r="P1362" t="str">
        <f t="shared" si="69"/>
        <v>Not Exists</v>
      </c>
    </row>
    <row r="1363" spans="1:16">
      <c r="A1363" s="50" t="s">
        <v>1483</v>
      </c>
      <c r="B1363" s="50" t="s">
        <v>1507</v>
      </c>
      <c r="C1363" s="50" t="s">
        <v>256</v>
      </c>
      <c r="D1363" s="50">
        <v>50</v>
      </c>
      <c r="E1363" s="50" t="s">
        <v>1496</v>
      </c>
      <c r="F1363" s="50" t="s">
        <v>1410</v>
      </c>
      <c r="G1363" s="50" t="s">
        <v>256</v>
      </c>
      <c r="H1363" s="50">
        <v>4000</v>
      </c>
      <c r="M1363" t="str">
        <f>IF(COUNTIF($A:$A,E1363)=0,"Not Exists","Exists")</f>
        <v>Not Exists</v>
      </c>
      <c r="N1363" t="str">
        <f t="shared" si="67"/>
        <v>Not Exists</v>
      </c>
      <c r="O1363" t="str">
        <f t="shared" si="68"/>
        <v>Not Exists</v>
      </c>
      <c r="P1363" t="str">
        <f t="shared" si="69"/>
        <v>Not Exists</v>
      </c>
    </row>
    <row r="1364" spans="1:16">
      <c r="A1364" s="50" t="s">
        <v>1483</v>
      </c>
      <c r="B1364" s="50" t="s">
        <v>1508</v>
      </c>
      <c r="C1364" s="50" t="s">
        <v>256</v>
      </c>
      <c r="D1364" s="50">
        <v>50</v>
      </c>
      <c r="E1364" s="50" t="s">
        <v>1496</v>
      </c>
      <c r="F1364" s="50" t="s">
        <v>1412</v>
      </c>
      <c r="G1364" s="50" t="s">
        <v>256</v>
      </c>
      <c r="H1364" s="50">
        <v>4000</v>
      </c>
      <c r="M1364" t="str">
        <f>IF(COUNTIF($A:$A,E1364)=0,"Not Exists","Exists")</f>
        <v>Not Exists</v>
      </c>
      <c r="N1364" t="str">
        <f t="shared" si="67"/>
        <v>Not Exists</v>
      </c>
      <c r="O1364" t="str">
        <f t="shared" si="68"/>
        <v>Not Exists</v>
      </c>
      <c r="P1364" t="str">
        <f t="shared" si="69"/>
        <v>Not Exists</v>
      </c>
    </row>
    <row r="1365" spans="1:16">
      <c r="A1365" s="50" t="s">
        <v>1509</v>
      </c>
      <c r="B1365" s="50" t="s">
        <v>1510</v>
      </c>
      <c r="C1365" s="50" t="s">
        <v>256</v>
      </c>
      <c r="D1365" s="50">
        <v>50</v>
      </c>
      <c r="E1365" s="50" t="s">
        <v>1496</v>
      </c>
      <c r="F1365" s="50" t="s">
        <v>1414</v>
      </c>
      <c r="G1365" s="50" t="s">
        <v>256</v>
      </c>
      <c r="H1365" s="50">
        <v>4000</v>
      </c>
      <c r="M1365" t="str">
        <f>IF(COUNTIF($A:$A,E1365)=0,"Not Exists","Exists")</f>
        <v>Not Exists</v>
      </c>
      <c r="N1365" t="str">
        <f t="shared" si="67"/>
        <v>Not Exists</v>
      </c>
      <c r="O1365" t="str">
        <f t="shared" si="68"/>
        <v>Not Exists</v>
      </c>
      <c r="P1365" t="str">
        <f t="shared" si="69"/>
        <v>Not Exists</v>
      </c>
    </row>
    <row r="1366" spans="1:16">
      <c r="A1366" s="50" t="s">
        <v>1509</v>
      </c>
      <c r="B1366" s="50" t="s">
        <v>1511</v>
      </c>
      <c r="C1366" s="50" t="s">
        <v>256</v>
      </c>
      <c r="D1366" s="50">
        <v>50</v>
      </c>
      <c r="E1366" s="50" t="s">
        <v>1512</v>
      </c>
      <c r="F1366" s="50" t="s">
        <v>781</v>
      </c>
      <c r="G1366" s="50" t="s">
        <v>256</v>
      </c>
      <c r="H1366" s="50">
        <v>8</v>
      </c>
      <c r="M1366" t="str">
        <f>IF(COUNTIF($A:$A,E1366)=0,"Not Exists","Exists")</f>
        <v>Not Exists</v>
      </c>
      <c r="N1366" t="str">
        <f t="shared" si="67"/>
        <v>Exists</v>
      </c>
      <c r="O1366" t="str">
        <f t="shared" si="68"/>
        <v>Not Exists</v>
      </c>
      <c r="P1366" t="str">
        <f t="shared" si="69"/>
        <v>Not Exists</v>
      </c>
    </row>
    <row r="1367" spans="1:16">
      <c r="A1367" s="50" t="s">
        <v>1509</v>
      </c>
      <c r="B1367" s="50" t="s">
        <v>1513</v>
      </c>
      <c r="C1367" s="50" t="s">
        <v>251</v>
      </c>
      <c r="D1367" s="50">
        <v>17</v>
      </c>
      <c r="E1367" s="50" t="s">
        <v>1512</v>
      </c>
      <c r="F1367" s="50" t="s">
        <v>780</v>
      </c>
      <c r="G1367" s="50" t="s">
        <v>256</v>
      </c>
      <c r="H1367" s="50">
        <v>20</v>
      </c>
      <c r="M1367" t="str">
        <f>IF(COUNTIF($A:$A,E1367)=0,"Not Exists","Exists")</f>
        <v>Not Exists</v>
      </c>
      <c r="N1367" t="str">
        <f t="shared" si="67"/>
        <v>Exists</v>
      </c>
      <c r="O1367" t="str">
        <f t="shared" si="68"/>
        <v>Not Exists</v>
      </c>
      <c r="P1367" t="str">
        <f t="shared" si="69"/>
        <v>Not Exists</v>
      </c>
    </row>
    <row r="1368" spans="1:16">
      <c r="A1368" s="50" t="s">
        <v>1509</v>
      </c>
      <c r="B1368" s="50" t="s">
        <v>1514</v>
      </c>
      <c r="C1368" s="50" t="s">
        <v>256</v>
      </c>
      <c r="D1368" s="50">
        <v>50</v>
      </c>
      <c r="E1368" s="50" t="s">
        <v>1512</v>
      </c>
      <c r="F1368" s="50" t="s">
        <v>1395</v>
      </c>
      <c r="G1368" s="50" t="s">
        <v>256</v>
      </c>
      <c r="H1368" s="50">
        <v>1</v>
      </c>
      <c r="M1368" t="str">
        <f>IF(COUNTIF($A:$A,E1368)=0,"Not Exists","Exists")</f>
        <v>Not Exists</v>
      </c>
      <c r="N1368" t="str">
        <f t="shared" si="67"/>
        <v>Not Exists</v>
      </c>
      <c r="O1368" t="str">
        <f t="shared" si="68"/>
        <v>Not Exists</v>
      </c>
      <c r="P1368" t="str">
        <f t="shared" si="69"/>
        <v>Not Exists</v>
      </c>
    </row>
    <row r="1369" spans="1:16">
      <c r="A1369" s="50" t="s">
        <v>1509</v>
      </c>
      <c r="B1369" s="50" t="s">
        <v>1515</v>
      </c>
      <c r="C1369" s="50" t="s">
        <v>251</v>
      </c>
      <c r="D1369" s="50">
        <v>17</v>
      </c>
      <c r="E1369" s="50" t="s">
        <v>1512</v>
      </c>
      <c r="F1369" s="50" t="s">
        <v>1397</v>
      </c>
      <c r="G1369" s="50" t="s">
        <v>256</v>
      </c>
      <c r="H1369" s="50">
        <v>2</v>
      </c>
      <c r="M1369" t="str">
        <f>IF(COUNTIF($A:$A,E1369)=0,"Not Exists","Exists")</f>
        <v>Not Exists</v>
      </c>
      <c r="N1369" t="str">
        <f t="shared" si="67"/>
        <v>Not Exists</v>
      </c>
      <c r="O1369" t="str">
        <f t="shared" si="68"/>
        <v>Not Exists</v>
      </c>
      <c r="P1369" t="str">
        <f t="shared" si="69"/>
        <v>Not Exists</v>
      </c>
    </row>
    <row r="1370" spans="1:16">
      <c r="A1370" s="50" t="s">
        <v>1509</v>
      </c>
      <c r="B1370" s="50" t="s">
        <v>1516</v>
      </c>
      <c r="C1370" s="50" t="s">
        <v>256</v>
      </c>
      <c r="D1370" s="50">
        <v>50</v>
      </c>
      <c r="E1370" s="50" t="s">
        <v>1512</v>
      </c>
      <c r="F1370" s="50" t="s">
        <v>796</v>
      </c>
      <c r="G1370" s="50" t="s">
        <v>254</v>
      </c>
      <c r="H1370" s="50">
        <v>22</v>
      </c>
      <c r="M1370" t="str">
        <f>IF(COUNTIF($A:$A,E1370)=0,"Not Exists","Exists")</f>
        <v>Not Exists</v>
      </c>
      <c r="N1370" t="str">
        <f t="shared" si="67"/>
        <v>Exists</v>
      </c>
      <c r="O1370" t="str">
        <f t="shared" si="68"/>
        <v>Not Exists</v>
      </c>
      <c r="P1370" t="str">
        <f t="shared" si="69"/>
        <v>Not Exists</v>
      </c>
    </row>
    <row r="1371" spans="1:16">
      <c r="A1371" s="50" t="s">
        <v>1509</v>
      </c>
      <c r="B1371" s="50" t="s">
        <v>1517</v>
      </c>
      <c r="C1371" s="50" t="s">
        <v>254</v>
      </c>
      <c r="D1371" s="50">
        <v>22</v>
      </c>
      <c r="E1371" s="50" t="s">
        <v>1512</v>
      </c>
      <c r="F1371" s="50" t="s">
        <v>424</v>
      </c>
      <c r="G1371" s="50" t="s">
        <v>256</v>
      </c>
      <c r="H1371" s="50">
        <v>60</v>
      </c>
      <c r="M1371" t="str">
        <f>IF(COUNTIF($A:$A,E1371)=0,"Not Exists","Exists")</f>
        <v>Not Exists</v>
      </c>
      <c r="N1371" t="str">
        <f t="shared" si="67"/>
        <v>Exists</v>
      </c>
      <c r="O1371" t="str">
        <f t="shared" si="68"/>
        <v>Not Exists</v>
      </c>
      <c r="P1371" t="str">
        <f t="shared" si="69"/>
        <v>Not Exists</v>
      </c>
    </row>
    <row r="1372" spans="1:16">
      <c r="A1372" s="50" t="s">
        <v>1509</v>
      </c>
      <c r="B1372" s="50" t="s">
        <v>1518</v>
      </c>
      <c r="C1372" s="50" t="s">
        <v>427</v>
      </c>
      <c r="D1372" s="50">
        <v>4000</v>
      </c>
      <c r="E1372" s="50" t="s">
        <v>1512</v>
      </c>
      <c r="F1372" s="50" t="s">
        <v>1401</v>
      </c>
      <c r="G1372" s="50" t="s">
        <v>256</v>
      </c>
      <c r="H1372" s="50">
        <v>3</v>
      </c>
      <c r="M1372" t="str">
        <f>IF(COUNTIF($A:$A,E1372)=0,"Not Exists","Exists")</f>
        <v>Not Exists</v>
      </c>
      <c r="N1372" t="str">
        <f t="shared" si="67"/>
        <v>Not Exists</v>
      </c>
      <c r="O1372" t="str">
        <f t="shared" si="68"/>
        <v>Not Exists</v>
      </c>
      <c r="P1372" t="str">
        <f t="shared" si="69"/>
        <v>Not Exists</v>
      </c>
    </row>
    <row r="1373" spans="1:16">
      <c r="A1373" s="50" t="s">
        <v>1509</v>
      </c>
      <c r="B1373" s="50" t="s">
        <v>1519</v>
      </c>
      <c r="C1373" s="50" t="s">
        <v>256</v>
      </c>
      <c r="D1373" s="50">
        <v>50</v>
      </c>
      <c r="E1373" s="50" t="s">
        <v>1512</v>
      </c>
      <c r="F1373" s="50" t="s">
        <v>430</v>
      </c>
      <c r="G1373" s="50" t="s">
        <v>256</v>
      </c>
      <c r="H1373" s="50">
        <v>50</v>
      </c>
      <c r="M1373" t="str">
        <f>IF(COUNTIF($A:$A,E1373)=0,"Not Exists","Exists")</f>
        <v>Not Exists</v>
      </c>
      <c r="N1373" t="str">
        <f t="shared" si="67"/>
        <v>Exists</v>
      </c>
      <c r="O1373" t="str">
        <f t="shared" si="68"/>
        <v>Not Exists</v>
      </c>
      <c r="P1373" t="str">
        <f t="shared" si="69"/>
        <v>Not Exists</v>
      </c>
    </row>
    <row r="1374" spans="1:16">
      <c r="A1374" s="50" t="s">
        <v>1509</v>
      </c>
      <c r="B1374" s="50" t="s">
        <v>1520</v>
      </c>
      <c r="C1374" s="50" t="s">
        <v>427</v>
      </c>
      <c r="D1374" s="50">
        <v>4000</v>
      </c>
      <c r="E1374" s="50" t="s">
        <v>1512</v>
      </c>
      <c r="F1374" s="50" t="s">
        <v>1405</v>
      </c>
      <c r="G1374" s="50" t="s">
        <v>256</v>
      </c>
      <c r="H1374" s="50">
        <v>9</v>
      </c>
      <c r="M1374" t="str">
        <f>IF(COUNTIF($A:$A,E1374)=0,"Not Exists","Exists")</f>
        <v>Not Exists</v>
      </c>
      <c r="N1374" t="str">
        <f t="shared" si="67"/>
        <v>Not Exists</v>
      </c>
      <c r="O1374" t="str">
        <f t="shared" si="68"/>
        <v>Not Exists</v>
      </c>
      <c r="P1374" t="str">
        <f t="shared" si="69"/>
        <v>Not Exists</v>
      </c>
    </row>
    <row r="1375" spans="1:16">
      <c r="A1375" s="50" t="s">
        <v>1509</v>
      </c>
      <c r="B1375" s="50" t="s">
        <v>1521</v>
      </c>
      <c r="C1375" s="50" t="s">
        <v>256</v>
      </c>
      <c r="D1375" s="50">
        <v>50</v>
      </c>
      <c r="E1375" s="50" t="s">
        <v>1512</v>
      </c>
      <c r="F1375" s="50" t="s">
        <v>704</v>
      </c>
      <c r="G1375" s="50" t="s">
        <v>256</v>
      </c>
      <c r="H1375" s="50">
        <v>9</v>
      </c>
      <c r="M1375" t="str">
        <f>IF(COUNTIF($A:$A,E1375)=0,"Not Exists","Exists")</f>
        <v>Not Exists</v>
      </c>
      <c r="N1375" t="str">
        <f t="shared" si="67"/>
        <v>Not Exists</v>
      </c>
      <c r="O1375" t="str">
        <f t="shared" si="68"/>
        <v>Not Exists</v>
      </c>
      <c r="P1375" t="str">
        <f t="shared" si="69"/>
        <v>Not Exists</v>
      </c>
    </row>
    <row r="1376" spans="1:16">
      <c r="A1376" s="50" t="s">
        <v>1509</v>
      </c>
      <c r="B1376" s="50" t="s">
        <v>1522</v>
      </c>
      <c r="C1376" s="50" t="s">
        <v>256</v>
      </c>
      <c r="D1376" s="50">
        <v>450</v>
      </c>
      <c r="E1376" s="50" t="s">
        <v>1512</v>
      </c>
      <c r="F1376" s="50" t="s">
        <v>1408</v>
      </c>
      <c r="G1376" s="50" t="s">
        <v>256</v>
      </c>
      <c r="H1376" s="50">
        <v>17</v>
      </c>
      <c r="M1376" t="str">
        <f>IF(COUNTIF($A:$A,E1376)=0,"Not Exists","Exists")</f>
        <v>Not Exists</v>
      </c>
      <c r="N1376" t="str">
        <f t="shared" si="67"/>
        <v>Not Exists</v>
      </c>
      <c r="O1376" t="str">
        <f t="shared" si="68"/>
        <v>Not Exists</v>
      </c>
      <c r="P1376" t="str">
        <f t="shared" si="69"/>
        <v>Not Exists</v>
      </c>
    </row>
    <row r="1377" spans="1:16">
      <c r="A1377" s="50" t="s">
        <v>1509</v>
      </c>
      <c r="B1377" s="50" t="s">
        <v>1523</v>
      </c>
      <c r="C1377" s="50" t="s">
        <v>427</v>
      </c>
      <c r="D1377" s="50">
        <v>4000</v>
      </c>
      <c r="E1377" s="50" t="s">
        <v>1512</v>
      </c>
      <c r="F1377" s="50" t="s">
        <v>1410</v>
      </c>
      <c r="G1377" s="50" t="s">
        <v>256</v>
      </c>
      <c r="H1377" s="50">
        <v>4000</v>
      </c>
      <c r="M1377" t="str">
        <f>IF(COUNTIF($A:$A,E1377)=0,"Not Exists","Exists")</f>
        <v>Not Exists</v>
      </c>
      <c r="N1377" t="str">
        <f t="shared" si="67"/>
        <v>Not Exists</v>
      </c>
      <c r="O1377" t="str">
        <f t="shared" si="68"/>
        <v>Not Exists</v>
      </c>
      <c r="P1377" t="str">
        <f t="shared" si="69"/>
        <v>Not Exists</v>
      </c>
    </row>
    <row r="1378" spans="1:16">
      <c r="A1378" s="50" t="s">
        <v>1509</v>
      </c>
      <c r="B1378" s="50" t="s">
        <v>1524</v>
      </c>
      <c r="C1378" s="50" t="s">
        <v>256</v>
      </c>
      <c r="D1378" s="50">
        <v>50</v>
      </c>
      <c r="E1378" s="50" t="s">
        <v>1512</v>
      </c>
      <c r="F1378" s="50" t="s">
        <v>1412</v>
      </c>
      <c r="G1378" s="50" t="s">
        <v>256</v>
      </c>
      <c r="H1378" s="50">
        <v>4000</v>
      </c>
      <c r="M1378" t="str">
        <f>IF(COUNTIF($A:$A,E1378)=0,"Not Exists","Exists")</f>
        <v>Not Exists</v>
      </c>
      <c r="N1378" t="str">
        <f t="shared" si="67"/>
        <v>Not Exists</v>
      </c>
      <c r="O1378" t="str">
        <f t="shared" si="68"/>
        <v>Not Exists</v>
      </c>
      <c r="P1378" t="str">
        <f t="shared" si="69"/>
        <v>Not Exists</v>
      </c>
    </row>
    <row r="1379" spans="1:16">
      <c r="A1379" s="50" t="s">
        <v>1509</v>
      </c>
      <c r="B1379" s="50" t="s">
        <v>1525</v>
      </c>
      <c r="C1379" s="50" t="s">
        <v>251</v>
      </c>
      <c r="D1379" s="50">
        <v>1</v>
      </c>
      <c r="E1379" s="50" t="s">
        <v>1512</v>
      </c>
      <c r="F1379" s="50" t="s">
        <v>1414</v>
      </c>
      <c r="G1379" s="50" t="s">
        <v>256</v>
      </c>
      <c r="H1379" s="50">
        <v>4000</v>
      </c>
      <c r="M1379" t="str">
        <f>IF(COUNTIF($A:$A,E1379)=0,"Not Exists","Exists")</f>
        <v>Not Exists</v>
      </c>
      <c r="N1379" t="str">
        <f t="shared" si="67"/>
        <v>Not Exists</v>
      </c>
      <c r="O1379" t="str">
        <f t="shared" si="68"/>
        <v>Not Exists</v>
      </c>
      <c r="P1379" t="str">
        <f t="shared" si="69"/>
        <v>Not Exists</v>
      </c>
    </row>
    <row r="1380" spans="1:16">
      <c r="A1380" s="50" t="s">
        <v>1509</v>
      </c>
      <c r="B1380" s="50" t="s">
        <v>1526</v>
      </c>
      <c r="C1380" s="50" t="s">
        <v>256</v>
      </c>
      <c r="D1380" s="50">
        <v>50</v>
      </c>
      <c r="E1380" s="50" t="s">
        <v>1527</v>
      </c>
      <c r="F1380" s="50" t="s">
        <v>781</v>
      </c>
      <c r="G1380" s="50" t="s">
        <v>256</v>
      </c>
      <c r="H1380" s="50">
        <v>8</v>
      </c>
      <c r="M1380" t="str">
        <f>IF(COUNTIF($A:$A,E1380)=0,"Not Exists","Exists")</f>
        <v>Not Exists</v>
      </c>
      <c r="N1380" t="str">
        <f t="shared" si="67"/>
        <v>Exists</v>
      </c>
      <c r="O1380" t="str">
        <f t="shared" si="68"/>
        <v>Not Exists</v>
      </c>
      <c r="P1380" t="str">
        <f t="shared" si="69"/>
        <v>Not Exists</v>
      </c>
    </row>
    <row r="1381" spans="1:16">
      <c r="A1381" s="50" t="s">
        <v>1509</v>
      </c>
      <c r="B1381" s="50" t="s">
        <v>1528</v>
      </c>
      <c r="C1381" s="50" t="s">
        <v>256</v>
      </c>
      <c r="D1381" s="50">
        <v>50</v>
      </c>
      <c r="E1381" s="50" t="s">
        <v>1527</v>
      </c>
      <c r="F1381" s="50" t="s">
        <v>780</v>
      </c>
      <c r="G1381" s="50" t="s">
        <v>256</v>
      </c>
      <c r="H1381" s="50">
        <v>20</v>
      </c>
      <c r="M1381" t="str">
        <f>IF(COUNTIF($A:$A,E1381)=0,"Not Exists","Exists")</f>
        <v>Not Exists</v>
      </c>
      <c r="N1381" t="str">
        <f t="shared" si="67"/>
        <v>Exists</v>
      </c>
      <c r="O1381" t="str">
        <f t="shared" si="68"/>
        <v>Not Exists</v>
      </c>
      <c r="P1381" t="str">
        <f t="shared" si="69"/>
        <v>Not Exists</v>
      </c>
    </row>
    <row r="1382" spans="1:16">
      <c r="A1382" s="50" t="s">
        <v>1529</v>
      </c>
      <c r="B1382" s="50" t="s">
        <v>1530</v>
      </c>
      <c r="C1382" s="50" t="s">
        <v>256</v>
      </c>
      <c r="D1382" s="50">
        <v>50</v>
      </c>
      <c r="E1382" s="50" t="s">
        <v>1527</v>
      </c>
      <c r="F1382" s="50" t="s">
        <v>1395</v>
      </c>
      <c r="G1382" s="50" t="s">
        <v>256</v>
      </c>
      <c r="H1382" s="50">
        <v>1</v>
      </c>
      <c r="M1382" t="str">
        <f>IF(COUNTIF($A:$A,E1382)=0,"Not Exists","Exists")</f>
        <v>Not Exists</v>
      </c>
      <c r="N1382" t="str">
        <f t="shared" si="67"/>
        <v>Not Exists</v>
      </c>
      <c r="O1382" t="str">
        <f t="shared" si="68"/>
        <v>Exists</v>
      </c>
      <c r="P1382" t="str">
        <f t="shared" si="69"/>
        <v>Exists</v>
      </c>
    </row>
    <row r="1383" spans="1:16">
      <c r="A1383" s="50" t="s">
        <v>1529</v>
      </c>
      <c r="B1383" s="50" t="s">
        <v>1531</v>
      </c>
      <c r="C1383" s="50" t="s">
        <v>256</v>
      </c>
      <c r="D1383" s="50">
        <v>50</v>
      </c>
      <c r="E1383" s="50" t="s">
        <v>1527</v>
      </c>
      <c r="F1383" s="50" t="s">
        <v>1397</v>
      </c>
      <c r="G1383" s="50" t="s">
        <v>256</v>
      </c>
      <c r="H1383" s="50">
        <v>2</v>
      </c>
      <c r="M1383" t="str">
        <f>IF(COUNTIF($A:$A,E1383)=0,"Not Exists","Exists")</f>
        <v>Not Exists</v>
      </c>
      <c r="N1383" t="str">
        <f t="shared" si="67"/>
        <v>Not Exists</v>
      </c>
      <c r="O1383" t="str">
        <f t="shared" si="68"/>
        <v>Exists</v>
      </c>
      <c r="P1383" t="str">
        <f t="shared" si="69"/>
        <v>Not Exists</v>
      </c>
    </row>
    <row r="1384" spans="1:16">
      <c r="A1384" s="50" t="s">
        <v>1529</v>
      </c>
      <c r="B1384" s="50" t="s">
        <v>1532</v>
      </c>
      <c r="C1384" s="50" t="s">
        <v>251</v>
      </c>
      <c r="D1384" s="50">
        <v>17</v>
      </c>
      <c r="E1384" s="50" t="s">
        <v>1527</v>
      </c>
      <c r="F1384" s="50" t="s">
        <v>796</v>
      </c>
      <c r="G1384" s="50" t="s">
        <v>254</v>
      </c>
      <c r="H1384" s="50">
        <v>22</v>
      </c>
      <c r="M1384" t="str">
        <f>IF(COUNTIF($A:$A,E1384)=0,"Not Exists","Exists")</f>
        <v>Not Exists</v>
      </c>
      <c r="N1384" t="str">
        <f t="shared" si="67"/>
        <v>Exists</v>
      </c>
      <c r="O1384" t="str">
        <f t="shared" si="68"/>
        <v>Exists</v>
      </c>
      <c r="P1384" t="str">
        <f t="shared" si="69"/>
        <v>Exists</v>
      </c>
    </row>
    <row r="1385" spans="1:16">
      <c r="A1385" s="50" t="s">
        <v>1529</v>
      </c>
      <c r="B1385" s="50" t="s">
        <v>1533</v>
      </c>
      <c r="C1385" s="50" t="s">
        <v>256</v>
      </c>
      <c r="D1385" s="50">
        <v>50</v>
      </c>
      <c r="E1385" s="50" t="s">
        <v>1527</v>
      </c>
      <c r="F1385" s="50" t="s">
        <v>424</v>
      </c>
      <c r="G1385" s="50" t="s">
        <v>256</v>
      </c>
      <c r="H1385" s="50">
        <v>60</v>
      </c>
      <c r="M1385" t="str">
        <f>IF(COUNTIF($A:$A,E1385)=0,"Not Exists","Exists")</f>
        <v>Not Exists</v>
      </c>
      <c r="N1385" t="str">
        <f t="shared" si="67"/>
        <v>Exists</v>
      </c>
      <c r="O1385" t="str">
        <f t="shared" si="68"/>
        <v>Exists</v>
      </c>
      <c r="P1385" t="str">
        <f t="shared" si="69"/>
        <v>Exists</v>
      </c>
    </row>
    <row r="1386" spans="1:16">
      <c r="A1386" s="50" t="s">
        <v>1529</v>
      </c>
      <c r="B1386" s="50" t="s">
        <v>1534</v>
      </c>
      <c r="C1386" s="50" t="s">
        <v>251</v>
      </c>
      <c r="D1386" s="50">
        <v>17</v>
      </c>
      <c r="E1386" s="50" t="s">
        <v>1527</v>
      </c>
      <c r="F1386" s="50" t="s">
        <v>1401</v>
      </c>
      <c r="G1386" s="50" t="s">
        <v>256</v>
      </c>
      <c r="H1386" s="50">
        <v>3</v>
      </c>
      <c r="M1386" t="str">
        <f>IF(COUNTIF($A:$A,E1386)=0,"Not Exists","Exists")</f>
        <v>Not Exists</v>
      </c>
      <c r="N1386" t="str">
        <f t="shared" si="67"/>
        <v>Not Exists</v>
      </c>
      <c r="O1386" t="str">
        <f t="shared" si="68"/>
        <v>Exists</v>
      </c>
      <c r="P1386" t="str">
        <f t="shared" si="69"/>
        <v>Exists</v>
      </c>
    </row>
    <row r="1387" spans="1:16">
      <c r="A1387" s="50" t="s">
        <v>1529</v>
      </c>
      <c r="B1387" s="50" t="s">
        <v>1535</v>
      </c>
      <c r="C1387" s="50" t="s">
        <v>256</v>
      </c>
      <c r="D1387" s="50">
        <v>50</v>
      </c>
      <c r="E1387" s="50" t="s">
        <v>1527</v>
      </c>
      <c r="F1387" s="50" t="s">
        <v>430</v>
      </c>
      <c r="G1387" s="50" t="s">
        <v>256</v>
      </c>
      <c r="H1387" s="50">
        <v>50</v>
      </c>
      <c r="M1387" t="str">
        <f>IF(COUNTIF($A:$A,E1387)=0,"Not Exists","Exists")</f>
        <v>Not Exists</v>
      </c>
      <c r="N1387" t="str">
        <f t="shared" si="67"/>
        <v>Exists</v>
      </c>
      <c r="O1387" t="str">
        <f t="shared" si="68"/>
        <v>Exists</v>
      </c>
      <c r="P1387" t="str">
        <f t="shared" si="69"/>
        <v>Exists</v>
      </c>
    </row>
    <row r="1388" spans="1:16">
      <c r="A1388" s="50" t="s">
        <v>1529</v>
      </c>
      <c r="B1388" s="50" t="s">
        <v>1536</v>
      </c>
      <c r="C1388" s="50" t="s">
        <v>256</v>
      </c>
      <c r="D1388" s="50">
        <v>450</v>
      </c>
      <c r="E1388" s="50" t="s">
        <v>1527</v>
      </c>
      <c r="F1388" s="50" t="s">
        <v>1405</v>
      </c>
      <c r="G1388" s="50" t="s">
        <v>256</v>
      </c>
      <c r="H1388" s="50">
        <v>9</v>
      </c>
      <c r="M1388" t="str">
        <f>IF(COUNTIF($A:$A,E1388)=0,"Not Exists","Exists")</f>
        <v>Not Exists</v>
      </c>
      <c r="N1388" t="str">
        <f t="shared" si="67"/>
        <v>Not Exists</v>
      </c>
      <c r="O1388" t="str">
        <f t="shared" si="68"/>
        <v>Exists</v>
      </c>
      <c r="P1388" t="str">
        <f t="shared" si="69"/>
        <v>Exists</v>
      </c>
    </row>
    <row r="1389" spans="1:16">
      <c r="A1389" s="50" t="s">
        <v>1529</v>
      </c>
      <c r="B1389" s="50" t="s">
        <v>1537</v>
      </c>
      <c r="C1389" s="50" t="s">
        <v>254</v>
      </c>
      <c r="D1389" s="50">
        <v>22</v>
      </c>
      <c r="E1389" s="50" t="s">
        <v>1527</v>
      </c>
      <c r="F1389" s="50" t="s">
        <v>704</v>
      </c>
      <c r="G1389" s="50" t="s">
        <v>256</v>
      </c>
      <c r="H1389" s="50">
        <v>9</v>
      </c>
      <c r="M1389" t="str">
        <f>IF(COUNTIF($A:$A,E1389)=0,"Not Exists","Exists")</f>
        <v>Not Exists</v>
      </c>
      <c r="N1389" t="str">
        <f t="shared" si="67"/>
        <v>Not Exists</v>
      </c>
      <c r="O1389" t="str">
        <f t="shared" si="68"/>
        <v>Exists</v>
      </c>
      <c r="P1389" t="str">
        <f t="shared" si="69"/>
        <v>Exists</v>
      </c>
    </row>
    <row r="1390" spans="1:16">
      <c r="A1390" s="50" t="s">
        <v>1529</v>
      </c>
      <c r="B1390" s="50" t="s">
        <v>1538</v>
      </c>
      <c r="C1390" s="50" t="s">
        <v>256</v>
      </c>
      <c r="D1390" s="50">
        <v>3000</v>
      </c>
      <c r="E1390" s="50" t="s">
        <v>1527</v>
      </c>
      <c r="F1390" s="50" t="s">
        <v>1408</v>
      </c>
      <c r="G1390" s="50" t="s">
        <v>256</v>
      </c>
      <c r="H1390" s="50">
        <v>17</v>
      </c>
      <c r="M1390" t="str">
        <f>IF(COUNTIF($A:$A,E1390)=0,"Not Exists","Exists")</f>
        <v>Not Exists</v>
      </c>
      <c r="N1390" t="str">
        <f t="shared" si="67"/>
        <v>Not Exists</v>
      </c>
      <c r="O1390" t="str">
        <f t="shared" si="68"/>
        <v>Exists</v>
      </c>
      <c r="P1390" t="str">
        <f t="shared" si="69"/>
        <v>Exists</v>
      </c>
    </row>
    <row r="1391" spans="1:16">
      <c r="A1391" s="50" t="s">
        <v>1529</v>
      </c>
      <c r="B1391" s="50" t="s">
        <v>1539</v>
      </c>
      <c r="C1391" s="50" t="s">
        <v>256</v>
      </c>
      <c r="D1391" s="50">
        <v>450</v>
      </c>
      <c r="E1391" s="50" t="s">
        <v>1527</v>
      </c>
      <c r="F1391" s="50" t="s">
        <v>1410</v>
      </c>
      <c r="G1391" s="50" t="s">
        <v>256</v>
      </c>
      <c r="H1391" s="50">
        <v>4000</v>
      </c>
      <c r="M1391" t="str">
        <f>IF(COUNTIF($A:$A,E1391)=0,"Not Exists","Exists")</f>
        <v>Not Exists</v>
      </c>
      <c r="N1391" t="str">
        <f t="shared" si="67"/>
        <v>Not Exists</v>
      </c>
      <c r="O1391" t="str">
        <f t="shared" si="68"/>
        <v>Exists</v>
      </c>
      <c r="P1391" t="str">
        <f t="shared" si="69"/>
        <v>Exists</v>
      </c>
    </row>
    <row r="1392" spans="1:16">
      <c r="A1392" s="50" t="s">
        <v>1529</v>
      </c>
      <c r="B1392" s="50" t="s">
        <v>1540</v>
      </c>
      <c r="C1392" s="50" t="s">
        <v>256</v>
      </c>
      <c r="D1392" s="50">
        <v>450</v>
      </c>
      <c r="E1392" s="50" t="s">
        <v>1527</v>
      </c>
      <c r="F1392" s="50" t="s">
        <v>1412</v>
      </c>
      <c r="G1392" s="50" t="s">
        <v>256</v>
      </c>
      <c r="H1392" s="50">
        <v>4000</v>
      </c>
      <c r="M1392" t="str">
        <f>IF(COUNTIF($A:$A,E1392)=0,"Not Exists","Exists")</f>
        <v>Not Exists</v>
      </c>
      <c r="N1392" t="str">
        <f t="shared" si="67"/>
        <v>Not Exists</v>
      </c>
      <c r="O1392" t="str">
        <f t="shared" si="68"/>
        <v>Exists</v>
      </c>
      <c r="P1392" t="str">
        <f t="shared" si="69"/>
        <v>Exists</v>
      </c>
    </row>
    <row r="1393" spans="1:16">
      <c r="A1393" s="50" t="s">
        <v>1529</v>
      </c>
      <c r="B1393" s="50" t="s">
        <v>1541</v>
      </c>
      <c r="C1393" s="50" t="s">
        <v>254</v>
      </c>
      <c r="D1393" s="50">
        <v>22</v>
      </c>
      <c r="E1393" s="50" t="s">
        <v>1527</v>
      </c>
      <c r="F1393" s="50" t="s">
        <v>1414</v>
      </c>
      <c r="G1393" s="50" t="s">
        <v>256</v>
      </c>
      <c r="H1393" s="50">
        <v>4000</v>
      </c>
      <c r="M1393" t="str">
        <f>IF(COUNTIF($A:$A,E1393)=0,"Not Exists","Exists")</f>
        <v>Not Exists</v>
      </c>
      <c r="N1393" t="str">
        <f t="shared" si="67"/>
        <v>Not Exists</v>
      </c>
      <c r="O1393" t="str">
        <f t="shared" si="68"/>
        <v>Exists</v>
      </c>
      <c r="P1393" t="str">
        <f t="shared" si="69"/>
        <v>Exists</v>
      </c>
    </row>
    <row r="1394" spans="1:16">
      <c r="A1394" s="50" t="s">
        <v>1529</v>
      </c>
      <c r="B1394" s="50" t="s">
        <v>1542</v>
      </c>
      <c r="C1394" s="50" t="s">
        <v>254</v>
      </c>
      <c r="D1394" s="50">
        <v>22</v>
      </c>
      <c r="E1394" s="50" t="s">
        <v>1543</v>
      </c>
      <c r="F1394" s="50" t="s">
        <v>781</v>
      </c>
      <c r="G1394" s="50" t="s">
        <v>256</v>
      </c>
      <c r="H1394" s="50">
        <v>8</v>
      </c>
      <c r="M1394" t="str">
        <f>IF(COUNTIF($A:$A,E1394)=0,"Not Exists","Exists")</f>
        <v>Not Exists</v>
      </c>
      <c r="N1394" t="str">
        <f t="shared" si="67"/>
        <v>Exists</v>
      </c>
      <c r="O1394" t="str">
        <f t="shared" si="68"/>
        <v>Exists</v>
      </c>
      <c r="P1394" t="str">
        <f t="shared" si="69"/>
        <v>Exists</v>
      </c>
    </row>
    <row r="1395" spans="1:16">
      <c r="A1395" s="50" t="s">
        <v>1529</v>
      </c>
      <c r="B1395" s="50" t="s">
        <v>1544</v>
      </c>
      <c r="C1395" s="50" t="s">
        <v>256</v>
      </c>
      <c r="D1395" s="50">
        <v>50</v>
      </c>
      <c r="E1395" s="50" t="s">
        <v>1543</v>
      </c>
      <c r="F1395" s="50" t="s">
        <v>780</v>
      </c>
      <c r="G1395" s="50" t="s">
        <v>256</v>
      </c>
      <c r="H1395" s="50">
        <v>20</v>
      </c>
      <c r="M1395" t="str">
        <f>IF(COUNTIF($A:$A,E1395)=0,"Not Exists","Exists")</f>
        <v>Not Exists</v>
      </c>
      <c r="N1395" t="str">
        <f t="shared" si="67"/>
        <v>Exists</v>
      </c>
      <c r="O1395" t="str">
        <f t="shared" si="68"/>
        <v>Exists</v>
      </c>
      <c r="P1395" t="str">
        <f t="shared" si="69"/>
        <v>Exists</v>
      </c>
    </row>
    <row r="1396" spans="1:16">
      <c r="A1396" s="50" t="s">
        <v>1545</v>
      </c>
      <c r="B1396" s="50" t="s">
        <v>1546</v>
      </c>
      <c r="C1396" s="50" t="s">
        <v>256</v>
      </c>
      <c r="D1396" s="50">
        <v>50</v>
      </c>
      <c r="E1396" s="50" t="s">
        <v>1543</v>
      </c>
      <c r="F1396" s="50" t="s">
        <v>1395</v>
      </c>
      <c r="G1396" s="50" t="s">
        <v>256</v>
      </c>
      <c r="H1396" s="50">
        <v>1</v>
      </c>
      <c r="M1396" t="str">
        <f>IF(COUNTIF($A:$A,E1396)=0,"Not Exists","Exists")</f>
        <v>Not Exists</v>
      </c>
      <c r="N1396" t="str">
        <f t="shared" si="67"/>
        <v>Not Exists</v>
      </c>
      <c r="O1396" t="str">
        <f t="shared" si="68"/>
        <v>Exists</v>
      </c>
      <c r="P1396" t="str">
        <f t="shared" si="69"/>
        <v>Exists</v>
      </c>
    </row>
    <row r="1397" spans="1:16">
      <c r="A1397" s="50" t="s">
        <v>1545</v>
      </c>
      <c r="B1397" s="50" t="s">
        <v>1547</v>
      </c>
      <c r="C1397" s="50" t="s">
        <v>256</v>
      </c>
      <c r="D1397" s="50">
        <v>50</v>
      </c>
      <c r="E1397" s="50" t="s">
        <v>1543</v>
      </c>
      <c r="F1397" s="50" t="s">
        <v>1397</v>
      </c>
      <c r="G1397" s="50" t="s">
        <v>256</v>
      </c>
      <c r="H1397" s="50">
        <v>2</v>
      </c>
      <c r="M1397" t="str">
        <f>IF(COUNTIF($A:$A,E1397)=0,"Not Exists","Exists")</f>
        <v>Not Exists</v>
      </c>
      <c r="N1397" t="str">
        <f t="shared" si="67"/>
        <v>Not Exists</v>
      </c>
      <c r="O1397" t="str">
        <f t="shared" si="68"/>
        <v>Exists</v>
      </c>
      <c r="P1397" t="str">
        <f t="shared" si="69"/>
        <v>Not Exists</v>
      </c>
    </row>
    <row r="1398" spans="1:16">
      <c r="A1398" s="50" t="s">
        <v>1545</v>
      </c>
      <c r="B1398" s="50" t="s">
        <v>1548</v>
      </c>
      <c r="C1398" s="50" t="s">
        <v>251</v>
      </c>
      <c r="D1398" s="50">
        <v>17</v>
      </c>
      <c r="E1398" s="50" t="s">
        <v>1543</v>
      </c>
      <c r="F1398" s="50" t="s">
        <v>796</v>
      </c>
      <c r="G1398" s="50" t="s">
        <v>254</v>
      </c>
      <c r="H1398" s="50">
        <v>22</v>
      </c>
      <c r="M1398" t="str">
        <f>IF(COUNTIF($A:$A,E1398)=0,"Not Exists","Exists")</f>
        <v>Not Exists</v>
      </c>
      <c r="N1398" t="str">
        <f t="shared" si="67"/>
        <v>Exists</v>
      </c>
      <c r="O1398" t="str">
        <f t="shared" si="68"/>
        <v>Exists</v>
      </c>
      <c r="P1398" t="str">
        <f t="shared" si="69"/>
        <v>Exists</v>
      </c>
    </row>
    <row r="1399" spans="1:16">
      <c r="A1399" s="50" t="s">
        <v>1545</v>
      </c>
      <c r="B1399" s="50" t="s">
        <v>1549</v>
      </c>
      <c r="C1399" s="50" t="s">
        <v>256</v>
      </c>
      <c r="D1399" s="50">
        <v>50</v>
      </c>
      <c r="E1399" s="50" t="s">
        <v>1543</v>
      </c>
      <c r="F1399" s="50" t="s">
        <v>424</v>
      </c>
      <c r="G1399" s="50" t="s">
        <v>256</v>
      </c>
      <c r="H1399" s="50">
        <v>60</v>
      </c>
      <c r="M1399" t="str">
        <f>IF(COUNTIF($A:$A,E1399)=0,"Not Exists","Exists")</f>
        <v>Not Exists</v>
      </c>
      <c r="N1399" t="str">
        <f t="shared" si="67"/>
        <v>Exists</v>
      </c>
      <c r="O1399" t="str">
        <f t="shared" si="68"/>
        <v>Exists</v>
      </c>
      <c r="P1399" t="str">
        <f t="shared" si="69"/>
        <v>Exists</v>
      </c>
    </row>
    <row r="1400" spans="1:16">
      <c r="A1400" s="50" t="s">
        <v>1545</v>
      </c>
      <c r="B1400" s="50" t="s">
        <v>1550</v>
      </c>
      <c r="C1400" s="50" t="s">
        <v>251</v>
      </c>
      <c r="D1400" s="50">
        <v>17</v>
      </c>
      <c r="E1400" s="50" t="s">
        <v>1543</v>
      </c>
      <c r="F1400" s="50" t="s">
        <v>1401</v>
      </c>
      <c r="G1400" s="50" t="s">
        <v>256</v>
      </c>
      <c r="H1400" s="50">
        <v>3</v>
      </c>
      <c r="M1400" t="str">
        <f>IF(COUNTIF($A:$A,E1400)=0,"Not Exists","Exists")</f>
        <v>Not Exists</v>
      </c>
      <c r="N1400" t="str">
        <f t="shared" si="67"/>
        <v>Not Exists</v>
      </c>
      <c r="O1400" t="str">
        <f t="shared" si="68"/>
        <v>Exists</v>
      </c>
      <c r="P1400" t="str">
        <f t="shared" si="69"/>
        <v>Exists</v>
      </c>
    </row>
    <row r="1401" spans="1:16">
      <c r="A1401" s="50" t="s">
        <v>1545</v>
      </c>
      <c r="B1401" s="50" t="s">
        <v>1551</v>
      </c>
      <c r="C1401" s="50" t="s">
        <v>256</v>
      </c>
      <c r="D1401" s="50">
        <v>50</v>
      </c>
      <c r="E1401" s="50" t="s">
        <v>1543</v>
      </c>
      <c r="F1401" s="50" t="s">
        <v>430</v>
      </c>
      <c r="G1401" s="50" t="s">
        <v>256</v>
      </c>
      <c r="H1401" s="50">
        <v>50</v>
      </c>
      <c r="M1401" t="str">
        <f>IF(COUNTIF($A:$A,E1401)=0,"Not Exists","Exists")</f>
        <v>Not Exists</v>
      </c>
      <c r="N1401" t="str">
        <f t="shared" si="67"/>
        <v>Exists</v>
      </c>
      <c r="O1401" t="str">
        <f t="shared" si="68"/>
        <v>Exists</v>
      </c>
      <c r="P1401" t="str">
        <f t="shared" si="69"/>
        <v>Exists</v>
      </c>
    </row>
    <row r="1402" spans="1:16">
      <c r="A1402" s="50" t="s">
        <v>1545</v>
      </c>
      <c r="B1402" s="50" t="s">
        <v>1552</v>
      </c>
      <c r="C1402" s="50" t="s">
        <v>254</v>
      </c>
      <c r="D1402" s="50">
        <v>22</v>
      </c>
      <c r="E1402" s="50" t="s">
        <v>1543</v>
      </c>
      <c r="F1402" s="50" t="s">
        <v>1405</v>
      </c>
      <c r="G1402" s="50" t="s">
        <v>256</v>
      </c>
      <c r="H1402" s="50">
        <v>9</v>
      </c>
      <c r="M1402" t="str">
        <f>IF(COUNTIF($A:$A,E1402)=0,"Not Exists","Exists")</f>
        <v>Not Exists</v>
      </c>
      <c r="N1402" t="str">
        <f t="shared" si="67"/>
        <v>Not Exists</v>
      </c>
      <c r="O1402" t="str">
        <f t="shared" si="68"/>
        <v>Exists</v>
      </c>
      <c r="P1402" t="str">
        <f t="shared" si="69"/>
        <v>Exists</v>
      </c>
    </row>
    <row r="1403" spans="1:16">
      <c r="A1403" s="50" t="s">
        <v>1545</v>
      </c>
      <c r="B1403" s="50" t="s">
        <v>1553</v>
      </c>
      <c r="C1403" s="50" t="s">
        <v>256</v>
      </c>
      <c r="D1403" s="50">
        <v>450</v>
      </c>
      <c r="E1403" s="50" t="s">
        <v>1543</v>
      </c>
      <c r="F1403" s="50" t="s">
        <v>704</v>
      </c>
      <c r="G1403" s="50" t="s">
        <v>256</v>
      </c>
      <c r="H1403" s="50">
        <v>9</v>
      </c>
      <c r="M1403" t="str">
        <f>IF(COUNTIF($A:$A,E1403)=0,"Not Exists","Exists")</f>
        <v>Not Exists</v>
      </c>
      <c r="N1403" t="str">
        <f t="shared" si="67"/>
        <v>Not Exists</v>
      </c>
      <c r="O1403" t="str">
        <f t="shared" si="68"/>
        <v>Exists</v>
      </c>
      <c r="P1403" t="str">
        <f t="shared" si="69"/>
        <v>Exists</v>
      </c>
    </row>
    <row r="1404" spans="1:16">
      <c r="A1404" s="50" t="s">
        <v>1545</v>
      </c>
      <c r="B1404" s="50" t="s">
        <v>1554</v>
      </c>
      <c r="C1404" s="50" t="s">
        <v>256</v>
      </c>
      <c r="D1404" s="50">
        <v>3000</v>
      </c>
      <c r="E1404" s="50" t="s">
        <v>1543</v>
      </c>
      <c r="F1404" s="50" t="s">
        <v>1408</v>
      </c>
      <c r="G1404" s="50" t="s">
        <v>256</v>
      </c>
      <c r="H1404" s="50">
        <v>17</v>
      </c>
      <c r="M1404" t="str">
        <f>IF(COUNTIF($A:$A,E1404)=0,"Not Exists","Exists")</f>
        <v>Not Exists</v>
      </c>
      <c r="N1404" t="str">
        <f t="shared" si="67"/>
        <v>Not Exists</v>
      </c>
      <c r="O1404" t="str">
        <f t="shared" si="68"/>
        <v>Exists</v>
      </c>
      <c r="P1404" t="str">
        <f t="shared" si="69"/>
        <v>Exists</v>
      </c>
    </row>
    <row r="1405" spans="1:16">
      <c r="A1405" s="50" t="s">
        <v>1545</v>
      </c>
      <c r="B1405" s="50" t="s">
        <v>1555</v>
      </c>
      <c r="C1405" s="50" t="s">
        <v>256</v>
      </c>
      <c r="D1405" s="50">
        <v>3000</v>
      </c>
      <c r="E1405" s="50" t="s">
        <v>1543</v>
      </c>
      <c r="F1405" s="50" t="s">
        <v>1410</v>
      </c>
      <c r="G1405" s="50" t="s">
        <v>256</v>
      </c>
      <c r="H1405" s="50">
        <v>4000</v>
      </c>
      <c r="M1405" t="str">
        <f>IF(COUNTIF($A:$A,E1405)=0,"Not Exists","Exists")</f>
        <v>Not Exists</v>
      </c>
      <c r="N1405" t="str">
        <f t="shared" ref="N1405:N1468" si="70">IF(COUNTIF($A:$B,F1405)=0,"Not Exists","Exists")</f>
        <v>Not Exists</v>
      </c>
      <c r="O1405" t="str">
        <f t="shared" si="68"/>
        <v>Exists</v>
      </c>
      <c r="P1405" t="str">
        <f t="shared" si="69"/>
        <v>Exists</v>
      </c>
    </row>
    <row r="1406" spans="1:16">
      <c r="A1406" s="50" t="s">
        <v>1545</v>
      </c>
      <c r="B1406" s="50" t="s">
        <v>1556</v>
      </c>
      <c r="C1406" s="50" t="s">
        <v>256</v>
      </c>
      <c r="D1406" s="50">
        <v>50</v>
      </c>
      <c r="E1406" s="50" t="s">
        <v>1543</v>
      </c>
      <c r="F1406" s="50" t="s">
        <v>1412</v>
      </c>
      <c r="G1406" s="50" t="s">
        <v>256</v>
      </c>
      <c r="H1406" s="50">
        <v>4000</v>
      </c>
      <c r="M1406" t="str">
        <f>IF(COUNTIF($A:$A,E1406)=0,"Not Exists","Exists")</f>
        <v>Not Exists</v>
      </c>
      <c r="N1406" t="str">
        <f t="shared" si="70"/>
        <v>Not Exists</v>
      </c>
      <c r="O1406" t="str">
        <f t="shared" si="68"/>
        <v>Exists</v>
      </c>
      <c r="P1406" t="str">
        <f t="shared" si="69"/>
        <v>Exists</v>
      </c>
    </row>
    <row r="1407" spans="1:16">
      <c r="A1407" s="50" t="s">
        <v>1557</v>
      </c>
      <c r="B1407" s="50" t="s">
        <v>1558</v>
      </c>
      <c r="C1407" s="50" t="s">
        <v>256</v>
      </c>
      <c r="D1407" s="50">
        <v>50</v>
      </c>
      <c r="E1407" s="50" t="s">
        <v>1543</v>
      </c>
      <c r="F1407" s="50" t="s">
        <v>1414</v>
      </c>
      <c r="G1407" s="50" t="s">
        <v>256</v>
      </c>
      <c r="H1407" s="50">
        <v>4000</v>
      </c>
      <c r="M1407" t="str">
        <f>IF(COUNTIF($A:$A,E1407)=0,"Not Exists","Exists")</f>
        <v>Not Exists</v>
      </c>
      <c r="N1407" t="str">
        <f t="shared" si="70"/>
        <v>Not Exists</v>
      </c>
      <c r="O1407" t="str">
        <f t="shared" si="68"/>
        <v>Exists</v>
      </c>
      <c r="P1407" t="str">
        <f t="shared" si="69"/>
        <v>Exists</v>
      </c>
    </row>
    <row r="1408" spans="1:16">
      <c r="A1408" s="50" t="s">
        <v>1557</v>
      </c>
      <c r="B1408" s="50" t="s">
        <v>1559</v>
      </c>
      <c r="C1408" s="50" t="s">
        <v>256</v>
      </c>
      <c r="D1408" s="50">
        <v>50</v>
      </c>
      <c r="E1408" s="50" t="s">
        <v>1560</v>
      </c>
      <c r="F1408" s="50" t="s">
        <v>781</v>
      </c>
      <c r="G1408" s="50" t="s">
        <v>256</v>
      </c>
      <c r="H1408" s="50">
        <v>8</v>
      </c>
      <c r="M1408" t="str">
        <f>IF(COUNTIF($A:$A,E1408)=0,"Not Exists","Exists")</f>
        <v>Not Exists</v>
      </c>
      <c r="N1408" t="str">
        <f t="shared" si="70"/>
        <v>Exists</v>
      </c>
      <c r="O1408" t="str">
        <f t="shared" si="68"/>
        <v>Exists</v>
      </c>
      <c r="P1408" t="str">
        <f t="shared" si="69"/>
        <v>Not Exists</v>
      </c>
    </row>
    <row r="1409" spans="1:16">
      <c r="A1409" s="50" t="s">
        <v>1557</v>
      </c>
      <c r="B1409" s="50" t="s">
        <v>1561</v>
      </c>
      <c r="C1409" s="50" t="s">
        <v>251</v>
      </c>
      <c r="D1409" s="50">
        <v>17</v>
      </c>
      <c r="E1409" s="50" t="s">
        <v>1560</v>
      </c>
      <c r="F1409" s="50" t="s">
        <v>780</v>
      </c>
      <c r="G1409" s="50" t="s">
        <v>256</v>
      </c>
      <c r="H1409" s="50">
        <v>20</v>
      </c>
      <c r="M1409" t="str">
        <f>IF(COUNTIF($A:$A,E1409)=0,"Not Exists","Exists")</f>
        <v>Not Exists</v>
      </c>
      <c r="N1409" t="str">
        <f t="shared" si="70"/>
        <v>Exists</v>
      </c>
      <c r="O1409" t="str">
        <f t="shared" si="68"/>
        <v>Exists</v>
      </c>
      <c r="P1409" t="str">
        <f t="shared" si="69"/>
        <v>Exists</v>
      </c>
    </row>
    <row r="1410" spans="1:16">
      <c r="A1410" s="50" t="s">
        <v>1557</v>
      </c>
      <c r="B1410" s="50" t="s">
        <v>1562</v>
      </c>
      <c r="C1410" s="50" t="s">
        <v>256</v>
      </c>
      <c r="D1410" s="50">
        <v>50</v>
      </c>
      <c r="E1410" s="50" t="s">
        <v>1560</v>
      </c>
      <c r="F1410" s="50" t="s">
        <v>1395</v>
      </c>
      <c r="G1410" s="50" t="s">
        <v>256</v>
      </c>
      <c r="H1410" s="50">
        <v>1</v>
      </c>
      <c r="M1410" t="str">
        <f>IF(COUNTIF($A:$A,E1410)=0,"Not Exists","Exists")</f>
        <v>Not Exists</v>
      </c>
      <c r="N1410" t="str">
        <f t="shared" si="70"/>
        <v>Not Exists</v>
      </c>
      <c r="O1410" t="str">
        <f t="shared" si="68"/>
        <v>Exists</v>
      </c>
      <c r="P1410" t="str">
        <f t="shared" si="69"/>
        <v>Exists</v>
      </c>
    </row>
    <row r="1411" spans="1:16">
      <c r="A1411" s="50" t="s">
        <v>1557</v>
      </c>
      <c r="B1411" s="50" t="s">
        <v>1563</v>
      </c>
      <c r="C1411" s="50" t="s">
        <v>251</v>
      </c>
      <c r="D1411" s="50">
        <v>17</v>
      </c>
      <c r="E1411" s="50" t="s">
        <v>1560</v>
      </c>
      <c r="F1411" s="50" t="s">
        <v>1397</v>
      </c>
      <c r="G1411" s="50" t="s">
        <v>256</v>
      </c>
      <c r="H1411" s="50">
        <v>2</v>
      </c>
      <c r="M1411" t="str">
        <f>IF(COUNTIF($A:$A,E1411)=0,"Not Exists","Exists")</f>
        <v>Not Exists</v>
      </c>
      <c r="N1411" t="str">
        <f t="shared" si="70"/>
        <v>Not Exists</v>
      </c>
      <c r="O1411" t="str">
        <f t="shared" si="68"/>
        <v>Exists</v>
      </c>
      <c r="P1411" t="str">
        <f t="shared" si="69"/>
        <v>Exists</v>
      </c>
    </row>
    <row r="1412" spans="1:16">
      <c r="A1412" s="50" t="s">
        <v>1557</v>
      </c>
      <c r="B1412" s="50" t="s">
        <v>1564</v>
      </c>
      <c r="C1412" s="50" t="s">
        <v>256</v>
      </c>
      <c r="D1412" s="50">
        <v>50</v>
      </c>
      <c r="E1412" s="50" t="s">
        <v>1560</v>
      </c>
      <c r="F1412" s="50" t="s">
        <v>796</v>
      </c>
      <c r="G1412" s="50" t="s">
        <v>254</v>
      </c>
      <c r="H1412" s="50">
        <v>22</v>
      </c>
      <c r="M1412" t="str">
        <f>IF(COUNTIF($A:$A,E1412)=0,"Not Exists","Exists")</f>
        <v>Not Exists</v>
      </c>
      <c r="N1412" t="str">
        <f t="shared" si="70"/>
        <v>Exists</v>
      </c>
      <c r="O1412" t="str">
        <f t="shared" ref="O1412:O1475" si="71">IF(COUNTIF($E:$E,A1412)=0,"Not Exists","Exists")</f>
        <v>Exists</v>
      </c>
      <c r="P1412" t="str">
        <f t="shared" ref="P1412:P1475" si="72">IF(COUNTIF($F:$F,B1412)=0,"Not Exists","Exists")</f>
        <v>Exists</v>
      </c>
    </row>
    <row r="1413" spans="1:16">
      <c r="A1413" s="50" t="s">
        <v>1557</v>
      </c>
      <c r="B1413" s="50" t="s">
        <v>1565</v>
      </c>
      <c r="C1413" s="50" t="s">
        <v>254</v>
      </c>
      <c r="D1413" s="50">
        <v>22</v>
      </c>
      <c r="E1413" s="50" t="s">
        <v>1560</v>
      </c>
      <c r="F1413" s="50" t="s">
        <v>424</v>
      </c>
      <c r="G1413" s="50" t="s">
        <v>256</v>
      </c>
      <c r="H1413" s="50">
        <v>60</v>
      </c>
      <c r="M1413" t="str">
        <f>IF(COUNTIF($A:$A,E1413)=0,"Not Exists","Exists")</f>
        <v>Not Exists</v>
      </c>
      <c r="N1413" t="str">
        <f t="shared" si="70"/>
        <v>Exists</v>
      </c>
      <c r="O1413" t="str">
        <f t="shared" si="71"/>
        <v>Exists</v>
      </c>
      <c r="P1413" t="str">
        <f t="shared" si="72"/>
        <v>Exists</v>
      </c>
    </row>
    <row r="1414" spans="1:16">
      <c r="A1414" s="50" t="s">
        <v>1557</v>
      </c>
      <c r="B1414" s="50" t="s">
        <v>1566</v>
      </c>
      <c r="C1414" s="50" t="s">
        <v>254</v>
      </c>
      <c r="D1414" s="50">
        <v>22</v>
      </c>
      <c r="E1414" s="50" t="s">
        <v>1560</v>
      </c>
      <c r="F1414" s="50" t="s">
        <v>1401</v>
      </c>
      <c r="G1414" s="50" t="s">
        <v>256</v>
      </c>
      <c r="H1414" s="50">
        <v>3</v>
      </c>
      <c r="M1414" t="str">
        <f>IF(COUNTIF($A:$A,E1414)=0,"Not Exists","Exists")</f>
        <v>Not Exists</v>
      </c>
      <c r="N1414" t="str">
        <f t="shared" si="70"/>
        <v>Not Exists</v>
      </c>
      <c r="O1414" t="str">
        <f t="shared" si="71"/>
        <v>Exists</v>
      </c>
      <c r="P1414" t="str">
        <f t="shared" si="72"/>
        <v>Exists</v>
      </c>
    </row>
    <row r="1415" spans="1:16">
      <c r="A1415" s="50" t="s">
        <v>1557</v>
      </c>
      <c r="B1415" s="50" t="s">
        <v>1567</v>
      </c>
      <c r="C1415" s="50" t="s">
        <v>256</v>
      </c>
      <c r="D1415" s="50">
        <v>50</v>
      </c>
      <c r="E1415" s="50" t="s">
        <v>1560</v>
      </c>
      <c r="F1415" s="50" t="s">
        <v>430</v>
      </c>
      <c r="G1415" s="50" t="s">
        <v>256</v>
      </c>
      <c r="H1415" s="50">
        <v>50</v>
      </c>
      <c r="M1415" t="str">
        <f>IF(COUNTIF($A:$A,E1415)=0,"Not Exists","Exists")</f>
        <v>Not Exists</v>
      </c>
      <c r="N1415" t="str">
        <f t="shared" si="70"/>
        <v>Exists</v>
      </c>
      <c r="O1415" t="str">
        <f t="shared" si="71"/>
        <v>Exists</v>
      </c>
      <c r="P1415" t="str">
        <f t="shared" si="72"/>
        <v>Exists</v>
      </c>
    </row>
    <row r="1416" spans="1:16">
      <c r="A1416" s="50" t="s">
        <v>1557</v>
      </c>
      <c r="B1416" s="50" t="s">
        <v>1568</v>
      </c>
      <c r="C1416" s="50" t="s">
        <v>256</v>
      </c>
      <c r="D1416" s="50">
        <v>50</v>
      </c>
      <c r="E1416" s="50" t="s">
        <v>1560</v>
      </c>
      <c r="F1416" s="50" t="s">
        <v>1405</v>
      </c>
      <c r="G1416" s="50" t="s">
        <v>256</v>
      </c>
      <c r="H1416" s="50">
        <v>9</v>
      </c>
      <c r="M1416" t="str">
        <f>IF(COUNTIF($A:$A,E1416)=0,"Not Exists","Exists")</f>
        <v>Not Exists</v>
      </c>
      <c r="N1416" t="str">
        <f t="shared" si="70"/>
        <v>Not Exists</v>
      </c>
      <c r="O1416" t="str">
        <f t="shared" si="71"/>
        <v>Exists</v>
      </c>
      <c r="P1416" t="str">
        <f t="shared" si="72"/>
        <v>Exists</v>
      </c>
    </row>
    <row r="1417" spans="1:16">
      <c r="A1417" s="50" t="s">
        <v>1557</v>
      </c>
      <c r="B1417" s="50" t="s">
        <v>1569</v>
      </c>
      <c r="C1417" s="50" t="s">
        <v>256</v>
      </c>
      <c r="D1417" s="50">
        <v>3000</v>
      </c>
      <c r="E1417" s="50" t="s">
        <v>1560</v>
      </c>
      <c r="F1417" s="50" t="s">
        <v>704</v>
      </c>
      <c r="G1417" s="50" t="s">
        <v>256</v>
      </c>
      <c r="H1417" s="50">
        <v>9</v>
      </c>
      <c r="M1417" t="str">
        <f>IF(COUNTIF($A:$A,E1417)=0,"Not Exists","Exists")</f>
        <v>Not Exists</v>
      </c>
      <c r="N1417" t="str">
        <f t="shared" si="70"/>
        <v>Not Exists</v>
      </c>
      <c r="O1417" t="str">
        <f t="shared" si="71"/>
        <v>Exists</v>
      </c>
      <c r="P1417" t="str">
        <f t="shared" si="72"/>
        <v>Exists</v>
      </c>
    </row>
    <row r="1418" spans="1:16">
      <c r="A1418" s="50" t="s">
        <v>1557</v>
      </c>
      <c r="B1418" s="50" t="s">
        <v>1570</v>
      </c>
      <c r="C1418" s="50" t="s">
        <v>256</v>
      </c>
      <c r="D1418" s="50">
        <v>50</v>
      </c>
      <c r="E1418" s="50" t="s">
        <v>1560</v>
      </c>
      <c r="F1418" s="50" t="s">
        <v>1408</v>
      </c>
      <c r="G1418" s="50" t="s">
        <v>256</v>
      </c>
      <c r="H1418" s="50">
        <v>17</v>
      </c>
      <c r="M1418" t="str">
        <f>IF(COUNTIF($A:$A,E1418)=0,"Not Exists","Exists")</f>
        <v>Not Exists</v>
      </c>
      <c r="N1418" t="str">
        <f t="shared" si="70"/>
        <v>Not Exists</v>
      </c>
      <c r="O1418" t="str">
        <f t="shared" si="71"/>
        <v>Exists</v>
      </c>
      <c r="P1418" t="str">
        <f t="shared" si="72"/>
        <v>Exists</v>
      </c>
    </row>
    <row r="1419" spans="1:16">
      <c r="A1419" s="50" t="s">
        <v>1557</v>
      </c>
      <c r="B1419" s="50" t="s">
        <v>1571</v>
      </c>
      <c r="C1419" s="50" t="s">
        <v>256</v>
      </c>
      <c r="D1419" s="50">
        <v>50</v>
      </c>
      <c r="E1419" s="50" t="s">
        <v>1560</v>
      </c>
      <c r="F1419" s="50" t="s">
        <v>1410</v>
      </c>
      <c r="G1419" s="50" t="s">
        <v>256</v>
      </c>
      <c r="H1419" s="50">
        <v>4000</v>
      </c>
      <c r="M1419" t="str">
        <f>IF(COUNTIF($A:$A,E1419)=0,"Not Exists","Exists")</f>
        <v>Not Exists</v>
      </c>
      <c r="N1419" t="str">
        <f t="shared" si="70"/>
        <v>Not Exists</v>
      </c>
      <c r="O1419" t="str">
        <f t="shared" si="71"/>
        <v>Exists</v>
      </c>
      <c r="P1419" t="str">
        <f t="shared" si="72"/>
        <v>Exists</v>
      </c>
    </row>
    <row r="1420" spans="1:16">
      <c r="A1420" s="50" t="s">
        <v>1557</v>
      </c>
      <c r="B1420" s="50" t="s">
        <v>1572</v>
      </c>
      <c r="C1420" s="50" t="s">
        <v>256</v>
      </c>
      <c r="D1420" s="50">
        <v>3000</v>
      </c>
      <c r="E1420" s="50" t="s">
        <v>1560</v>
      </c>
      <c r="F1420" s="50" t="s">
        <v>1412</v>
      </c>
      <c r="G1420" s="50" t="s">
        <v>256</v>
      </c>
      <c r="H1420" s="50">
        <v>4000</v>
      </c>
      <c r="M1420" t="str">
        <f>IF(COUNTIF($A:$A,E1420)=0,"Not Exists","Exists")</f>
        <v>Not Exists</v>
      </c>
      <c r="N1420" t="str">
        <f t="shared" si="70"/>
        <v>Not Exists</v>
      </c>
      <c r="O1420" t="str">
        <f t="shared" si="71"/>
        <v>Exists</v>
      </c>
      <c r="P1420" t="str">
        <f t="shared" si="72"/>
        <v>Exists</v>
      </c>
    </row>
    <row r="1421" spans="1:16">
      <c r="A1421" s="50" t="s">
        <v>1557</v>
      </c>
      <c r="B1421" s="50" t="s">
        <v>1573</v>
      </c>
      <c r="C1421" s="50" t="s">
        <v>256</v>
      </c>
      <c r="D1421" s="50">
        <v>50</v>
      </c>
      <c r="E1421" s="50" t="s">
        <v>1560</v>
      </c>
      <c r="F1421" s="50" t="s">
        <v>1414</v>
      </c>
      <c r="G1421" s="50" t="s">
        <v>256</v>
      </c>
      <c r="H1421" s="50">
        <v>4000</v>
      </c>
      <c r="M1421" t="str">
        <f>IF(COUNTIF($A:$A,E1421)=0,"Not Exists","Exists")</f>
        <v>Not Exists</v>
      </c>
      <c r="N1421" t="str">
        <f t="shared" si="70"/>
        <v>Not Exists</v>
      </c>
      <c r="O1421" t="str">
        <f t="shared" si="71"/>
        <v>Exists</v>
      </c>
      <c r="P1421" t="str">
        <f t="shared" si="72"/>
        <v>Exists</v>
      </c>
    </row>
    <row r="1422" spans="1:16">
      <c r="A1422" s="50" t="s">
        <v>1557</v>
      </c>
      <c r="B1422" s="50" t="s">
        <v>1574</v>
      </c>
      <c r="C1422" s="50" t="s">
        <v>256</v>
      </c>
      <c r="D1422" s="50">
        <v>50</v>
      </c>
      <c r="E1422" s="50" t="s">
        <v>1575</v>
      </c>
      <c r="F1422" s="50" t="s">
        <v>781</v>
      </c>
      <c r="G1422" s="50" t="s">
        <v>256</v>
      </c>
      <c r="H1422" s="50">
        <v>8</v>
      </c>
      <c r="M1422" t="str">
        <f>IF(COUNTIF($A:$A,E1422)=0,"Not Exists","Exists")</f>
        <v>Not Exists</v>
      </c>
      <c r="N1422" t="str">
        <f t="shared" si="70"/>
        <v>Exists</v>
      </c>
      <c r="O1422" t="str">
        <f t="shared" si="71"/>
        <v>Exists</v>
      </c>
      <c r="P1422" t="str">
        <f t="shared" si="72"/>
        <v>Exists</v>
      </c>
    </row>
    <row r="1423" spans="1:16">
      <c r="A1423" s="50" t="s">
        <v>1576</v>
      </c>
      <c r="B1423" s="50" t="s">
        <v>1577</v>
      </c>
      <c r="C1423" s="50" t="s">
        <v>256</v>
      </c>
      <c r="D1423" s="50">
        <v>50</v>
      </c>
      <c r="E1423" s="50" t="s">
        <v>1575</v>
      </c>
      <c r="F1423" s="50" t="s">
        <v>780</v>
      </c>
      <c r="G1423" s="50" t="s">
        <v>256</v>
      </c>
      <c r="H1423" s="50">
        <v>20</v>
      </c>
      <c r="M1423" t="str">
        <f>IF(COUNTIF($A:$A,E1423)=0,"Not Exists","Exists")</f>
        <v>Not Exists</v>
      </c>
      <c r="N1423" t="str">
        <f t="shared" si="70"/>
        <v>Exists</v>
      </c>
      <c r="O1423" t="str">
        <f t="shared" si="71"/>
        <v>Exists</v>
      </c>
      <c r="P1423" t="str">
        <f t="shared" si="72"/>
        <v>Exists</v>
      </c>
    </row>
    <row r="1424" spans="1:16">
      <c r="A1424" s="50" t="s">
        <v>1576</v>
      </c>
      <c r="B1424" s="50" t="s">
        <v>1578</v>
      </c>
      <c r="C1424" s="50" t="s">
        <v>256</v>
      </c>
      <c r="D1424" s="50">
        <v>50</v>
      </c>
      <c r="E1424" s="50" t="s">
        <v>1575</v>
      </c>
      <c r="F1424" s="50" t="s">
        <v>1395</v>
      </c>
      <c r="G1424" s="50" t="s">
        <v>256</v>
      </c>
      <c r="H1424" s="50">
        <v>1</v>
      </c>
      <c r="M1424" t="str">
        <f>IF(COUNTIF($A:$A,E1424)=0,"Not Exists","Exists")</f>
        <v>Not Exists</v>
      </c>
      <c r="N1424" t="str">
        <f t="shared" si="70"/>
        <v>Not Exists</v>
      </c>
      <c r="O1424" t="str">
        <f t="shared" si="71"/>
        <v>Exists</v>
      </c>
      <c r="P1424" t="str">
        <f t="shared" si="72"/>
        <v>Not Exists</v>
      </c>
    </row>
    <row r="1425" spans="1:16">
      <c r="A1425" s="50" t="s">
        <v>1576</v>
      </c>
      <c r="B1425" s="50" t="s">
        <v>1579</v>
      </c>
      <c r="C1425" s="50" t="s">
        <v>256</v>
      </c>
      <c r="D1425" s="50">
        <v>50</v>
      </c>
      <c r="E1425" s="50" t="s">
        <v>1575</v>
      </c>
      <c r="F1425" s="50" t="s">
        <v>1397</v>
      </c>
      <c r="G1425" s="50" t="s">
        <v>256</v>
      </c>
      <c r="H1425" s="50">
        <v>2</v>
      </c>
      <c r="M1425" t="str">
        <f>IF(COUNTIF($A:$A,E1425)=0,"Not Exists","Exists")</f>
        <v>Not Exists</v>
      </c>
      <c r="N1425" t="str">
        <f t="shared" si="70"/>
        <v>Not Exists</v>
      </c>
      <c r="O1425" t="str">
        <f t="shared" si="71"/>
        <v>Exists</v>
      </c>
      <c r="P1425" t="str">
        <f t="shared" si="72"/>
        <v>Exists</v>
      </c>
    </row>
    <row r="1426" spans="1:16">
      <c r="A1426" s="50" t="s">
        <v>1576</v>
      </c>
      <c r="B1426" s="50" t="s">
        <v>1580</v>
      </c>
      <c r="C1426" s="50" t="s">
        <v>251</v>
      </c>
      <c r="D1426" s="50">
        <v>17</v>
      </c>
      <c r="E1426" s="50" t="s">
        <v>1575</v>
      </c>
      <c r="F1426" s="50" t="s">
        <v>796</v>
      </c>
      <c r="G1426" s="50" t="s">
        <v>254</v>
      </c>
      <c r="H1426" s="50">
        <v>22</v>
      </c>
      <c r="M1426" t="str">
        <f>IF(COUNTIF($A:$A,E1426)=0,"Not Exists","Exists")</f>
        <v>Not Exists</v>
      </c>
      <c r="N1426" t="str">
        <f t="shared" si="70"/>
        <v>Exists</v>
      </c>
      <c r="O1426" t="str">
        <f t="shared" si="71"/>
        <v>Exists</v>
      </c>
      <c r="P1426" t="str">
        <f t="shared" si="72"/>
        <v>Exists</v>
      </c>
    </row>
    <row r="1427" spans="1:16">
      <c r="A1427" s="50" t="s">
        <v>1576</v>
      </c>
      <c r="B1427" s="50" t="s">
        <v>1581</v>
      </c>
      <c r="C1427" s="50" t="s">
        <v>256</v>
      </c>
      <c r="D1427" s="50">
        <v>50</v>
      </c>
      <c r="E1427" s="50" t="s">
        <v>1575</v>
      </c>
      <c r="F1427" s="50" t="s">
        <v>424</v>
      </c>
      <c r="G1427" s="50" t="s">
        <v>256</v>
      </c>
      <c r="H1427" s="50">
        <v>60</v>
      </c>
      <c r="M1427" t="str">
        <f>IF(COUNTIF($A:$A,E1427)=0,"Not Exists","Exists")</f>
        <v>Not Exists</v>
      </c>
      <c r="N1427" t="str">
        <f t="shared" si="70"/>
        <v>Exists</v>
      </c>
      <c r="O1427" t="str">
        <f t="shared" si="71"/>
        <v>Exists</v>
      </c>
      <c r="P1427" t="str">
        <f t="shared" si="72"/>
        <v>Exists</v>
      </c>
    </row>
    <row r="1428" spans="1:16">
      <c r="A1428" s="50" t="s">
        <v>1576</v>
      </c>
      <c r="B1428" s="50" t="s">
        <v>1582</v>
      </c>
      <c r="C1428" s="50" t="s">
        <v>251</v>
      </c>
      <c r="D1428" s="50">
        <v>17</v>
      </c>
      <c r="E1428" s="50" t="s">
        <v>1575</v>
      </c>
      <c r="F1428" s="50" t="s">
        <v>1401</v>
      </c>
      <c r="G1428" s="50" t="s">
        <v>256</v>
      </c>
      <c r="H1428" s="50">
        <v>3</v>
      </c>
      <c r="M1428" t="str">
        <f>IF(COUNTIF($A:$A,E1428)=0,"Not Exists","Exists")</f>
        <v>Not Exists</v>
      </c>
      <c r="N1428" t="str">
        <f t="shared" si="70"/>
        <v>Not Exists</v>
      </c>
      <c r="O1428" t="str">
        <f t="shared" si="71"/>
        <v>Exists</v>
      </c>
      <c r="P1428" t="str">
        <f t="shared" si="72"/>
        <v>Exists</v>
      </c>
    </row>
    <row r="1429" spans="1:16">
      <c r="A1429" s="50" t="s">
        <v>1576</v>
      </c>
      <c r="B1429" s="50" t="s">
        <v>1583</v>
      </c>
      <c r="C1429" s="50" t="s">
        <v>256</v>
      </c>
      <c r="D1429" s="50">
        <v>50</v>
      </c>
      <c r="E1429" s="50" t="s">
        <v>1575</v>
      </c>
      <c r="F1429" s="50" t="s">
        <v>430</v>
      </c>
      <c r="G1429" s="50" t="s">
        <v>256</v>
      </c>
      <c r="H1429" s="50">
        <v>50</v>
      </c>
      <c r="M1429" t="str">
        <f>IF(COUNTIF($A:$A,E1429)=0,"Not Exists","Exists")</f>
        <v>Not Exists</v>
      </c>
      <c r="N1429" t="str">
        <f t="shared" si="70"/>
        <v>Exists</v>
      </c>
      <c r="O1429" t="str">
        <f t="shared" si="71"/>
        <v>Exists</v>
      </c>
      <c r="P1429" t="str">
        <f t="shared" si="72"/>
        <v>Exists</v>
      </c>
    </row>
    <row r="1430" spans="1:16">
      <c r="A1430" s="50" t="s">
        <v>1576</v>
      </c>
      <c r="B1430" s="50" t="s">
        <v>1584</v>
      </c>
      <c r="C1430" s="50" t="s">
        <v>256</v>
      </c>
      <c r="D1430" s="50">
        <v>3000</v>
      </c>
      <c r="E1430" s="50" t="s">
        <v>1575</v>
      </c>
      <c r="F1430" s="50" t="s">
        <v>1405</v>
      </c>
      <c r="G1430" s="50" t="s">
        <v>256</v>
      </c>
      <c r="H1430" s="50">
        <v>9</v>
      </c>
      <c r="M1430" t="str">
        <f>IF(COUNTIF($A:$A,E1430)=0,"Not Exists","Exists")</f>
        <v>Not Exists</v>
      </c>
      <c r="N1430" t="str">
        <f t="shared" si="70"/>
        <v>Not Exists</v>
      </c>
      <c r="O1430" t="str">
        <f t="shared" si="71"/>
        <v>Exists</v>
      </c>
      <c r="P1430" t="str">
        <f t="shared" si="72"/>
        <v>Exists</v>
      </c>
    </row>
    <row r="1431" spans="1:16">
      <c r="A1431" s="50" t="s">
        <v>1585</v>
      </c>
      <c r="B1431" s="50" t="s">
        <v>1586</v>
      </c>
      <c r="C1431" s="50" t="s">
        <v>256</v>
      </c>
      <c r="D1431" s="50">
        <v>50</v>
      </c>
      <c r="E1431" s="50" t="s">
        <v>1575</v>
      </c>
      <c r="F1431" s="50" t="s">
        <v>704</v>
      </c>
      <c r="G1431" s="50" t="s">
        <v>256</v>
      </c>
      <c r="H1431" s="50">
        <v>9</v>
      </c>
      <c r="M1431" t="str">
        <f>IF(COUNTIF($A:$A,E1431)=0,"Not Exists","Exists")</f>
        <v>Not Exists</v>
      </c>
      <c r="N1431" t="str">
        <f t="shared" si="70"/>
        <v>Not Exists</v>
      </c>
      <c r="O1431" t="str">
        <f t="shared" si="71"/>
        <v>Exists</v>
      </c>
      <c r="P1431" t="str">
        <f t="shared" si="72"/>
        <v>Exists</v>
      </c>
    </row>
    <row r="1432" spans="1:16">
      <c r="A1432" s="50" t="s">
        <v>1585</v>
      </c>
      <c r="B1432" s="50" t="s">
        <v>1587</v>
      </c>
      <c r="C1432" s="50" t="s">
        <v>256</v>
      </c>
      <c r="D1432" s="50">
        <v>50</v>
      </c>
      <c r="E1432" s="50" t="s">
        <v>1575</v>
      </c>
      <c r="F1432" s="50" t="s">
        <v>1408</v>
      </c>
      <c r="G1432" s="50" t="s">
        <v>256</v>
      </c>
      <c r="H1432" s="50">
        <v>17</v>
      </c>
      <c r="M1432" t="str">
        <f>IF(COUNTIF($A:$A,E1432)=0,"Not Exists","Exists")</f>
        <v>Not Exists</v>
      </c>
      <c r="N1432" t="str">
        <f t="shared" si="70"/>
        <v>Not Exists</v>
      </c>
      <c r="O1432" t="str">
        <f t="shared" si="71"/>
        <v>Exists</v>
      </c>
      <c r="P1432" t="str">
        <f t="shared" si="72"/>
        <v>Not Exists</v>
      </c>
    </row>
    <row r="1433" spans="1:16">
      <c r="A1433" s="50" t="s">
        <v>1585</v>
      </c>
      <c r="B1433" s="50" t="s">
        <v>1588</v>
      </c>
      <c r="C1433" s="50" t="s">
        <v>251</v>
      </c>
      <c r="D1433" s="50">
        <v>17</v>
      </c>
      <c r="E1433" s="50" t="s">
        <v>1575</v>
      </c>
      <c r="F1433" s="50" t="s">
        <v>1410</v>
      </c>
      <c r="G1433" s="50" t="s">
        <v>256</v>
      </c>
      <c r="H1433" s="50">
        <v>4000</v>
      </c>
      <c r="M1433" t="str">
        <f>IF(COUNTIF($A:$A,E1433)=0,"Not Exists","Exists")</f>
        <v>Not Exists</v>
      </c>
      <c r="N1433" t="str">
        <f t="shared" si="70"/>
        <v>Not Exists</v>
      </c>
      <c r="O1433" t="str">
        <f t="shared" si="71"/>
        <v>Exists</v>
      </c>
      <c r="P1433" t="str">
        <f t="shared" si="72"/>
        <v>Exists</v>
      </c>
    </row>
    <row r="1434" spans="1:16">
      <c r="A1434" s="50" t="s">
        <v>1585</v>
      </c>
      <c r="B1434" s="50" t="s">
        <v>1589</v>
      </c>
      <c r="C1434" s="50" t="s">
        <v>256</v>
      </c>
      <c r="D1434" s="50">
        <v>50</v>
      </c>
      <c r="E1434" s="50" t="s">
        <v>1575</v>
      </c>
      <c r="F1434" s="50" t="s">
        <v>1412</v>
      </c>
      <c r="G1434" s="50" t="s">
        <v>256</v>
      </c>
      <c r="H1434" s="50">
        <v>4000</v>
      </c>
      <c r="M1434" t="str">
        <f>IF(COUNTIF($A:$A,E1434)=0,"Not Exists","Exists")</f>
        <v>Not Exists</v>
      </c>
      <c r="N1434" t="str">
        <f t="shared" si="70"/>
        <v>Not Exists</v>
      </c>
      <c r="O1434" t="str">
        <f t="shared" si="71"/>
        <v>Exists</v>
      </c>
      <c r="P1434" t="str">
        <f t="shared" si="72"/>
        <v>Exists</v>
      </c>
    </row>
    <row r="1435" spans="1:16">
      <c r="A1435" s="50" t="s">
        <v>1585</v>
      </c>
      <c r="B1435" s="50" t="s">
        <v>1590</v>
      </c>
      <c r="C1435" s="50" t="s">
        <v>251</v>
      </c>
      <c r="D1435" s="50">
        <v>17</v>
      </c>
      <c r="E1435" s="50" t="s">
        <v>1575</v>
      </c>
      <c r="F1435" s="50" t="s">
        <v>1414</v>
      </c>
      <c r="G1435" s="50" t="s">
        <v>256</v>
      </c>
      <c r="H1435" s="50">
        <v>4000</v>
      </c>
      <c r="M1435" t="str">
        <f>IF(COUNTIF($A:$A,E1435)=0,"Not Exists","Exists")</f>
        <v>Not Exists</v>
      </c>
      <c r="N1435" t="str">
        <f t="shared" si="70"/>
        <v>Not Exists</v>
      </c>
      <c r="O1435" t="str">
        <f t="shared" si="71"/>
        <v>Exists</v>
      </c>
      <c r="P1435" t="str">
        <f t="shared" si="72"/>
        <v>Exists</v>
      </c>
    </row>
    <row r="1436" spans="1:16">
      <c r="A1436" s="50" t="s">
        <v>1585</v>
      </c>
      <c r="B1436" s="50" t="s">
        <v>1591</v>
      </c>
      <c r="C1436" s="50" t="s">
        <v>256</v>
      </c>
      <c r="D1436" s="50">
        <v>50</v>
      </c>
      <c r="E1436" s="50" t="s">
        <v>1592</v>
      </c>
      <c r="F1436" s="50" t="s">
        <v>781</v>
      </c>
      <c r="G1436" s="50" t="s">
        <v>256</v>
      </c>
      <c r="H1436" s="50">
        <v>8</v>
      </c>
      <c r="M1436" t="str">
        <f>IF(COUNTIF($A:$A,E1436)=0,"Not Exists","Exists")</f>
        <v>Not Exists</v>
      </c>
      <c r="N1436" t="str">
        <f t="shared" si="70"/>
        <v>Exists</v>
      </c>
      <c r="O1436" t="str">
        <f t="shared" si="71"/>
        <v>Exists</v>
      </c>
      <c r="P1436" t="str">
        <f t="shared" si="72"/>
        <v>Exists</v>
      </c>
    </row>
    <row r="1437" spans="1:16">
      <c r="A1437" s="50" t="s">
        <v>1585</v>
      </c>
      <c r="B1437" s="50" t="s">
        <v>1593</v>
      </c>
      <c r="C1437" s="50" t="s">
        <v>256</v>
      </c>
      <c r="D1437" s="50">
        <v>50</v>
      </c>
      <c r="E1437" s="50" t="s">
        <v>1592</v>
      </c>
      <c r="F1437" s="50" t="s">
        <v>780</v>
      </c>
      <c r="G1437" s="50" t="s">
        <v>256</v>
      </c>
      <c r="H1437" s="50">
        <v>20</v>
      </c>
      <c r="M1437" t="str">
        <f>IF(COUNTIF($A:$A,E1437)=0,"Not Exists","Exists")</f>
        <v>Not Exists</v>
      </c>
      <c r="N1437" t="str">
        <f t="shared" si="70"/>
        <v>Exists</v>
      </c>
      <c r="O1437" t="str">
        <f t="shared" si="71"/>
        <v>Exists</v>
      </c>
      <c r="P1437" t="str">
        <f t="shared" si="72"/>
        <v>Exists</v>
      </c>
    </row>
    <row r="1438" spans="1:16">
      <c r="A1438" s="50" t="s">
        <v>1585</v>
      </c>
      <c r="B1438" s="50" t="s">
        <v>1594</v>
      </c>
      <c r="C1438" s="50" t="s">
        <v>256</v>
      </c>
      <c r="D1438" s="50">
        <v>50</v>
      </c>
      <c r="E1438" s="50" t="s">
        <v>1592</v>
      </c>
      <c r="F1438" s="50" t="s">
        <v>1395</v>
      </c>
      <c r="G1438" s="50" t="s">
        <v>256</v>
      </c>
      <c r="H1438" s="50">
        <v>1</v>
      </c>
      <c r="M1438" t="str">
        <f>IF(COUNTIF($A:$A,E1438)=0,"Not Exists","Exists")</f>
        <v>Not Exists</v>
      </c>
      <c r="N1438" t="str">
        <f t="shared" si="70"/>
        <v>Not Exists</v>
      </c>
      <c r="O1438" t="str">
        <f t="shared" si="71"/>
        <v>Exists</v>
      </c>
      <c r="P1438" t="str">
        <f t="shared" si="72"/>
        <v>Exists</v>
      </c>
    </row>
    <row r="1439" spans="1:16">
      <c r="A1439" s="50" t="s">
        <v>1585</v>
      </c>
      <c r="B1439" s="50" t="s">
        <v>1595</v>
      </c>
      <c r="C1439" s="50" t="s">
        <v>256</v>
      </c>
      <c r="D1439" s="50">
        <v>50</v>
      </c>
      <c r="E1439" s="50" t="s">
        <v>1592</v>
      </c>
      <c r="F1439" s="50" t="s">
        <v>1397</v>
      </c>
      <c r="G1439" s="50" t="s">
        <v>256</v>
      </c>
      <c r="H1439" s="50">
        <v>2</v>
      </c>
      <c r="M1439" t="str">
        <f>IF(COUNTIF($A:$A,E1439)=0,"Not Exists","Exists")</f>
        <v>Not Exists</v>
      </c>
      <c r="N1439" t="str">
        <f t="shared" si="70"/>
        <v>Not Exists</v>
      </c>
      <c r="O1439" t="str">
        <f t="shared" si="71"/>
        <v>Exists</v>
      </c>
      <c r="P1439" t="str">
        <f t="shared" si="72"/>
        <v>Exists</v>
      </c>
    </row>
    <row r="1440" spans="1:16">
      <c r="A1440" s="50" t="s">
        <v>1596</v>
      </c>
      <c r="B1440" s="50" t="s">
        <v>1597</v>
      </c>
      <c r="C1440" s="50" t="s">
        <v>256</v>
      </c>
      <c r="D1440" s="50">
        <v>50</v>
      </c>
      <c r="E1440" s="50" t="s">
        <v>1592</v>
      </c>
      <c r="F1440" s="50" t="s">
        <v>796</v>
      </c>
      <c r="G1440" s="50" t="s">
        <v>254</v>
      </c>
      <c r="H1440" s="50">
        <v>22</v>
      </c>
      <c r="M1440" t="str">
        <f>IF(COUNTIF($A:$A,E1440)=0,"Not Exists","Exists")</f>
        <v>Not Exists</v>
      </c>
      <c r="N1440" t="str">
        <f t="shared" si="70"/>
        <v>Exists</v>
      </c>
      <c r="O1440" t="str">
        <f t="shared" si="71"/>
        <v>Exists</v>
      </c>
      <c r="P1440" t="str">
        <f t="shared" si="72"/>
        <v>Exists</v>
      </c>
    </row>
    <row r="1441" spans="1:16">
      <c r="A1441" s="50" t="s">
        <v>1596</v>
      </c>
      <c r="B1441" s="50" t="s">
        <v>1598</v>
      </c>
      <c r="C1441" s="50" t="s">
        <v>256</v>
      </c>
      <c r="D1441" s="50">
        <v>50</v>
      </c>
      <c r="E1441" s="50" t="s">
        <v>1592</v>
      </c>
      <c r="F1441" s="50" t="s">
        <v>424</v>
      </c>
      <c r="G1441" s="50" t="s">
        <v>256</v>
      </c>
      <c r="H1441" s="50">
        <v>60</v>
      </c>
      <c r="M1441" t="str">
        <f>IF(COUNTIF($A:$A,E1441)=0,"Not Exists","Exists")</f>
        <v>Not Exists</v>
      </c>
      <c r="N1441" t="str">
        <f t="shared" si="70"/>
        <v>Exists</v>
      </c>
      <c r="O1441" t="str">
        <f t="shared" si="71"/>
        <v>Exists</v>
      </c>
      <c r="P1441" t="str">
        <f t="shared" si="72"/>
        <v>Exists</v>
      </c>
    </row>
    <row r="1442" spans="1:16">
      <c r="A1442" s="50" t="s">
        <v>1596</v>
      </c>
      <c r="B1442" s="50" t="s">
        <v>1599</v>
      </c>
      <c r="C1442" s="50" t="s">
        <v>256</v>
      </c>
      <c r="D1442" s="50">
        <v>50</v>
      </c>
      <c r="E1442" s="50" t="s">
        <v>1592</v>
      </c>
      <c r="F1442" s="50" t="s">
        <v>1401</v>
      </c>
      <c r="G1442" s="50" t="s">
        <v>256</v>
      </c>
      <c r="H1442" s="50">
        <v>3</v>
      </c>
      <c r="M1442" t="str">
        <f>IF(COUNTIF($A:$A,E1442)=0,"Not Exists","Exists")</f>
        <v>Not Exists</v>
      </c>
      <c r="N1442" t="str">
        <f t="shared" si="70"/>
        <v>Not Exists</v>
      </c>
      <c r="O1442" t="str">
        <f t="shared" si="71"/>
        <v>Exists</v>
      </c>
      <c r="P1442" t="str">
        <f t="shared" si="72"/>
        <v>Not Exists</v>
      </c>
    </row>
    <row r="1443" spans="1:16">
      <c r="A1443" s="50" t="s">
        <v>1596</v>
      </c>
      <c r="B1443" s="50" t="s">
        <v>1600</v>
      </c>
      <c r="C1443" s="50" t="s">
        <v>251</v>
      </c>
      <c r="D1443" s="50">
        <v>17</v>
      </c>
      <c r="E1443" s="50" t="s">
        <v>1592</v>
      </c>
      <c r="F1443" s="50" t="s">
        <v>430</v>
      </c>
      <c r="G1443" s="50" t="s">
        <v>256</v>
      </c>
      <c r="H1443" s="50">
        <v>50</v>
      </c>
      <c r="M1443" t="str">
        <f>IF(COUNTIF($A:$A,E1443)=0,"Not Exists","Exists")</f>
        <v>Not Exists</v>
      </c>
      <c r="N1443" t="str">
        <f t="shared" si="70"/>
        <v>Exists</v>
      </c>
      <c r="O1443" t="str">
        <f t="shared" si="71"/>
        <v>Exists</v>
      </c>
      <c r="P1443" t="str">
        <f t="shared" si="72"/>
        <v>Exists</v>
      </c>
    </row>
    <row r="1444" spans="1:16">
      <c r="A1444" s="50" t="s">
        <v>1596</v>
      </c>
      <c r="B1444" s="50" t="s">
        <v>1601</v>
      </c>
      <c r="C1444" s="50" t="s">
        <v>256</v>
      </c>
      <c r="D1444" s="50">
        <v>50</v>
      </c>
      <c r="E1444" s="50" t="s">
        <v>1592</v>
      </c>
      <c r="F1444" s="50" t="s">
        <v>1405</v>
      </c>
      <c r="G1444" s="50" t="s">
        <v>256</v>
      </c>
      <c r="H1444" s="50">
        <v>9</v>
      </c>
      <c r="M1444" t="str">
        <f>IF(COUNTIF($A:$A,E1444)=0,"Not Exists","Exists")</f>
        <v>Not Exists</v>
      </c>
      <c r="N1444" t="str">
        <f t="shared" si="70"/>
        <v>Not Exists</v>
      </c>
      <c r="O1444" t="str">
        <f t="shared" si="71"/>
        <v>Exists</v>
      </c>
      <c r="P1444" t="str">
        <f t="shared" si="72"/>
        <v>Exists</v>
      </c>
    </row>
    <row r="1445" spans="1:16">
      <c r="A1445" s="50" t="s">
        <v>1596</v>
      </c>
      <c r="B1445" s="50" t="s">
        <v>1602</v>
      </c>
      <c r="C1445" s="50" t="s">
        <v>251</v>
      </c>
      <c r="D1445" s="50">
        <v>17</v>
      </c>
      <c r="E1445" s="50" t="s">
        <v>1592</v>
      </c>
      <c r="F1445" s="50" t="s">
        <v>704</v>
      </c>
      <c r="G1445" s="50" t="s">
        <v>256</v>
      </c>
      <c r="H1445" s="50">
        <v>9</v>
      </c>
      <c r="M1445" t="str">
        <f>IF(COUNTIF($A:$A,E1445)=0,"Not Exists","Exists")</f>
        <v>Not Exists</v>
      </c>
      <c r="N1445" t="str">
        <f t="shared" si="70"/>
        <v>Not Exists</v>
      </c>
      <c r="O1445" t="str">
        <f t="shared" si="71"/>
        <v>Exists</v>
      </c>
      <c r="P1445" t="str">
        <f t="shared" si="72"/>
        <v>Exists</v>
      </c>
    </row>
    <row r="1446" spans="1:16">
      <c r="A1446" s="50" t="s">
        <v>1596</v>
      </c>
      <c r="B1446" s="50" t="s">
        <v>1603</v>
      </c>
      <c r="C1446" s="50" t="s">
        <v>256</v>
      </c>
      <c r="D1446" s="50">
        <v>50</v>
      </c>
      <c r="E1446" s="50" t="s">
        <v>1592</v>
      </c>
      <c r="F1446" s="50" t="s">
        <v>1408</v>
      </c>
      <c r="G1446" s="50" t="s">
        <v>256</v>
      </c>
      <c r="H1446" s="50">
        <v>17</v>
      </c>
      <c r="M1446" t="str">
        <f>IF(COUNTIF($A:$A,E1446)=0,"Not Exists","Exists")</f>
        <v>Not Exists</v>
      </c>
      <c r="N1446" t="str">
        <f t="shared" si="70"/>
        <v>Not Exists</v>
      </c>
      <c r="O1446" t="str">
        <f t="shared" si="71"/>
        <v>Exists</v>
      </c>
      <c r="P1446" t="str">
        <f t="shared" si="72"/>
        <v>Exists</v>
      </c>
    </row>
    <row r="1447" spans="1:16">
      <c r="A1447" s="50" t="s">
        <v>1604</v>
      </c>
      <c r="B1447" s="50" t="s">
        <v>1605</v>
      </c>
      <c r="C1447" s="50" t="s">
        <v>256</v>
      </c>
      <c r="D1447" s="50">
        <v>50</v>
      </c>
      <c r="E1447" s="50" t="s">
        <v>1592</v>
      </c>
      <c r="F1447" s="50" t="s">
        <v>1410</v>
      </c>
      <c r="G1447" s="50" t="s">
        <v>256</v>
      </c>
      <c r="H1447" s="50">
        <v>4000</v>
      </c>
      <c r="M1447" t="str">
        <f>IF(COUNTIF($A:$A,E1447)=0,"Not Exists","Exists")</f>
        <v>Not Exists</v>
      </c>
      <c r="N1447" t="str">
        <f t="shared" si="70"/>
        <v>Not Exists</v>
      </c>
      <c r="O1447" t="str">
        <f t="shared" si="71"/>
        <v>Exists</v>
      </c>
      <c r="P1447" t="str">
        <f t="shared" si="72"/>
        <v>Exists</v>
      </c>
    </row>
    <row r="1448" spans="1:16">
      <c r="A1448" s="50" t="s">
        <v>1604</v>
      </c>
      <c r="B1448" s="50" t="s">
        <v>1606</v>
      </c>
      <c r="C1448" s="50" t="s">
        <v>256</v>
      </c>
      <c r="D1448" s="50">
        <v>50</v>
      </c>
      <c r="E1448" s="50" t="s">
        <v>1592</v>
      </c>
      <c r="F1448" s="50" t="s">
        <v>1412</v>
      </c>
      <c r="G1448" s="50" t="s">
        <v>256</v>
      </c>
      <c r="H1448" s="50">
        <v>4000</v>
      </c>
      <c r="M1448" t="str">
        <f>IF(COUNTIF($A:$A,E1448)=0,"Not Exists","Exists")</f>
        <v>Not Exists</v>
      </c>
      <c r="N1448" t="str">
        <f t="shared" si="70"/>
        <v>Not Exists</v>
      </c>
      <c r="O1448" t="str">
        <f t="shared" si="71"/>
        <v>Exists</v>
      </c>
      <c r="P1448" t="str">
        <f t="shared" si="72"/>
        <v>Exists</v>
      </c>
    </row>
    <row r="1449" spans="1:16">
      <c r="A1449" s="50" t="s">
        <v>1604</v>
      </c>
      <c r="B1449" s="50" t="s">
        <v>1607</v>
      </c>
      <c r="C1449" s="50" t="s">
        <v>256</v>
      </c>
      <c r="D1449" s="50">
        <v>50</v>
      </c>
      <c r="E1449" s="50" t="s">
        <v>1592</v>
      </c>
      <c r="F1449" s="50" t="s">
        <v>1414</v>
      </c>
      <c r="G1449" s="50" t="s">
        <v>256</v>
      </c>
      <c r="H1449" s="50">
        <v>4000</v>
      </c>
      <c r="M1449" t="str">
        <f>IF(COUNTIF($A:$A,E1449)=0,"Not Exists","Exists")</f>
        <v>Not Exists</v>
      </c>
      <c r="N1449" t="str">
        <f t="shared" si="70"/>
        <v>Not Exists</v>
      </c>
      <c r="O1449" t="str">
        <f t="shared" si="71"/>
        <v>Exists</v>
      </c>
      <c r="P1449" t="str">
        <f t="shared" si="72"/>
        <v>Not Exists</v>
      </c>
    </row>
    <row r="1450" spans="1:16">
      <c r="A1450" s="50" t="s">
        <v>1604</v>
      </c>
      <c r="B1450" s="50" t="s">
        <v>1608</v>
      </c>
      <c r="C1450" s="50" t="s">
        <v>251</v>
      </c>
      <c r="D1450" s="50">
        <v>17</v>
      </c>
      <c r="E1450" s="50" t="s">
        <v>1609</v>
      </c>
      <c r="F1450" s="50" t="s">
        <v>781</v>
      </c>
      <c r="G1450" s="50" t="s">
        <v>256</v>
      </c>
      <c r="H1450" s="50">
        <v>8</v>
      </c>
      <c r="M1450" t="str">
        <f>IF(COUNTIF($A:$A,E1450)=0,"Not Exists","Exists")</f>
        <v>Not Exists</v>
      </c>
      <c r="N1450" t="str">
        <f t="shared" si="70"/>
        <v>Exists</v>
      </c>
      <c r="O1450" t="str">
        <f t="shared" si="71"/>
        <v>Exists</v>
      </c>
      <c r="P1450" t="str">
        <f t="shared" si="72"/>
        <v>Exists</v>
      </c>
    </row>
    <row r="1451" spans="1:16">
      <c r="A1451" s="50" t="s">
        <v>1604</v>
      </c>
      <c r="B1451" s="50" t="s">
        <v>1610</v>
      </c>
      <c r="C1451" s="50" t="s">
        <v>256</v>
      </c>
      <c r="D1451" s="50">
        <v>50</v>
      </c>
      <c r="E1451" s="50" t="s">
        <v>1609</v>
      </c>
      <c r="F1451" s="50" t="s">
        <v>780</v>
      </c>
      <c r="G1451" s="50" t="s">
        <v>256</v>
      </c>
      <c r="H1451" s="50">
        <v>20</v>
      </c>
      <c r="M1451" t="str">
        <f>IF(COUNTIF($A:$A,E1451)=0,"Not Exists","Exists")</f>
        <v>Not Exists</v>
      </c>
      <c r="N1451" t="str">
        <f t="shared" si="70"/>
        <v>Exists</v>
      </c>
      <c r="O1451" t="str">
        <f t="shared" si="71"/>
        <v>Exists</v>
      </c>
      <c r="P1451" t="str">
        <f t="shared" si="72"/>
        <v>Exists</v>
      </c>
    </row>
    <row r="1452" spans="1:16">
      <c r="A1452" s="50" t="s">
        <v>1604</v>
      </c>
      <c r="B1452" s="50" t="s">
        <v>1611</v>
      </c>
      <c r="C1452" s="50" t="s">
        <v>251</v>
      </c>
      <c r="D1452" s="50">
        <v>17</v>
      </c>
      <c r="E1452" s="50" t="s">
        <v>1609</v>
      </c>
      <c r="F1452" s="50" t="s">
        <v>1395</v>
      </c>
      <c r="G1452" s="50" t="s">
        <v>256</v>
      </c>
      <c r="H1452" s="50">
        <v>1</v>
      </c>
      <c r="M1452" t="str">
        <f>IF(COUNTIF($A:$A,E1452)=0,"Not Exists","Exists")</f>
        <v>Not Exists</v>
      </c>
      <c r="N1452" t="str">
        <f t="shared" si="70"/>
        <v>Not Exists</v>
      </c>
      <c r="O1452" t="str">
        <f t="shared" si="71"/>
        <v>Exists</v>
      </c>
      <c r="P1452" t="str">
        <f t="shared" si="72"/>
        <v>Exists</v>
      </c>
    </row>
    <row r="1453" spans="1:16">
      <c r="A1453" s="50" t="s">
        <v>1604</v>
      </c>
      <c r="B1453" s="50" t="s">
        <v>1612</v>
      </c>
      <c r="C1453" s="50" t="s">
        <v>256</v>
      </c>
      <c r="D1453" s="50">
        <v>50</v>
      </c>
      <c r="E1453" s="50" t="s">
        <v>1609</v>
      </c>
      <c r="F1453" s="50" t="s">
        <v>1397</v>
      </c>
      <c r="G1453" s="50" t="s">
        <v>256</v>
      </c>
      <c r="H1453" s="50">
        <v>2</v>
      </c>
      <c r="M1453" t="str">
        <f>IF(COUNTIF($A:$A,E1453)=0,"Not Exists","Exists")</f>
        <v>Not Exists</v>
      </c>
      <c r="N1453" t="str">
        <f t="shared" si="70"/>
        <v>Not Exists</v>
      </c>
      <c r="O1453" t="str">
        <f t="shared" si="71"/>
        <v>Exists</v>
      </c>
      <c r="P1453" t="str">
        <f t="shared" si="72"/>
        <v>Exists</v>
      </c>
    </row>
    <row r="1454" spans="1:16">
      <c r="A1454" s="50" t="s">
        <v>1613</v>
      </c>
      <c r="B1454" s="50" t="s">
        <v>1614</v>
      </c>
      <c r="C1454" s="50" t="s">
        <v>256</v>
      </c>
      <c r="D1454" s="50">
        <v>50</v>
      </c>
      <c r="E1454" s="50" t="s">
        <v>1609</v>
      </c>
      <c r="F1454" s="50" t="s">
        <v>796</v>
      </c>
      <c r="G1454" s="50" t="s">
        <v>254</v>
      </c>
      <c r="H1454" s="50">
        <v>22</v>
      </c>
      <c r="M1454" t="str">
        <f>IF(COUNTIF($A:$A,E1454)=0,"Not Exists","Exists")</f>
        <v>Not Exists</v>
      </c>
      <c r="N1454" t="str">
        <f t="shared" si="70"/>
        <v>Exists</v>
      </c>
      <c r="O1454" t="str">
        <f t="shared" si="71"/>
        <v>Exists</v>
      </c>
      <c r="P1454" t="str">
        <f t="shared" si="72"/>
        <v>Exists</v>
      </c>
    </row>
    <row r="1455" spans="1:16">
      <c r="A1455" s="50" t="s">
        <v>1613</v>
      </c>
      <c r="B1455" s="50" t="s">
        <v>1615</v>
      </c>
      <c r="C1455" s="50" t="s">
        <v>256</v>
      </c>
      <c r="D1455" s="50">
        <v>50</v>
      </c>
      <c r="E1455" s="50" t="s">
        <v>1609</v>
      </c>
      <c r="F1455" s="50" t="s">
        <v>424</v>
      </c>
      <c r="G1455" s="50" t="s">
        <v>256</v>
      </c>
      <c r="H1455" s="50">
        <v>60</v>
      </c>
      <c r="M1455" t="str">
        <f>IF(COUNTIF($A:$A,E1455)=0,"Not Exists","Exists")</f>
        <v>Not Exists</v>
      </c>
      <c r="N1455" t="str">
        <f t="shared" si="70"/>
        <v>Exists</v>
      </c>
      <c r="O1455" t="str">
        <f t="shared" si="71"/>
        <v>Exists</v>
      </c>
      <c r="P1455" t="str">
        <f t="shared" si="72"/>
        <v>Exists</v>
      </c>
    </row>
    <row r="1456" spans="1:16">
      <c r="A1456" s="50" t="s">
        <v>1613</v>
      </c>
      <c r="B1456" s="50" t="s">
        <v>1616</v>
      </c>
      <c r="C1456" s="50" t="s">
        <v>256</v>
      </c>
      <c r="D1456" s="50">
        <v>50</v>
      </c>
      <c r="E1456" s="50" t="s">
        <v>1609</v>
      </c>
      <c r="F1456" s="50" t="s">
        <v>1401</v>
      </c>
      <c r="G1456" s="50" t="s">
        <v>256</v>
      </c>
      <c r="H1456" s="50">
        <v>3</v>
      </c>
      <c r="M1456" t="str">
        <f>IF(COUNTIF($A:$A,E1456)=0,"Not Exists","Exists")</f>
        <v>Not Exists</v>
      </c>
      <c r="N1456" t="str">
        <f t="shared" si="70"/>
        <v>Not Exists</v>
      </c>
      <c r="O1456" t="str">
        <f t="shared" si="71"/>
        <v>Exists</v>
      </c>
      <c r="P1456" t="str">
        <f t="shared" si="72"/>
        <v>Not Exists</v>
      </c>
    </row>
    <row r="1457" spans="1:16">
      <c r="A1457" s="50" t="s">
        <v>1613</v>
      </c>
      <c r="B1457" s="50" t="s">
        <v>1617</v>
      </c>
      <c r="C1457" s="50" t="s">
        <v>251</v>
      </c>
      <c r="D1457" s="50">
        <v>17</v>
      </c>
      <c r="E1457" s="50" t="s">
        <v>1609</v>
      </c>
      <c r="F1457" s="50" t="s">
        <v>430</v>
      </c>
      <c r="G1457" s="50" t="s">
        <v>256</v>
      </c>
      <c r="H1457" s="50">
        <v>50</v>
      </c>
      <c r="M1457" t="str">
        <f>IF(COUNTIF($A:$A,E1457)=0,"Not Exists","Exists")</f>
        <v>Not Exists</v>
      </c>
      <c r="N1457" t="str">
        <f t="shared" si="70"/>
        <v>Exists</v>
      </c>
      <c r="O1457" t="str">
        <f t="shared" si="71"/>
        <v>Exists</v>
      </c>
      <c r="P1457" t="str">
        <f t="shared" si="72"/>
        <v>Exists</v>
      </c>
    </row>
    <row r="1458" spans="1:16">
      <c r="A1458" s="50" t="s">
        <v>1613</v>
      </c>
      <c r="B1458" s="50" t="s">
        <v>1618</v>
      </c>
      <c r="C1458" s="50" t="s">
        <v>256</v>
      </c>
      <c r="D1458" s="50">
        <v>50</v>
      </c>
      <c r="E1458" s="50" t="s">
        <v>1609</v>
      </c>
      <c r="F1458" s="50" t="s">
        <v>1405</v>
      </c>
      <c r="G1458" s="50" t="s">
        <v>256</v>
      </c>
      <c r="H1458" s="50">
        <v>9</v>
      </c>
      <c r="M1458" t="str">
        <f>IF(COUNTIF($A:$A,E1458)=0,"Not Exists","Exists")</f>
        <v>Not Exists</v>
      </c>
      <c r="N1458" t="str">
        <f t="shared" si="70"/>
        <v>Not Exists</v>
      </c>
      <c r="O1458" t="str">
        <f t="shared" si="71"/>
        <v>Exists</v>
      </c>
      <c r="P1458" t="str">
        <f t="shared" si="72"/>
        <v>Exists</v>
      </c>
    </row>
    <row r="1459" spans="1:16">
      <c r="A1459" s="50" t="s">
        <v>1613</v>
      </c>
      <c r="B1459" s="50" t="s">
        <v>1619</v>
      </c>
      <c r="C1459" s="50" t="s">
        <v>251</v>
      </c>
      <c r="D1459" s="50">
        <v>17</v>
      </c>
      <c r="E1459" s="50" t="s">
        <v>1609</v>
      </c>
      <c r="F1459" s="50" t="s">
        <v>704</v>
      </c>
      <c r="G1459" s="50" t="s">
        <v>256</v>
      </c>
      <c r="H1459" s="50">
        <v>9</v>
      </c>
      <c r="M1459" t="str">
        <f>IF(COUNTIF($A:$A,E1459)=0,"Not Exists","Exists")</f>
        <v>Not Exists</v>
      </c>
      <c r="N1459" t="str">
        <f t="shared" si="70"/>
        <v>Not Exists</v>
      </c>
      <c r="O1459" t="str">
        <f t="shared" si="71"/>
        <v>Exists</v>
      </c>
      <c r="P1459" t="str">
        <f t="shared" si="72"/>
        <v>Exists</v>
      </c>
    </row>
    <row r="1460" spans="1:16">
      <c r="A1460" s="50" t="s">
        <v>1613</v>
      </c>
      <c r="B1460" s="50" t="s">
        <v>1620</v>
      </c>
      <c r="C1460" s="50" t="s">
        <v>256</v>
      </c>
      <c r="D1460" s="50">
        <v>50</v>
      </c>
      <c r="E1460" s="50" t="s">
        <v>1609</v>
      </c>
      <c r="F1460" s="50" t="s">
        <v>1408</v>
      </c>
      <c r="G1460" s="50" t="s">
        <v>256</v>
      </c>
      <c r="H1460" s="50">
        <v>17</v>
      </c>
      <c r="M1460" t="str">
        <f>IF(COUNTIF($A:$A,E1460)=0,"Not Exists","Exists")</f>
        <v>Not Exists</v>
      </c>
      <c r="N1460" t="str">
        <f t="shared" si="70"/>
        <v>Not Exists</v>
      </c>
      <c r="O1460" t="str">
        <f t="shared" si="71"/>
        <v>Exists</v>
      </c>
      <c r="P1460" t="str">
        <f t="shared" si="72"/>
        <v>Exists</v>
      </c>
    </row>
    <row r="1461" spans="1:16">
      <c r="A1461" s="50" t="s">
        <v>1621</v>
      </c>
      <c r="B1461" s="50" t="s">
        <v>1014</v>
      </c>
      <c r="C1461" s="50" t="s">
        <v>256</v>
      </c>
      <c r="D1461" s="50">
        <v>50</v>
      </c>
      <c r="E1461" s="50" t="s">
        <v>1609</v>
      </c>
      <c r="F1461" s="50" t="s">
        <v>1410</v>
      </c>
      <c r="G1461" s="50" t="s">
        <v>256</v>
      </c>
      <c r="H1461" s="50">
        <v>4000</v>
      </c>
      <c r="M1461" t="str">
        <f>IF(COUNTIF($A:$A,E1461)=0,"Not Exists","Exists")</f>
        <v>Not Exists</v>
      </c>
      <c r="N1461" t="str">
        <f t="shared" si="70"/>
        <v>Not Exists</v>
      </c>
      <c r="O1461" t="str">
        <f t="shared" si="71"/>
        <v>Exists</v>
      </c>
      <c r="P1461" t="str">
        <f t="shared" si="72"/>
        <v>Exists</v>
      </c>
    </row>
    <row r="1462" spans="1:16">
      <c r="A1462" s="50" t="s">
        <v>1621</v>
      </c>
      <c r="B1462" s="50" t="s">
        <v>1622</v>
      </c>
      <c r="C1462" s="50" t="s">
        <v>256</v>
      </c>
      <c r="D1462" s="50">
        <v>50</v>
      </c>
      <c r="E1462" s="50" t="s">
        <v>1609</v>
      </c>
      <c r="F1462" s="50" t="s">
        <v>1412</v>
      </c>
      <c r="G1462" s="50" t="s">
        <v>256</v>
      </c>
      <c r="H1462" s="50">
        <v>4000</v>
      </c>
      <c r="M1462" t="str">
        <f>IF(COUNTIF($A:$A,E1462)=0,"Not Exists","Exists")</f>
        <v>Not Exists</v>
      </c>
      <c r="N1462" t="str">
        <f t="shared" si="70"/>
        <v>Not Exists</v>
      </c>
      <c r="O1462" t="str">
        <f t="shared" si="71"/>
        <v>Exists</v>
      </c>
      <c r="P1462" t="str">
        <f t="shared" si="72"/>
        <v>Not Exists</v>
      </c>
    </row>
    <row r="1463" spans="1:16">
      <c r="A1463" s="50" t="s">
        <v>1621</v>
      </c>
      <c r="B1463" s="50" t="s">
        <v>1623</v>
      </c>
      <c r="C1463" s="50" t="s">
        <v>251</v>
      </c>
      <c r="D1463" s="50">
        <v>17</v>
      </c>
      <c r="E1463" s="50" t="s">
        <v>1609</v>
      </c>
      <c r="F1463" s="50" t="s">
        <v>1414</v>
      </c>
      <c r="G1463" s="50" t="s">
        <v>256</v>
      </c>
      <c r="H1463" s="50">
        <v>4000</v>
      </c>
      <c r="M1463" t="str">
        <f>IF(COUNTIF($A:$A,E1463)=0,"Not Exists","Exists")</f>
        <v>Not Exists</v>
      </c>
      <c r="N1463" t="str">
        <f t="shared" si="70"/>
        <v>Not Exists</v>
      </c>
      <c r="O1463" t="str">
        <f t="shared" si="71"/>
        <v>Exists</v>
      </c>
      <c r="P1463" t="str">
        <f t="shared" si="72"/>
        <v>Exists</v>
      </c>
    </row>
    <row r="1464" spans="1:16">
      <c r="A1464" s="50" t="s">
        <v>1621</v>
      </c>
      <c r="B1464" s="50" t="s">
        <v>1624</v>
      </c>
      <c r="C1464" s="50" t="s">
        <v>256</v>
      </c>
      <c r="D1464" s="50">
        <v>50</v>
      </c>
      <c r="E1464" s="50" t="s">
        <v>1625</v>
      </c>
      <c r="F1464" s="50" t="s">
        <v>781</v>
      </c>
      <c r="G1464" s="50" t="s">
        <v>256</v>
      </c>
      <c r="H1464" s="50">
        <v>8</v>
      </c>
      <c r="M1464" t="str">
        <f>IF(COUNTIF($A:$A,E1464)=0,"Not Exists","Exists")</f>
        <v>Not Exists</v>
      </c>
      <c r="N1464" t="str">
        <f t="shared" si="70"/>
        <v>Exists</v>
      </c>
      <c r="O1464" t="str">
        <f t="shared" si="71"/>
        <v>Exists</v>
      </c>
      <c r="P1464" t="str">
        <f t="shared" si="72"/>
        <v>Exists</v>
      </c>
    </row>
    <row r="1465" spans="1:16">
      <c r="A1465" s="50" t="s">
        <v>1621</v>
      </c>
      <c r="B1465" s="50" t="s">
        <v>1626</v>
      </c>
      <c r="C1465" s="50" t="s">
        <v>251</v>
      </c>
      <c r="D1465" s="50">
        <v>17</v>
      </c>
      <c r="E1465" s="50" t="s">
        <v>1625</v>
      </c>
      <c r="F1465" s="50" t="s">
        <v>780</v>
      </c>
      <c r="G1465" s="50" t="s">
        <v>256</v>
      </c>
      <c r="H1465" s="50">
        <v>20</v>
      </c>
      <c r="M1465" t="str">
        <f>IF(COUNTIF($A:$A,E1465)=0,"Not Exists","Exists")</f>
        <v>Not Exists</v>
      </c>
      <c r="N1465" t="str">
        <f t="shared" si="70"/>
        <v>Exists</v>
      </c>
      <c r="O1465" t="str">
        <f t="shared" si="71"/>
        <v>Exists</v>
      </c>
      <c r="P1465" t="str">
        <f t="shared" si="72"/>
        <v>Exists</v>
      </c>
    </row>
    <row r="1466" spans="1:16">
      <c r="A1466" s="50" t="s">
        <v>1621</v>
      </c>
      <c r="B1466" s="50" t="s">
        <v>1627</v>
      </c>
      <c r="C1466" s="50" t="s">
        <v>256</v>
      </c>
      <c r="D1466" s="50">
        <v>50</v>
      </c>
      <c r="E1466" s="50" t="s">
        <v>1625</v>
      </c>
      <c r="F1466" s="50" t="s">
        <v>1395</v>
      </c>
      <c r="G1466" s="50" t="s">
        <v>256</v>
      </c>
      <c r="H1466" s="50">
        <v>1</v>
      </c>
      <c r="M1466" t="str">
        <f>IF(COUNTIF($A:$A,E1466)=0,"Not Exists","Exists")</f>
        <v>Not Exists</v>
      </c>
      <c r="N1466" t="str">
        <f t="shared" si="70"/>
        <v>Not Exists</v>
      </c>
      <c r="O1466" t="str">
        <f t="shared" si="71"/>
        <v>Exists</v>
      </c>
      <c r="P1466" t="str">
        <f t="shared" si="72"/>
        <v>Exists</v>
      </c>
    </row>
    <row r="1467" spans="1:16">
      <c r="A1467" s="50" t="s">
        <v>1621</v>
      </c>
      <c r="B1467" s="50" t="s">
        <v>1628</v>
      </c>
      <c r="C1467" s="50" t="s">
        <v>256</v>
      </c>
      <c r="D1467" s="50">
        <v>450</v>
      </c>
      <c r="E1467" s="50" t="s">
        <v>1625</v>
      </c>
      <c r="F1467" s="50" t="s">
        <v>1397</v>
      </c>
      <c r="G1467" s="50" t="s">
        <v>256</v>
      </c>
      <c r="H1467" s="50">
        <v>2</v>
      </c>
      <c r="M1467" t="str">
        <f>IF(COUNTIF($A:$A,E1467)=0,"Not Exists","Exists")</f>
        <v>Not Exists</v>
      </c>
      <c r="N1467" t="str">
        <f t="shared" si="70"/>
        <v>Not Exists</v>
      </c>
      <c r="O1467" t="str">
        <f t="shared" si="71"/>
        <v>Exists</v>
      </c>
      <c r="P1467" t="str">
        <f t="shared" si="72"/>
        <v>Exists</v>
      </c>
    </row>
    <row r="1468" spans="1:16">
      <c r="A1468" s="50" t="s">
        <v>1621</v>
      </c>
      <c r="B1468" s="50" t="s">
        <v>1629</v>
      </c>
      <c r="C1468" s="50" t="s">
        <v>256</v>
      </c>
      <c r="D1468" s="50">
        <v>50</v>
      </c>
      <c r="E1468" s="50" t="s">
        <v>1625</v>
      </c>
      <c r="F1468" s="50" t="s">
        <v>796</v>
      </c>
      <c r="G1468" s="50" t="s">
        <v>254</v>
      </c>
      <c r="H1468" s="50">
        <v>22</v>
      </c>
      <c r="M1468" t="str">
        <f>IF(COUNTIF($A:$A,E1468)=0,"Not Exists","Exists")</f>
        <v>Not Exists</v>
      </c>
      <c r="N1468" t="str">
        <f t="shared" si="70"/>
        <v>Exists</v>
      </c>
      <c r="O1468" t="str">
        <f t="shared" si="71"/>
        <v>Exists</v>
      </c>
      <c r="P1468" t="str">
        <f t="shared" si="72"/>
        <v>Exists</v>
      </c>
    </row>
    <row r="1469" spans="1:16">
      <c r="A1469" s="50" t="s">
        <v>1621</v>
      </c>
      <c r="B1469" s="50" t="s">
        <v>1630</v>
      </c>
      <c r="C1469" s="50" t="s">
        <v>256</v>
      </c>
      <c r="D1469" s="50">
        <v>3000</v>
      </c>
      <c r="E1469" s="50" t="s">
        <v>1625</v>
      </c>
      <c r="F1469" s="50" t="s">
        <v>424</v>
      </c>
      <c r="G1469" s="50" t="s">
        <v>256</v>
      </c>
      <c r="H1469" s="50">
        <v>60</v>
      </c>
      <c r="M1469" t="str">
        <f>IF(COUNTIF($A:$A,E1469)=0,"Not Exists","Exists")</f>
        <v>Not Exists</v>
      </c>
      <c r="N1469" t="str">
        <f t="shared" ref="N1469:N1532" si="73">IF(COUNTIF($A:$B,F1469)=0,"Not Exists","Exists")</f>
        <v>Exists</v>
      </c>
      <c r="O1469" t="str">
        <f t="shared" si="71"/>
        <v>Exists</v>
      </c>
      <c r="P1469" t="str">
        <f t="shared" si="72"/>
        <v>Exists</v>
      </c>
    </row>
    <row r="1470" spans="1:16">
      <c r="A1470" s="50" t="s">
        <v>1621</v>
      </c>
      <c r="B1470" s="50" t="s">
        <v>1631</v>
      </c>
      <c r="C1470" s="50" t="s">
        <v>256</v>
      </c>
      <c r="D1470" s="50">
        <v>1000</v>
      </c>
      <c r="E1470" s="50" t="s">
        <v>1625</v>
      </c>
      <c r="F1470" s="50" t="s">
        <v>1401</v>
      </c>
      <c r="G1470" s="50" t="s">
        <v>256</v>
      </c>
      <c r="H1470" s="50">
        <v>3</v>
      </c>
      <c r="M1470" t="str">
        <f>IF(COUNTIF($A:$A,E1470)=0,"Not Exists","Exists")</f>
        <v>Not Exists</v>
      </c>
      <c r="N1470" t="str">
        <f t="shared" si="73"/>
        <v>Not Exists</v>
      </c>
      <c r="O1470" t="str">
        <f t="shared" si="71"/>
        <v>Exists</v>
      </c>
      <c r="P1470" t="str">
        <f t="shared" si="72"/>
        <v>Exists</v>
      </c>
    </row>
    <row r="1471" spans="1:16">
      <c r="A1471" s="50" t="s">
        <v>1621</v>
      </c>
      <c r="B1471" s="50" t="s">
        <v>1632</v>
      </c>
      <c r="C1471" s="50" t="s">
        <v>256</v>
      </c>
      <c r="D1471" s="50">
        <v>50</v>
      </c>
      <c r="E1471" s="50" t="s">
        <v>1625</v>
      </c>
      <c r="F1471" s="50" t="s">
        <v>430</v>
      </c>
      <c r="G1471" s="50" t="s">
        <v>256</v>
      </c>
      <c r="H1471" s="50">
        <v>50</v>
      </c>
      <c r="M1471" t="str">
        <f>IF(COUNTIF($A:$A,E1471)=0,"Not Exists","Exists")</f>
        <v>Not Exists</v>
      </c>
      <c r="N1471" t="str">
        <f t="shared" si="73"/>
        <v>Exists</v>
      </c>
      <c r="O1471" t="str">
        <f t="shared" si="71"/>
        <v>Exists</v>
      </c>
      <c r="P1471" t="str">
        <f t="shared" si="72"/>
        <v>Exists</v>
      </c>
    </row>
    <row r="1472" spans="1:16">
      <c r="A1472" s="50" t="s">
        <v>1621</v>
      </c>
      <c r="B1472" s="50" t="s">
        <v>1633</v>
      </c>
      <c r="C1472" s="50" t="s">
        <v>256</v>
      </c>
      <c r="D1472" s="50">
        <v>50</v>
      </c>
      <c r="E1472" s="50" t="s">
        <v>1625</v>
      </c>
      <c r="F1472" s="50" t="s">
        <v>1405</v>
      </c>
      <c r="G1472" s="50" t="s">
        <v>256</v>
      </c>
      <c r="H1472" s="50">
        <v>9</v>
      </c>
      <c r="M1472" t="str">
        <f>IF(COUNTIF($A:$A,E1472)=0,"Not Exists","Exists")</f>
        <v>Not Exists</v>
      </c>
      <c r="N1472" t="str">
        <f t="shared" si="73"/>
        <v>Not Exists</v>
      </c>
      <c r="O1472" t="str">
        <f t="shared" si="71"/>
        <v>Exists</v>
      </c>
      <c r="P1472" t="str">
        <f t="shared" si="72"/>
        <v>Exists</v>
      </c>
    </row>
    <row r="1473" spans="1:16">
      <c r="A1473" s="50" t="s">
        <v>1634</v>
      </c>
      <c r="B1473" s="50" t="s">
        <v>1635</v>
      </c>
      <c r="C1473" s="50" t="s">
        <v>256</v>
      </c>
      <c r="D1473" s="50">
        <v>50</v>
      </c>
      <c r="E1473" s="50" t="s">
        <v>1625</v>
      </c>
      <c r="F1473" s="50" t="s">
        <v>704</v>
      </c>
      <c r="G1473" s="50" t="s">
        <v>256</v>
      </c>
      <c r="H1473" s="50">
        <v>9</v>
      </c>
      <c r="M1473" t="str">
        <f>IF(COUNTIF($A:$A,E1473)=0,"Not Exists","Exists")</f>
        <v>Not Exists</v>
      </c>
      <c r="N1473" t="str">
        <f t="shared" si="73"/>
        <v>Not Exists</v>
      </c>
      <c r="O1473" t="str">
        <f t="shared" si="71"/>
        <v>Exists</v>
      </c>
      <c r="P1473" t="str">
        <f t="shared" si="72"/>
        <v>Exists</v>
      </c>
    </row>
    <row r="1474" spans="1:16">
      <c r="A1474" s="50" t="s">
        <v>1634</v>
      </c>
      <c r="B1474" s="50" t="s">
        <v>1636</v>
      </c>
      <c r="C1474" s="50" t="s">
        <v>256</v>
      </c>
      <c r="D1474" s="50">
        <v>50</v>
      </c>
      <c r="E1474" s="50" t="s">
        <v>1625</v>
      </c>
      <c r="F1474" s="50" t="s">
        <v>1408</v>
      </c>
      <c r="G1474" s="50" t="s">
        <v>256</v>
      </c>
      <c r="H1474" s="50">
        <v>17</v>
      </c>
      <c r="M1474" t="str">
        <f>IF(COUNTIF($A:$A,E1474)=0,"Not Exists","Exists")</f>
        <v>Not Exists</v>
      </c>
      <c r="N1474" t="str">
        <f t="shared" si="73"/>
        <v>Not Exists</v>
      </c>
      <c r="O1474" t="str">
        <f t="shared" si="71"/>
        <v>Exists</v>
      </c>
      <c r="P1474" t="str">
        <f t="shared" si="72"/>
        <v>Not Exists</v>
      </c>
    </row>
    <row r="1475" spans="1:16">
      <c r="A1475" s="50" t="s">
        <v>1634</v>
      </c>
      <c r="B1475" s="50" t="s">
        <v>1637</v>
      </c>
      <c r="C1475" s="50" t="s">
        <v>251</v>
      </c>
      <c r="D1475" s="50">
        <v>17</v>
      </c>
      <c r="E1475" s="50" t="s">
        <v>1625</v>
      </c>
      <c r="F1475" s="50" t="s">
        <v>1410</v>
      </c>
      <c r="G1475" s="50" t="s">
        <v>256</v>
      </c>
      <c r="H1475" s="50">
        <v>4000</v>
      </c>
      <c r="M1475" t="str">
        <f>IF(COUNTIF($A:$A,E1475)=0,"Not Exists","Exists")</f>
        <v>Not Exists</v>
      </c>
      <c r="N1475" t="str">
        <f t="shared" si="73"/>
        <v>Not Exists</v>
      </c>
      <c r="O1475" t="str">
        <f t="shared" si="71"/>
        <v>Exists</v>
      </c>
      <c r="P1475" t="str">
        <f t="shared" si="72"/>
        <v>Exists</v>
      </c>
    </row>
    <row r="1476" spans="1:16">
      <c r="A1476" s="50" t="s">
        <v>1634</v>
      </c>
      <c r="B1476" s="50" t="s">
        <v>1638</v>
      </c>
      <c r="C1476" s="50" t="s">
        <v>256</v>
      </c>
      <c r="D1476" s="50">
        <v>50</v>
      </c>
      <c r="E1476" s="50" t="s">
        <v>1625</v>
      </c>
      <c r="F1476" s="50" t="s">
        <v>1412</v>
      </c>
      <c r="G1476" s="50" t="s">
        <v>256</v>
      </c>
      <c r="H1476" s="50">
        <v>4000</v>
      </c>
      <c r="M1476" t="str">
        <f>IF(COUNTIF($A:$A,E1476)=0,"Not Exists","Exists")</f>
        <v>Not Exists</v>
      </c>
      <c r="N1476" t="str">
        <f t="shared" si="73"/>
        <v>Not Exists</v>
      </c>
      <c r="O1476" t="str">
        <f t="shared" ref="O1476:O1539" si="74">IF(COUNTIF($E:$E,A1476)=0,"Not Exists","Exists")</f>
        <v>Exists</v>
      </c>
      <c r="P1476" t="str">
        <f t="shared" ref="P1476:P1539" si="75">IF(COUNTIF($F:$F,B1476)=0,"Not Exists","Exists")</f>
        <v>Exists</v>
      </c>
    </row>
    <row r="1477" spans="1:16">
      <c r="A1477" s="50" t="s">
        <v>1634</v>
      </c>
      <c r="B1477" s="50" t="s">
        <v>1639</v>
      </c>
      <c r="C1477" s="50" t="s">
        <v>251</v>
      </c>
      <c r="D1477" s="50">
        <v>17</v>
      </c>
      <c r="E1477" s="50" t="s">
        <v>1625</v>
      </c>
      <c r="F1477" s="50" t="s">
        <v>1414</v>
      </c>
      <c r="G1477" s="50" t="s">
        <v>256</v>
      </c>
      <c r="H1477" s="50">
        <v>4000</v>
      </c>
      <c r="M1477" t="str">
        <f>IF(COUNTIF($A:$A,E1477)=0,"Not Exists","Exists")</f>
        <v>Not Exists</v>
      </c>
      <c r="N1477" t="str">
        <f t="shared" si="73"/>
        <v>Not Exists</v>
      </c>
      <c r="O1477" t="str">
        <f t="shared" si="74"/>
        <v>Exists</v>
      </c>
      <c r="P1477" t="str">
        <f t="shared" si="75"/>
        <v>Exists</v>
      </c>
    </row>
    <row r="1478" spans="1:16">
      <c r="A1478" s="50" t="s">
        <v>1634</v>
      </c>
      <c r="B1478" s="50" t="s">
        <v>1640</v>
      </c>
      <c r="C1478" s="50" t="s">
        <v>256</v>
      </c>
      <c r="D1478" s="50">
        <v>50</v>
      </c>
      <c r="E1478" s="50" t="s">
        <v>1641</v>
      </c>
      <c r="F1478" s="50" t="s">
        <v>781</v>
      </c>
      <c r="G1478" s="50" t="s">
        <v>256</v>
      </c>
      <c r="H1478" s="50">
        <v>8</v>
      </c>
      <c r="M1478" t="str">
        <f>IF(COUNTIF($A:$A,E1478)=0,"Not Exists","Exists")</f>
        <v>Not Exists</v>
      </c>
      <c r="N1478" t="str">
        <f t="shared" si="73"/>
        <v>Exists</v>
      </c>
      <c r="O1478" t="str">
        <f t="shared" si="74"/>
        <v>Exists</v>
      </c>
      <c r="P1478" t="str">
        <f t="shared" si="75"/>
        <v>Exists</v>
      </c>
    </row>
    <row r="1479" spans="1:16">
      <c r="A1479" s="50" t="s">
        <v>1634</v>
      </c>
      <c r="B1479" s="50" t="s">
        <v>1642</v>
      </c>
      <c r="C1479" s="50" t="s">
        <v>256</v>
      </c>
      <c r="D1479" s="50">
        <v>450</v>
      </c>
      <c r="E1479" s="50" t="s">
        <v>1641</v>
      </c>
      <c r="F1479" s="50" t="s">
        <v>780</v>
      </c>
      <c r="G1479" s="50" t="s">
        <v>256</v>
      </c>
      <c r="H1479" s="50">
        <v>20</v>
      </c>
      <c r="M1479" t="str">
        <f>IF(COUNTIF($A:$A,E1479)=0,"Not Exists","Exists")</f>
        <v>Not Exists</v>
      </c>
      <c r="N1479" t="str">
        <f t="shared" si="73"/>
        <v>Exists</v>
      </c>
      <c r="O1479" t="str">
        <f t="shared" si="74"/>
        <v>Exists</v>
      </c>
      <c r="P1479" t="str">
        <f t="shared" si="75"/>
        <v>Exists</v>
      </c>
    </row>
    <row r="1480" spans="1:16">
      <c r="A1480" s="50" t="s">
        <v>1634</v>
      </c>
      <c r="B1480" s="50" t="s">
        <v>1643</v>
      </c>
      <c r="C1480" s="50" t="s">
        <v>256</v>
      </c>
      <c r="D1480" s="50">
        <v>50</v>
      </c>
      <c r="E1480" s="50" t="s">
        <v>1641</v>
      </c>
      <c r="F1480" s="50" t="s">
        <v>1395</v>
      </c>
      <c r="G1480" s="50" t="s">
        <v>256</v>
      </c>
      <c r="H1480" s="50">
        <v>1</v>
      </c>
      <c r="M1480" t="str">
        <f>IF(COUNTIF($A:$A,E1480)=0,"Not Exists","Exists")</f>
        <v>Not Exists</v>
      </c>
      <c r="N1480" t="str">
        <f t="shared" si="73"/>
        <v>Not Exists</v>
      </c>
      <c r="O1480" t="str">
        <f t="shared" si="74"/>
        <v>Exists</v>
      </c>
      <c r="P1480" t="str">
        <f t="shared" si="75"/>
        <v>Exists</v>
      </c>
    </row>
    <row r="1481" spans="1:16">
      <c r="A1481" s="50" t="s">
        <v>1634</v>
      </c>
      <c r="B1481" s="50" t="s">
        <v>1644</v>
      </c>
      <c r="C1481" s="50" t="s">
        <v>256</v>
      </c>
      <c r="D1481" s="50">
        <v>3000</v>
      </c>
      <c r="E1481" s="50" t="s">
        <v>1641</v>
      </c>
      <c r="F1481" s="50" t="s">
        <v>1397</v>
      </c>
      <c r="G1481" s="50" t="s">
        <v>256</v>
      </c>
      <c r="H1481" s="50">
        <v>2</v>
      </c>
      <c r="M1481" t="str">
        <f>IF(COUNTIF($A:$A,E1481)=0,"Not Exists","Exists")</f>
        <v>Not Exists</v>
      </c>
      <c r="N1481" t="str">
        <f t="shared" si="73"/>
        <v>Not Exists</v>
      </c>
      <c r="O1481" t="str">
        <f t="shared" si="74"/>
        <v>Exists</v>
      </c>
      <c r="P1481" t="str">
        <f t="shared" si="75"/>
        <v>Exists</v>
      </c>
    </row>
    <row r="1482" spans="1:16">
      <c r="A1482" s="50" t="s">
        <v>1634</v>
      </c>
      <c r="B1482" s="50" t="s">
        <v>1645</v>
      </c>
      <c r="C1482" s="50" t="s">
        <v>256</v>
      </c>
      <c r="D1482" s="50">
        <v>1000</v>
      </c>
      <c r="E1482" s="50" t="s">
        <v>1641</v>
      </c>
      <c r="F1482" s="50" t="s">
        <v>796</v>
      </c>
      <c r="G1482" s="50" t="s">
        <v>254</v>
      </c>
      <c r="H1482" s="50">
        <v>22</v>
      </c>
      <c r="M1482" t="str">
        <f>IF(COUNTIF($A:$A,E1482)=0,"Not Exists","Exists")</f>
        <v>Not Exists</v>
      </c>
      <c r="N1482" t="str">
        <f t="shared" si="73"/>
        <v>Exists</v>
      </c>
      <c r="O1482" t="str">
        <f t="shared" si="74"/>
        <v>Exists</v>
      </c>
      <c r="P1482" t="str">
        <f t="shared" si="75"/>
        <v>Exists</v>
      </c>
    </row>
    <row r="1483" spans="1:16">
      <c r="A1483" s="50" t="s">
        <v>1634</v>
      </c>
      <c r="B1483" s="50" t="s">
        <v>1646</v>
      </c>
      <c r="C1483" s="50" t="s">
        <v>256</v>
      </c>
      <c r="D1483" s="50">
        <v>50</v>
      </c>
      <c r="E1483" s="50" t="s">
        <v>1641</v>
      </c>
      <c r="F1483" s="50" t="s">
        <v>424</v>
      </c>
      <c r="G1483" s="50" t="s">
        <v>256</v>
      </c>
      <c r="H1483" s="50">
        <v>60</v>
      </c>
      <c r="M1483" t="str">
        <f>IF(COUNTIF($A:$A,E1483)=0,"Not Exists","Exists")</f>
        <v>Not Exists</v>
      </c>
      <c r="N1483" t="str">
        <f t="shared" si="73"/>
        <v>Exists</v>
      </c>
      <c r="O1483" t="str">
        <f t="shared" si="74"/>
        <v>Exists</v>
      </c>
      <c r="P1483" t="str">
        <f t="shared" si="75"/>
        <v>Exists</v>
      </c>
    </row>
    <row r="1484" spans="1:16">
      <c r="A1484" s="50" t="s">
        <v>1634</v>
      </c>
      <c r="B1484" s="50" t="s">
        <v>1647</v>
      </c>
      <c r="C1484" s="50" t="s">
        <v>256</v>
      </c>
      <c r="D1484" s="50">
        <v>50</v>
      </c>
      <c r="E1484" s="50" t="s">
        <v>1641</v>
      </c>
      <c r="F1484" s="50" t="s">
        <v>1401</v>
      </c>
      <c r="G1484" s="50" t="s">
        <v>256</v>
      </c>
      <c r="H1484" s="50">
        <v>3</v>
      </c>
      <c r="M1484" t="str">
        <f>IF(COUNTIF($A:$A,E1484)=0,"Not Exists","Exists")</f>
        <v>Not Exists</v>
      </c>
      <c r="N1484" t="str">
        <f t="shared" si="73"/>
        <v>Not Exists</v>
      </c>
      <c r="O1484" t="str">
        <f t="shared" si="74"/>
        <v>Exists</v>
      </c>
      <c r="P1484" t="str">
        <f t="shared" si="75"/>
        <v>Exists</v>
      </c>
    </row>
    <row r="1485" spans="1:16">
      <c r="A1485" s="50" t="s">
        <v>1634</v>
      </c>
      <c r="B1485" s="50" t="s">
        <v>1648</v>
      </c>
      <c r="C1485" s="50" t="s">
        <v>256</v>
      </c>
      <c r="D1485" s="50">
        <v>50</v>
      </c>
      <c r="E1485" s="50" t="s">
        <v>1641</v>
      </c>
      <c r="F1485" s="50" t="s">
        <v>430</v>
      </c>
      <c r="G1485" s="50" t="s">
        <v>256</v>
      </c>
      <c r="H1485" s="50">
        <v>50</v>
      </c>
      <c r="M1485" t="str">
        <f>IF(COUNTIF($A:$A,E1485)=0,"Not Exists","Exists")</f>
        <v>Not Exists</v>
      </c>
      <c r="N1485" t="str">
        <f t="shared" si="73"/>
        <v>Exists</v>
      </c>
      <c r="O1485" t="str">
        <f t="shared" si="74"/>
        <v>Exists</v>
      </c>
      <c r="P1485" t="str">
        <f t="shared" si="75"/>
        <v>Exists</v>
      </c>
    </row>
    <row r="1486" spans="1:16">
      <c r="A1486" s="50" t="s">
        <v>1634</v>
      </c>
      <c r="B1486" s="50" t="s">
        <v>1649</v>
      </c>
      <c r="C1486" s="50" t="s">
        <v>256</v>
      </c>
      <c r="D1486" s="50">
        <v>50</v>
      </c>
      <c r="E1486" s="50" t="s">
        <v>1641</v>
      </c>
      <c r="F1486" s="50" t="s">
        <v>1405</v>
      </c>
      <c r="G1486" s="50" t="s">
        <v>256</v>
      </c>
      <c r="H1486" s="50">
        <v>9</v>
      </c>
      <c r="M1486" t="str">
        <f>IF(COUNTIF($A:$A,E1486)=0,"Not Exists","Exists")</f>
        <v>Not Exists</v>
      </c>
      <c r="N1486" t="str">
        <f t="shared" si="73"/>
        <v>Not Exists</v>
      </c>
      <c r="O1486" t="str">
        <f t="shared" si="74"/>
        <v>Exists</v>
      </c>
      <c r="P1486" t="str">
        <f t="shared" si="75"/>
        <v>Exists</v>
      </c>
    </row>
    <row r="1487" spans="1:16">
      <c r="A1487" s="50" t="s">
        <v>1650</v>
      </c>
      <c r="B1487" s="50" t="s">
        <v>1651</v>
      </c>
      <c r="C1487" s="50" t="s">
        <v>256</v>
      </c>
      <c r="D1487" s="50">
        <v>50</v>
      </c>
      <c r="E1487" s="50" t="s">
        <v>1641</v>
      </c>
      <c r="F1487" s="50" t="s">
        <v>704</v>
      </c>
      <c r="G1487" s="50" t="s">
        <v>256</v>
      </c>
      <c r="H1487" s="50">
        <v>9</v>
      </c>
      <c r="M1487" t="str">
        <f>IF(COUNTIF($A:$A,E1487)=0,"Not Exists","Exists")</f>
        <v>Not Exists</v>
      </c>
      <c r="N1487" t="str">
        <f t="shared" si="73"/>
        <v>Not Exists</v>
      </c>
      <c r="O1487" t="str">
        <f t="shared" si="74"/>
        <v>Exists</v>
      </c>
      <c r="P1487" t="str">
        <f t="shared" si="75"/>
        <v>Exists</v>
      </c>
    </row>
    <row r="1488" spans="1:16">
      <c r="A1488" s="50" t="s">
        <v>1650</v>
      </c>
      <c r="B1488" s="50" t="s">
        <v>1652</v>
      </c>
      <c r="C1488" s="50" t="s">
        <v>256</v>
      </c>
      <c r="D1488" s="50">
        <v>50</v>
      </c>
      <c r="E1488" s="50" t="s">
        <v>1641</v>
      </c>
      <c r="F1488" s="50" t="s">
        <v>1408</v>
      </c>
      <c r="G1488" s="50" t="s">
        <v>256</v>
      </c>
      <c r="H1488" s="50">
        <v>17</v>
      </c>
      <c r="M1488" t="str">
        <f>IF(COUNTIF($A:$A,E1488)=0,"Not Exists","Exists")</f>
        <v>Not Exists</v>
      </c>
      <c r="N1488" t="str">
        <f t="shared" si="73"/>
        <v>Not Exists</v>
      </c>
      <c r="O1488" t="str">
        <f t="shared" si="74"/>
        <v>Exists</v>
      </c>
      <c r="P1488" t="str">
        <f t="shared" si="75"/>
        <v>Not Exists</v>
      </c>
    </row>
    <row r="1489" spans="1:16">
      <c r="A1489" s="50" t="s">
        <v>1650</v>
      </c>
      <c r="B1489" s="50" t="s">
        <v>1653</v>
      </c>
      <c r="C1489" s="50" t="s">
        <v>251</v>
      </c>
      <c r="D1489" s="50">
        <v>17</v>
      </c>
      <c r="E1489" s="50" t="s">
        <v>1641</v>
      </c>
      <c r="F1489" s="50" t="s">
        <v>1410</v>
      </c>
      <c r="G1489" s="50" t="s">
        <v>256</v>
      </c>
      <c r="H1489" s="50">
        <v>4000</v>
      </c>
      <c r="M1489" t="str">
        <f>IF(COUNTIF($A:$A,E1489)=0,"Not Exists","Exists")</f>
        <v>Not Exists</v>
      </c>
      <c r="N1489" t="str">
        <f t="shared" si="73"/>
        <v>Not Exists</v>
      </c>
      <c r="O1489" t="str">
        <f t="shared" si="74"/>
        <v>Exists</v>
      </c>
      <c r="P1489" t="str">
        <f t="shared" si="75"/>
        <v>Exists</v>
      </c>
    </row>
    <row r="1490" spans="1:16">
      <c r="A1490" s="50" t="s">
        <v>1650</v>
      </c>
      <c r="B1490" s="50" t="s">
        <v>1654</v>
      </c>
      <c r="C1490" s="50" t="s">
        <v>256</v>
      </c>
      <c r="D1490" s="50">
        <v>50</v>
      </c>
      <c r="E1490" s="50" t="s">
        <v>1641</v>
      </c>
      <c r="F1490" s="50" t="s">
        <v>1412</v>
      </c>
      <c r="G1490" s="50" t="s">
        <v>256</v>
      </c>
      <c r="H1490" s="50">
        <v>4000</v>
      </c>
      <c r="M1490" t="str">
        <f>IF(COUNTIF($A:$A,E1490)=0,"Not Exists","Exists")</f>
        <v>Not Exists</v>
      </c>
      <c r="N1490" t="str">
        <f t="shared" si="73"/>
        <v>Not Exists</v>
      </c>
      <c r="O1490" t="str">
        <f t="shared" si="74"/>
        <v>Exists</v>
      </c>
      <c r="P1490" t="str">
        <f t="shared" si="75"/>
        <v>Exists</v>
      </c>
    </row>
    <row r="1491" spans="1:16">
      <c r="A1491" s="50" t="s">
        <v>1650</v>
      </c>
      <c r="B1491" s="50" t="s">
        <v>1655</v>
      </c>
      <c r="C1491" s="50" t="s">
        <v>251</v>
      </c>
      <c r="D1491" s="50">
        <v>17</v>
      </c>
      <c r="E1491" s="50" t="s">
        <v>1641</v>
      </c>
      <c r="F1491" s="50" t="s">
        <v>1414</v>
      </c>
      <c r="G1491" s="50" t="s">
        <v>256</v>
      </c>
      <c r="H1491" s="50">
        <v>4000</v>
      </c>
      <c r="M1491" t="str">
        <f>IF(COUNTIF($A:$A,E1491)=0,"Not Exists","Exists")</f>
        <v>Not Exists</v>
      </c>
      <c r="N1491" t="str">
        <f t="shared" si="73"/>
        <v>Not Exists</v>
      </c>
      <c r="O1491" t="str">
        <f t="shared" si="74"/>
        <v>Exists</v>
      </c>
      <c r="P1491" t="str">
        <f t="shared" si="75"/>
        <v>Exists</v>
      </c>
    </row>
    <row r="1492" spans="1:16">
      <c r="A1492" s="50" t="s">
        <v>1650</v>
      </c>
      <c r="B1492" s="50" t="s">
        <v>1656</v>
      </c>
      <c r="C1492" s="50" t="s">
        <v>256</v>
      </c>
      <c r="D1492" s="50">
        <v>50</v>
      </c>
      <c r="E1492" s="50" t="s">
        <v>1657</v>
      </c>
      <c r="F1492" s="50" t="s">
        <v>781</v>
      </c>
      <c r="G1492" s="50" t="s">
        <v>256</v>
      </c>
      <c r="H1492" s="50">
        <v>8</v>
      </c>
      <c r="M1492" t="str">
        <f>IF(COUNTIF($A:$A,E1492)=0,"Not Exists","Exists")</f>
        <v>Not Exists</v>
      </c>
      <c r="N1492" t="str">
        <f t="shared" si="73"/>
        <v>Exists</v>
      </c>
      <c r="O1492" t="str">
        <f t="shared" si="74"/>
        <v>Exists</v>
      </c>
      <c r="P1492" t="str">
        <f t="shared" si="75"/>
        <v>Exists</v>
      </c>
    </row>
    <row r="1493" spans="1:16">
      <c r="A1493" s="50" t="s">
        <v>1650</v>
      </c>
      <c r="B1493" s="50" t="s">
        <v>1658</v>
      </c>
      <c r="C1493" s="50" t="s">
        <v>256</v>
      </c>
      <c r="D1493" s="50">
        <v>50</v>
      </c>
      <c r="E1493" s="50" t="s">
        <v>1657</v>
      </c>
      <c r="F1493" s="50" t="s">
        <v>780</v>
      </c>
      <c r="G1493" s="50" t="s">
        <v>256</v>
      </c>
      <c r="H1493" s="50">
        <v>20</v>
      </c>
      <c r="M1493" t="str">
        <f>IF(COUNTIF($A:$A,E1493)=0,"Not Exists","Exists")</f>
        <v>Not Exists</v>
      </c>
      <c r="N1493" t="str">
        <f t="shared" si="73"/>
        <v>Exists</v>
      </c>
      <c r="O1493" t="str">
        <f t="shared" si="74"/>
        <v>Exists</v>
      </c>
      <c r="P1493" t="str">
        <f t="shared" si="75"/>
        <v>Exists</v>
      </c>
    </row>
    <row r="1494" spans="1:16">
      <c r="A1494" s="50" t="s">
        <v>1650</v>
      </c>
      <c r="B1494" s="50" t="s">
        <v>1659</v>
      </c>
      <c r="C1494" s="50" t="s">
        <v>256</v>
      </c>
      <c r="D1494" s="50">
        <v>50</v>
      </c>
      <c r="E1494" s="50" t="s">
        <v>1657</v>
      </c>
      <c r="F1494" s="50" t="s">
        <v>1395</v>
      </c>
      <c r="G1494" s="50" t="s">
        <v>256</v>
      </c>
      <c r="H1494" s="50">
        <v>1</v>
      </c>
      <c r="M1494" t="str">
        <f>IF(COUNTIF($A:$A,E1494)=0,"Not Exists","Exists")</f>
        <v>Not Exists</v>
      </c>
      <c r="N1494" t="str">
        <f t="shared" si="73"/>
        <v>Not Exists</v>
      </c>
      <c r="O1494" t="str">
        <f t="shared" si="74"/>
        <v>Exists</v>
      </c>
      <c r="P1494" t="str">
        <f t="shared" si="75"/>
        <v>Exists</v>
      </c>
    </row>
    <row r="1495" spans="1:16">
      <c r="A1495" s="50" t="s">
        <v>1650</v>
      </c>
      <c r="B1495" s="50" t="s">
        <v>1660</v>
      </c>
      <c r="C1495" s="50" t="s">
        <v>256</v>
      </c>
      <c r="D1495" s="50">
        <v>50</v>
      </c>
      <c r="E1495" s="50" t="s">
        <v>1657</v>
      </c>
      <c r="F1495" s="50" t="s">
        <v>1397</v>
      </c>
      <c r="G1495" s="50" t="s">
        <v>256</v>
      </c>
      <c r="H1495" s="50">
        <v>2</v>
      </c>
      <c r="M1495" t="str">
        <f>IF(COUNTIF($A:$A,E1495)=0,"Not Exists","Exists")</f>
        <v>Not Exists</v>
      </c>
      <c r="N1495" t="str">
        <f t="shared" si="73"/>
        <v>Not Exists</v>
      </c>
      <c r="O1495" t="str">
        <f t="shared" si="74"/>
        <v>Exists</v>
      </c>
      <c r="P1495" t="str">
        <f t="shared" si="75"/>
        <v>Exists</v>
      </c>
    </row>
    <row r="1496" spans="1:16">
      <c r="A1496" s="50" t="s">
        <v>1650</v>
      </c>
      <c r="B1496" s="50" t="s">
        <v>1661</v>
      </c>
      <c r="C1496" s="50" t="s">
        <v>256</v>
      </c>
      <c r="D1496" s="50">
        <v>50</v>
      </c>
      <c r="E1496" s="50" t="s">
        <v>1657</v>
      </c>
      <c r="F1496" s="50" t="s">
        <v>796</v>
      </c>
      <c r="G1496" s="50" t="s">
        <v>254</v>
      </c>
      <c r="H1496" s="50">
        <v>22</v>
      </c>
      <c r="M1496" t="str">
        <f>IF(COUNTIF($A:$A,E1496)=0,"Not Exists","Exists")</f>
        <v>Not Exists</v>
      </c>
      <c r="N1496" t="str">
        <f t="shared" si="73"/>
        <v>Exists</v>
      </c>
      <c r="O1496" t="str">
        <f t="shared" si="74"/>
        <v>Exists</v>
      </c>
      <c r="P1496" t="str">
        <f t="shared" si="75"/>
        <v>Exists</v>
      </c>
    </row>
    <row r="1497" spans="1:16">
      <c r="A1497" s="50" t="s">
        <v>1650</v>
      </c>
      <c r="B1497" s="50" t="s">
        <v>1662</v>
      </c>
      <c r="C1497" s="50" t="s">
        <v>256</v>
      </c>
      <c r="D1497" s="50">
        <v>50</v>
      </c>
      <c r="E1497" s="50" t="s">
        <v>1657</v>
      </c>
      <c r="F1497" s="50" t="s">
        <v>424</v>
      </c>
      <c r="G1497" s="50" t="s">
        <v>256</v>
      </c>
      <c r="H1497" s="50">
        <v>60</v>
      </c>
      <c r="M1497" t="str">
        <f>IF(COUNTIF($A:$A,E1497)=0,"Not Exists","Exists")</f>
        <v>Not Exists</v>
      </c>
      <c r="N1497" t="str">
        <f t="shared" si="73"/>
        <v>Exists</v>
      </c>
      <c r="O1497" t="str">
        <f t="shared" si="74"/>
        <v>Exists</v>
      </c>
      <c r="P1497" t="str">
        <f t="shared" si="75"/>
        <v>Exists</v>
      </c>
    </row>
    <row r="1498" spans="1:16">
      <c r="A1498" s="50" t="s">
        <v>1650</v>
      </c>
      <c r="B1498" s="50" t="s">
        <v>1663</v>
      </c>
      <c r="C1498" s="50" t="s">
        <v>256</v>
      </c>
      <c r="D1498" s="50">
        <v>50</v>
      </c>
      <c r="E1498" s="50" t="s">
        <v>1657</v>
      </c>
      <c r="F1498" s="50" t="s">
        <v>1401</v>
      </c>
      <c r="G1498" s="50" t="s">
        <v>256</v>
      </c>
      <c r="H1498" s="50">
        <v>3</v>
      </c>
      <c r="M1498" t="str">
        <f>IF(COUNTIF($A:$A,E1498)=0,"Not Exists","Exists")</f>
        <v>Not Exists</v>
      </c>
      <c r="N1498" t="str">
        <f t="shared" si="73"/>
        <v>Not Exists</v>
      </c>
      <c r="O1498" t="str">
        <f t="shared" si="74"/>
        <v>Exists</v>
      </c>
      <c r="P1498" t="str">
        <f t="shared" si="75"/>
        <v>Exists</v>
      </c>
    </row>
    <row r="1499" spans="1:16">
      <c r="A1499" s="50" t="s">
        <v>1650</v>
      </c>
      <c r="B1499" s="50" t="s">
        <v>1664</v>
      </c>
      <c r="C1499" s="50" t="s">
        <v>256</v>
      </c>
      <c r="D1499" s="50">
        <v>30</v>
      </c>
      <c r="E1499" s="50" t="s">
        <v>1657</v>
      </c>
      <c r="F1499" s="50" t="s">
        <v>430</v>
      </c>
      <c r="G1499" s="50" t="s">
        <v>256</v>
      </c>
      <c r="H1499" s="50">
        <v>50</v>
      </c>
      <c r="M1499" t="str">
        <f>IF(COUNTIF($A:$A,E1499)=0,"Not Exists","Exists")</f>
        <v>Not Exists</v>
      </c>
      <c r="N1499" t="str">
        <f t="shared" si="73"/>
        <v>Exists</v>
      </c>
      <c r="O1499" t="str">
        <f t="shared" si="74"/>
        <v>Exists</v>
      </c>
      <c r="P1499" t="str">
        <f t="shared" si="75"/>
        <v>Exists</v>
      </c>
    </row>
    <row r="1500" spans="1:16">
      <c r="A1500" s="50" t="s">
        <v>1665</v>
      </c>
      <c r="B1500" s="50" t="s">
        <v>1666</v>
      </c>
      <c r="C1500" s="50" t="s">
        <v>256</v>
      </c>
      <c r="D1500" s="50">
        <v>50</v>
      </c>
      <c r="E1500" s="50" t="s">
        <v>1657</v>
      </c>
      <c r="F1500" s="50" t="s">
        <v>1405</v>
      </c>
      <c r="G1500" s="50" t="s">
        <v>256</v>
      </c>
      <c r="H1500" s="50">
        <v>9</v>
      </c>
      <c r="M1500" t="str">
        <f>IF(COUNTIF($A:$A,E1500)=0,"Not Exists","Exists")</f>
        <v>Not Exists</v>
      </c>
      <c r="N1500" t="str">
        <f t="shared" si="73"/>
        <v>Not Exists</v>
      </c>
      <c r="O1500" t="str">
        <f t="shared" si="74"/>
        <v>Exists</v>
      </c>
      <c r="P1500" t="str">
        <f t="shared" si="75"/>
        <v>Exists</v>
      </c>
    </row>
    <row r="1501" spans="1:16">
      <c r="A1501" s="50" t="s">
        <v>1665</v>
      </c>
      <c r="B1501" s="50" t="s">
        <v>1667</v>
      </c>
      <c r="C1501" s="50" t="s">
        <v>256</v>
      </c>
      <c r="D1501" s="50">
        <v>50</v>
      </c>
      <c r="E1501" s="50" t="s">
        <v>1657</v>
      </c>
      <c r="F1501" s="50" t="s">
        <v>704</v>
      </c>
      <c r="G1501" s="50" t="s">
        <v>256</v>
      </c>
      <c r="H1501" s="50">
        <v>9</v>
      </c>
      <c r="M1501" t="str">
        <f>IF(COUNTIF($A:$A,E1501)=0,"Not Exists","Exists")</f>
        <v>Not Exists</v>
      </c>
      <c r="N1501" t="str">
        <f t="shared" si="73"/>
        <v>Not Exists</v>
      </c>
      <c r="O1501" t="str">
        <f t="shared" si="74"/>
        <v>Exists</v>
      </c>
      <c r="P1501" t="str">
        <f t="shared" si="75"/>
        <v>Not Exists</v>
      </c>
    </row>
    <row r="1502" spans="1:16">
      <c r="A1502" s="50" t="s">
        <v>1665</v>
      </c>
      <c r="B1502" s="50" t="s">
        <v>1668</v>
      </c>
      <c r="C1502" s="50" t="s">
        <v>251</v>
      </c>
      <c r="D1502" s="50">
        <v>17</v>
      </c>
      <c r="E1502" s="50" t="s">
        <v>1657</v>
      </c>
      <c r="F1502" s="50" t="s">
        <v>1408</v>
      </c>
      <c r="G1502" s="50" t="s">
        <v>256</v>
      </c>
      <c r="H1502" s="50">
        <v>17</v>
      </c>
      <c r="M1502" t="str">
        <f>IF(COUNTIF($A:$A,E1502)=0,"Not Exists","Exists")</f>
        <v>Not Exists</v>
      </c>
      <c r="N1502" t="str">
        <f t="shared" si="73"/>
        <v>Not Exists</v>
      </c>
      <c r="O1502" t="str">
        <f t="shared" si="74"/>
        <v>Exists</v>
      </c>
      <c r="P1502" t="str">
        <f t="shared" si="75"/>
        <v>Exists</v>
      </c>
    </row>
    <row r="1503" spans="1:16">
      <c r="A1503" s="50" t="s">
        <v>1665</v>
      </c>
      <c r="B1503" s="50" t="s">
        <v>1669</v>
      </c>
      <c r="C1503" s="50" t="s">
        <v>256</v>
      </c>
      <c r="D1503" s="50">
        <v>50</v>
      </c>
      <c r="E1503" s="50" t="s">
        <v>1657</v>
      </c>
      <c r="F1503" s="50" t="s">
        <v>1410</v>
      </c>
      <c r="G1503" s="50" t="s">
        <v>256</v>
      </c>
      <c r="H1503" s="50">
        <v>4000</v>
      </c>
      <c r="M1503" t="str">
        <f>IF(COUNTIF($A:$A,E1503)=0,"Not Exists","Exists")</f>
        <v>Not Exists</v>
      </c>
      <c r="N1503" t="str">
        <f t="shared" si="73"/>
        <v>Not Exists</v>
      </c>
      <c r="O1503" t="str">
        <f t="shared" si="74"/>
        <v>Exists</v>
      </c>
      <c r="P1503" t="str">
        <f t="shared" si="75"/>
        <v>Exists</v>
      </c>
    </row>
    <row r="1504" spans="1:16">
      <c r="A1504" s="50" t="s">
        <v>1665</v>
      </c>
      <c r="B1504" s="50" t="s">
        <v>1670</v>
      </c>
      <c r="C1504" s="50" t="s">
        <v>251</v>
      </c>
      <c r="D1504" s="50">
        <v>17</v>
      </c>
      <c r="E1504" s="50" t="s">
        <v>1657</v>
      </c>
      <c r="F1504" s="50" t="s">
        <v>1412</v>
      </c>
      <c r="G1504" s="50" t="s">
        <v>256</v>
      </c>
      <c r="H1504" s="50">
        <v>4000</v>
      </c>
      <c r="M1504" t="str">
        <f>IF(COUNTIF($A:$A,E1504)=0,"Not Exists","Exists")</f>
        <v>Not Exists</v>
      </c>
      <c r="N1504" t="str">
        <f t="shared" si="73"/>
        <v>Not Exists</v>
      </c>
      <c r="O1504" t="str">
        <f t="shared" si="74"/>
        <v>Exists</v>
      </c>
      <c r="P1504" t="str">
        <f t="shared" si="75"/>
        <v>Exists</v>
      </c>
    </row>
    <row r="1505" spans="1:16">
      <c r="A1505" s="50" t="s">
        <v>1665</v>
      </c>
      <c r="B1505" s="50" t="s">
        <v>1671</v>
      </c>
      <c r="C1505" s="50" t="s">
        <v>256</v>
      </c>
      <c r="D1505" s="50">
        <v>50</v>
      </c>
      <c r="E1505" s="50" t="s">
        <v>1657</v>
      </c>
      <c r="F1505" s="50" t="s">
        <v>1414</v>
      </c>
      <c r="G1505" s="50" t="s">
        <v>256</v>
      </c>
      <c r="H1505" s="50">
        <v>4000</v>
      </c>
      <c r="M1505" t="str">
        <f>IF(COUNTIF($A:$A,E1505)=0,"Not Exists","Exists")</f>
        <v>Not Exists</v>
      </c>
      <c r="N1505" t="str">
        <f t="shared" si="73"/>
        <v>Not Exists</v>
      </c>
      <c r="O1505" t="str">
        <f t="shared" si="74"/>
        <v>Exists</v>
      </c>
      <c r="P1505" t="str">
        <f t="shared" si="75"/>
        <v>Exists</v>
      </c>
    </row>
    <row r="1506" spans="1:16">
      <c r="A1506" s="50" t="s">
        <v>1665</v>
      </c>
      <c r="B1506" s="50" t="s">
        <v>1672</v>
      </c>
      <c r="C1506" s="50" t="s">
        <v>256</v>
      </c>
      <c r="D1506" s="50">
        <v>450</v>
      </c>
      <c r="E1506" s="50" t="s">
        <v>1673</v>
      </c>
      <c r="F1506" s="50" t="s">
        <v>781</v>
      </c>
      <c r="G1506" s="50" t="s">
        <v>256</v>
      </c>
      <c r="H1506" s="50">
        <v>8</v>
      </c>
      <c r="M1506" t="str">
        <f>IF(COUNTIF($A:$A,E1506)=0,"Not Exists","Exists")</f>
        <v>Not Exists</v>
      </c>
      <c r="N1506" t="str">
        <f t="shared" si="73"/>
        <v>Exists</v>
      </c>
      <c r="O1506" t="str">
        <f t="shared" si="74"/>
        <v>Exists</v>
      </c>
      <c r="P1506" t="str">
        <f t="shared" si="75"/>
        <v>Exists</v>
      </c>
    </row>
    <row r="1507" spans="1:16">
      <c r="A1507" s="50" t="s">
        <v>1665</v>
      </c>
      <c r="B1507" s="50" t="s">
        <v>1674</v>
      </c>
      <c r="C1507" s="50" t="s">
        <v>256</v>
      </c>
      <c r="D1507" s="50">
        <v>3000</v>
      </c>
      <c r="E1507" s="50" t="s">
        <v>1673</v>
      </c>
      <c r="F1507" s="50" t="s">
        <v>780</v>
      </c>
      <c r="G1507" s="50" t="s">
        <v>256</v>
      </c>
      <c r="H1507" s="50">
        <v>20</v>
      </c>
      <c r="M1507" t="str">
        <f>IF(COUNTIF($A:$A,E1507)=0,"Not Exists","Exists")</f>
        <v>Not Exists</v>
      </c>
      <c r="N1507" t="str">
        <f t="shared" si="73"/>
        <v>Exists</v>
      </c>
      <c r="O1507" t="str">
        <f t="shared" si="74"/>
        <v>Exists</v>
      </c>
      <c r="P1507" t="str">
        <f t="shared" si="75"/>
        <v>Exists</v>
      </c>
    </row>
    <row r="1508" spans="1:16">
      <c r="A1508" s="50" t="s">
        <v>1665</v>
      </c>
      <c r="B1508" s="50" t="s">
        <v>1675</v>
      </c>
      <c r="C1508" s="50" t="s">
        <v>256</v>
      </c>
      <c r="D1508" s="50">
        <v>1000</v>
      </c>
      <c r="E1508" s="50" t="s">
        <v>1673</v>
      </c>
      <c r="F1508" s="50" t="s">
        <v>1395</v>
      </c>
      <c r="G1508" s="50" t="s">
        <v>256</v>
      </c>
      <c r="H1508" s="50">
        <v>1</v>
      </c>
      <c r="M1508" t="str">
        <f>IF(COUNTIF($A:$A,E1508)=0,"Not Exists","Exists")</f>
        <v>Not Exists</v>
      </c>
      <c r="N1508" t="str">
        <f t="shared" si="73"/>
        <v>Not Exists</v>
      </c>
      <c r="O1508" t="str">
        <f t="shared" si="74"/>
        <v>Exists</v>
      </c>
      <c r="P1508" t="str">
        <f t="shared" si="75"/>
        <v>Exists</v>
      </c>
    </row>
    <row r="1509" spans="1:16">
      <c r="A1509" s="50" t="s">
        <v>1665</v>
      </c>
      <c r="B1509" s="50" t="s">
        <v>1676</v>
      </c>
      <c r="C1509" s="50" t="s">
        <v>256</v>
      </c>
      <c r="D1509" s="50">
        <v>1000</v>
      </c>
      <c r="E1509" s="50" t="s">
        <v>1673</v>
      </c>
      <c r="F1509" s="50" t="s">
        <v>1397</v>
      </c>
      <c r="G1509" s="50" t="s">
        <v>256</v>
      </c>
      <c r="H1509" s="50">
        <v>2</v>
      </c>
      <c r="M1509" t="str">
        <f>IF(COUNTIF($A:$A,E1509)=0,"Not Exists","Exists")</f>
        <v>Not Exists</v>
      </c>
      <c r="N1509" t="str">
        <f t="shared" si="73"/>
        <v>Not Exists</v>
      </c>
      <c r="O1509" t="str">
        <f t="shared" si="74"/>
        <v>Exists</v>
      </c>
      <c r="P1509" t="str">
        <f t="shared" si="75"/>
        <v>Exists</v>
      </c>
    </row>
    <row r="1510" spans="1:16">
      <c r="A1510" s="50" t="s">
        <v>1665</v>
      </c>
      <c r="B1510" s="50" t="s">
        <v>1677</v>
      </c>
      <c r="C1510" s="50" t="s">
        <v>256</v>
      </c>
      <c r="D1510" s="50">
        <v>50</v>
      </c>
      <c r="E1510" s="50" t="s">
        <v>1673</v>
      </c>
      <c r="F1510" s="50" t="s">
        <v>796</v>
      </c>
      <c r="G1510" s="50" t="s">
        <v>254</v>
      </c>
      <c r="H1510" s="50">
        <v>22</v>
      </c>
      <c r="M1510" t="str">
        <f>IF(COUNTIF($A:$A,E1510)=0,"Not Exists","Exists")</f>
        <v>Not Exists</v>
      </c>
      <c r="N1510" t="str">
        <f t="shared" si="73"/>
        <v>Exists</v>
      </c>
      <c r="O1510" t="str">
        <f t="shared" si="74"/>
        <v>Exists</v>
      </c>
      <c r="P1510" t="str">
        <f t="shared" si="75"/>
        <v>Exists</v>
      </c>
    </row>
    <row r="1511" spans="1:16">
      <c r="A1511" s="50" t="s">
        <v>1678</v>
      </c>
      <c r="B1511" s="50" t="s">
        <v>1679</v>
      </c>
      <c r="C1511" s="50" t="s">
        <v>256</v>
      </c>
      <c r="D1511" s="50">
        <v>50</v>
      </c>
      <c r="E1511" s="50" t="s">
        <v>1673</v>
      </c>
      <c r="F1511" s="50" t="s">
        <v>424</v>
      </c>
      <c r="G1511" s="50" t="s">
        <v>256</v>
      </c>
      <c r="H1511" s="50">
        <v>60</v>
      </c>
      <c r="M1511" t="str">
        <f>IF(COUNTIF($A:$A,E1511)=0,"Not Exists","Exists")</f>
        <v>Not Exists</v>
      </c>
      <c r="N1511" t="str">
        <f t="shared" si="73"/>
        <v>Exists</v>
      </c>
      <c r="O1511" t="str">
        <f t="shared" si="74"/>
        <v>Exists</v>
      </c>
      <c r="P1511" t="str">
        <f t="shared" si="75"/>
        <v>Exists</v>
      </c>
    </row>
    <row r="1512" spans="1:16">
      <c r="A1512" s="50" t="s">
        <v>1678</v>
      </c>
      <c r="B1512" s="50" t="s">
        <v>1680</v>
      </c>
      <c r="C1512" s="50" t="s">
        <v>256</v>
      </c>
      <c r="D1512" s="50">
        <v>50</v>
      </c>
      <c r="E1512" s="50" t="s">
        <v>1673</v>
      </c>
      <c r="F1512" s="50" t="s">
        <v>1401</v>
      </c>
      <c r="G1512" s="50" t="s">
        <v>256</v>
      </c>
      <c r="H1512" s="50">
        <v>3</v>
      </c>
      <c r="M1512" t="str">
        <f>IF(COUNTIF($A:$A,E1512)=0,"Not Exists","Exists")</f>
        <v>Not Exists</v>
      </c>
      <c r="N1512" t="str">
        <f t="shared" si="73"/>
        <v>Not Exists</v>
      </c>
      <c r="O1512" t="str">
        <f t="shared" si="74"/>
        <v>Exists</v>
      </c>
      <c r="P1512" t="str">
        <f t="shared" si="75"/>
        <v>Not Exists</v>
      </c>
    </row>
    <row r="1513" spans="1:16">
      <c r="A1513" s="50" t="s">
        <v>1678</v>
      </c>
      <c r="B1513" s="50" t="s">
        <v>1681</v>
      </c>
      <c r="C1513" s="50" t="s">
        <v>251</v>
      </c>
      <c r="D1513" s="50">
        <v>17</v>
      </c>
      <c r="E1513" s="50" t="s">
        <v>1673</v>
      </c>
      <c r="F1513" s="50" t="s">
        <v>430</v>
      </c>
      <c r="G1513" s="50" t="s">
        <v>256</v>
      </c>
      <c r="H1513" s="50">
        <v>50</v>
      </c>
      <c r="M1513" t="str">
        <f>IF(COUNTIF($A:$A,E1513)=0,"Not Exists","Exists")</f>
        <v>Not Exists</v>
      </c>
      <c r="N1513" t="str">
        <f t="shared" si="73"/>
        <v>Exists</v>
      </c>
      <c r="O1513" t="str">
        <f t="shared" si="74"/>
        <v>Exists</v>
      </c>
      <c r="P1513" t="str">
        <f t="shared" si="75"/>
        <v>Exists</v>
      </c>
    </row>
    <row r="1514" spans="1:16">
      <c r="A1514" s="50" t="s">
        <v>1678</v>
      </c>
      <c r="B1514" s="50" t="s">
        <v>1682</v>
      </c>
      <c r="C1514" s="50" t="s">
        <v>256</v>
      </c>
      <c r="D1514" s="50">
        <v>50</v>
      </c>
      <c r="E1514" s="50" t="s">
        <v>1673</v>
      </c>
      <c r="F1514" s="50" t="s">
        <v>1405</v>
      </c>
      <c r="G1514" s="50" t="s">
        <v>256</v>
      </c>
      <c r="H1514" s="50">
        <v>9</v>
      </c>
      <c r="M1514" t="str">
        <f>IF(COUNTIF($A:$A,E1514)=0,"Not Exists","Exists")</f>
        <v>Not Exists</v>
      </c>
      <c r="N1514" t="str">
        <f t="shared" si="73"/>
        <v>Not Exists</v>
      </c>
      <c r="O1514" t="str">
        <f t="shared" si="74"/>
        <v>Exists</v>
      </c>
      <c r="P1514" t="str">
        <f t="shared" si="75"/>
        <v>Exists</v>
      </c>
    </row>
    <row r="1515" spans="1:16">
      <c r="A1515" s="50" t="s">
        <v>1678</v>
      </c>
      <c r="B1515" s="50" t="s">
        <v>1683</v>
      </c>
      <c r="C1515" s="50" t="s">
        <v>251</v>
      </c>
      <c r="D1515" s="50">
        <v>17</v>
      </c>
      <c r="E1515" s="50" t="s">
        <v>1673</v>
      </c>
      <c r="F1515" s="50" t="s">
        <v>704</v>
      </c>
      <c r="G1515" s="50" t="s">
        <v>256</v>
      </c>
      <c r="H1515" s="50">
        <v>9</v>
      </c>
      <c r="M1515" t="str">
        <f>IF(COUNTIF($A:$A,E1515)=0,"Not Exists","Exists")</f>
        <v>Not Exists</v>
      </c>
      <c r="N1515" t="str">
        <f t="shared" si="73"/>
        <v>Not Exists</v>
      </c>
      <c r="O1515" t="str">
        <f t="shared" si="74"/>
        <v>Exists</v>
      </c>
      <c r="P1515" t="str">
        <f t="shared" si="75"/>
        <v>Exists</v>
      </c>
    </row>
    <row r="1516" spans="1:16">
      <c r="A1516" s="50" t="s">
        <v>1678</v>
      </c>
      <c r="B1516" s="50" t="s">
        <v>1684</v>
      </c>
      <c r="C1516" s="50" t="s">
        <v>256</v>
      </c>
      <c r="D1516" s="50">
        <v>50</v>
      </c>
      <c r="E1516" s="50" t="s">
        <v>1673</v>
      </c>
      <c r="F1516" s="50" t="s">
        <v>1408</v>
      </c>
      <c r="G1516" s="50" t="s">
        <v>256</v>
      </c>
      <c r="H1516" s="50">
        <v>17</v>
      </c>
      <c r="M1516" t="str">
        <f>IF(COUNTIF($A:$A,E1516)=0,"Not Exists","Exists")</f>
        <v>Not Exists</v>
      </c>
      <c r="N1516" t="str">
        <f t="shared" si="73"/>
        <v>Not Exists</v>
      </c>
      <c r="O1516" t="str">
        <f t="shared" si="74"/>
        <v>Exists</v>
      </c>
      <c r="P1516" t="str">
        <f t="shared" si="75"/>
        <v>Exists</v>
      </c>
    </row>
    <row r="1517" spans="1:16">
      <c r="A1517" s="50" t="s">
        <v>1678</v>
      </c>
      <c r="B1517" s="50" t="s">
        <v>1685</v>
      </c>
      <c r="C1517" s="50" t="s">
        <v>256</v>
      </c>
      <c r="D1517" s="50">
        <v>450</v>
      </c>
      <c r="E1517" s="50" t="s">
        <v>1673</v>
      </c>
      <c r="F1517" s="50" t="s">
        <v>1410</v>
      </c>
      <c r="G1517" s="50" t="s">
        <v>256</v>
      </c>
      <c r="H1517" s="50">
        <v>4000</v>
      </c>
      <c r="M1517" t="str">
        <f>IF(COUNTIF($A:$A,E1517)=0,"Not Exists","Exists")</f>
        <v>Not Exists</v>
      </c>
      <c r="N1517" t="str">
        <f t="shared" si="73"/>
        <v>Not Exists</v>
      </c>
      <c r="O1517" t="str">
        <f t="shared" si="74"/>
        <v>Exists</v>
      </c>
      <c r="P1517" t="str">
        <f t="shared" si="75"/>
        <v>Exists</v>
      </c>
    </row>
    <row r="1518" spans="1:16">
      <c r="A1518" s="50" t="s">
        <v>1678</v>
      </c>
      <c r="B1518" s="50" t="s">
        <v>1686</v>
      </c>
      <c r="C1518" s="50" t="s">
        <v>256</v>
      </c>
      <c r="D1518" s="50">
        <v>50</v>
      </c>
      <c r="E1518" s="50" t="s">
        <v>1673</v>
      </c>
      <c r="F1518" s="50" t="s">
        <v>1412</v>
      </c>
      <c r="G1518" s="50" t="s">
        <v>256</v>
      </c>
      <c r="H1518" s="50">
        <v>4000</v>
      </c>
      <c r="M1518" t="str">
        <f>IF(COUNTIF($A:$A,E1518)=0,"Not Exists","Exists")</f>
        <v>Not Exists</v>
      </c>
      <c r="N1518" t="str">
        <f t="shared" si="73"/>
        <v>Not Exists</v>
      </c>
      <c r="O1518" t="str">
        <f t="shared" si="74"/>
        <v>Exists</v>
      </c>
      <c r="P1518" t="str">
        <f t="shared" si="75"/>
        <v>Exists</v>
      </c>
    </row>
    <row r="1519" spans="1:16">
      <c r="A1519" s="50" t="s">
        <v>1678</v>
      </c>
      <c r="B1519" s="50" t="s">
        <v>1687</v>
      </c>
      <c r="C1519" s="50" t="s">
        <v>256</v>
      </c>
      <c r="D1519" s="50">
        <v>3000</v>
      </c>
      <c r="E1519" s="50" t="s">
        <v>1673</v>
      </c>
      <c r="F1519" s="50" t="s">
        <v>1414</v>
      </c>
      <c r="G1519" s="50" t="s">
        <v>256</v>
      </c>
      <c r="H1519" s="50">
        <v>4000</v>
      </c>
      <c r="M1519" t="str">
        <f>IF(COUNTIF($A:$A,E1519)=0,"Not Exists","Exists")</f>
        <v>Not Exists</v>
      </c>
      <c r="N1519" t="str">
        <f t="shared" si="73"/>
        <v>Not Exists</v>
      </c>
      <c r="O1519" t="str">
        <f t="shared" si="74"/>
        <v>Exists</v>
      </c>
      <c r="P1519" t="str">
        <f t="shared" si="75"/>
        <v>Exists</v>
      </c>
    </row>
    <row r="1520" spans="1:16">
      <c r="A1520" s="50" t="s">
        <v>1678</v>
      </c>
      <c r="B1520" s="50" t="s">
        <v>1688</v>
      </c>
      <c r="C1520" s="50" t="s">
        <v>256</v>
      </c>
      <c r="D1520" s="50">
        <v>1000</v>
      </c>
      <c r="E1520" s="50" t="s">
        <v>1689</v>
      </c>
      <c r="F1520" s="50" t="s">
        <v>781</v>
      </c>
      <c r="G1520" s="50" t="s">
        <v>256</v>
      </c>
      <c r="H1520" s="50">
        <v>8</v>
      </c>
      <c r="M1520" t="str">
        <f>IF(COUNTIF($A:$A,E1520)=0,"Not Exists","Exists")</f>
        <v>Not Exists</v>
      </c>
      <c r="N1520" t="str">
        <f t="shared" si="73"/>
        <v>Exists</v>
      </c>
      <c r="O1520" t="str">
        <f t="shared" si="74"/>
        <v>Exists</v>
      </c>
      <c r="P1520" t="str">
        <f t="shared" si="75"/>
        <v>Exists</v>
      </c>
    </row>
    <row r="1521" spans="1:16">
      <c r="A1521" s="50" t="s">
        <v>1678</v>
      </c>
      <c r="B1521" s="50" t="s">
        <v>1690</v>
      </c>
      <c r="C1521" s="50" t="s">
        <v>256</v>
      </c>
      <c r="D1521" s="50">
        <v>50</v>
      </c>
      <c r="E1521" s="50" t="s">
        <v>1689</v>
      </c>
      <c r="F1521" s="50" t="s">
        <v>780</v>
      </c>
      <c r="G1521" s="50" t="s">
        <v>256</v>
      </c>
      <c r="H1521" s="50">
        <v>20</v>
      </c>
      <c r="M1521" t="str">
        <f>IF(COUNTIF($A:$A,E1521)=0,"Not Exists","Exists")</f>
        <v>Not Exists</v>
      </c>
      <c r="N1521" t="str">
        <f t="shared" si="73"/>
        <v>Exists</v>
      </c>
      <c r="O1521" t="str">
        <f t="shared" si="74"/>
        <v>Exists</v>
      </c>
      <c r="P1521" t="str">
        <f t="shared" si="75"/>
        <v>Exists</v>
      </c>
    </row>
    <row r="1522" spans="1:16">
      <c r="A1522" s="50" t="s">
        <v>1678</v>
      </c>
      <c r="B1522" s="50" t="s">
        <v>1691</v>
      </c>
      <c r="C1522" s="50" t="s">
        <v>251</v>
      </c>
      <c r="D1522" s="50">
        <v>1</v>
      </c>
      <c r="E1522" s="50" t="s">
        <v>1689</v>
      </c>
      <c r="F1522" s="50" t="s">
        <v>1395</v>
      </c>
      <c r="G1522" s="50" t="s">
        <v>256</v>
      </c>
      <c r="H1522" s="50">
        <v>1</v>
      </c>
      <c r="M1522" t="str">
        <f>IF(COUNTIF($A:$A,E1522)=0,"Not Exists","Exists")</f>
        <v>Not Exists</v>
      </c>
      <c r="N1522" t="str">
        <f t="shared" si="73"/>
        <v>Not Exists</v>
      </c>
      <c r="O1522" t="str">
        <f t="shared" si="74"/>
        <v>Exists</v>
      </c>
      <c r="P1522" t="str">
        <f t="shared" si="75"/>
        <v>Exists</v>
      </c>
    </row>
    <row r="1523" spans="1:16">
      <c r="A1523" s="50" t="s">
        <v>1692</v>
      </c>
      <c r="B1523" s="50" t="s">
        <v>1693</v>
      </c>
      <c r="C1523" s="50" t="s">
        <v>256</v>
      </c>
      <c r="D1523" s="50">
        <v>50</v>
      </c>
      <c r="E1523" s="50" t="s">
        <v>1689</v>
      </c>
      <c r="F1523" s="50" t="s">
        <v>1397</v>
      </c>
      <c r="G1523" s="50" t="s">
        <v>256</v>
      </c>
      <c r="H1523" s="50">
        <v>2</v>
      </c>
      <c r="M1523" t="str">
        <f>IF(COUNTIF($A:$A,E1523)=0,"Not Exists","Exists")</f>
        <v>Not Exists</v>
      </c>
      <c r="N1523" t="str">
        <f t="shared" si="73"/>
        <v>Not Exists</v>
      </c>
      <c r="O1523" t="str">
        <f t="shared" si="74"/>
        <v>Exists</v>
      </c>
      <c r="P1523" t="str">
        <f t="shared" si="75"/>
        <v>Exists</v>
      </c>
    </row>
    <row r="1524" spans="1:16">
      <c r="A1524" s="50" t="s">
        <v>1692</v>
      </c>
      <c r="B1524" s="50" t="s">
        <v>1694</v>
      </c>
      <c r="C1524" s="50" t="s">
        <v>256</v>
      </c>
      <c r="D1524" s="50">
        <v>50</v>
      </c>
      <c r="E1524" s="50" t="s">
        <v>1689</v>
      </c>
      <c r="F1524" s="50" t="s">
        <v>796</v>
      </c>
      <c r="G1524" s="50" t="s">
        <v>254</v>
      </c>
      <c r="H1524" s="50">
        <v>22</v>
      </c>
      <c r="M1524" t="str">
        <f>IF(COUNTIF($A:$A,E1524)=0,"Not Exists","Exists")</f>
        <v>Not Exists</v>
      </c>
      <c r="N1524" t="str">
        <f t="shared" si="73"/>
        <v>Exists</v>
      </c>
      <c r="O1524" t="str">
        <f t="shared" si="74"/>
        <v>Exists</v>
      </c>
      <c r="P1524" t="str">
        <f t="shared" si="75"/>
        <v>Not Exists</v>
      </c>
    </row>
    <row r="1525" spans="1:16">
      <c r="A1525" s="50" t="s">
        <v>1692</v>
      </c>
      <c r="B1525" s="50" t="s">
        <v>1695</v>
      </c>
      <c r="C1525" s="50" t="s">
        <v>251</v>
      </c>
      <c r="D1525" s="50">
        <v>17</v>
      </c>
      <c r="E1525" s="50" t="s">
        <v>1689</v>
      </c>
      <c r="F1525" s="50" t="s">
        <v>424</v>
      </c>
      <c r="G1525" s="50" t="s">
        <v>256</v>
      </c>
      <c r="H1525" s="50">
        <v>60</v>
      </c>
      <c r="M1525" t="str">
        <f>IF(COUNTIF($A:$A,E1525)=0,"Not Exists","Exists")</f>
        <v>Not Exists</v>
      </c>
      <c r="N1525" t="str">
        <f t="shared" si="73"/>
        <v>Exists</v>
      </c>
      <c r="O1525" t="str">
        <f t="shared" si="74"/>
        <v>Exists</v>
      </c>
      <c r="P1525" t="str">
        <f t="shared" si="75"/>
        <v>Exists</v>
      </c>
    </row>
    <row r="1526" spans="1:16">
      <c r="A1526" s="50" t="s">
        <v>1692</v>
      </c>
      <c r="B1526" s="50" t="s">
        <v>1696</v>
      </c>
      <c r="C1526" s="50" t="s">
        <v>256</v>
      </c>
      <c r="D1526" s="50">
        <v>50</v>
      </c>
      <c r="E1526" s="50" t="s">
        <v>1689</v>
      </c>
      <c r="F1526" s="50" t="s">
        <v>1401</v>
      </c>
      <c r="G1526" s="50" t="s">
        <v>256</v>
      </c>
      <c r="H1526" s="50">
        <v>3</v>
      </c>
      <c r="M1526" t="str">
        <f>IF(COUNTIF($A:$A,E1526)=0,"Not Exists","Exists")</f>
        <v>Not Exists</v>
      </c>
      <c r="N1526" t="str">
        <f t="shared" si="73"/>
        <v>Not Exists</v>
      </c>
      <c r="O1526" t="str">
        <f t="shared" si="74"/>
        <v>Exists</v>
      </c>
      <c r="P1526" t="str">
        <f t="shared" si="75"/>
        <v>Exists</v>
      </c>
    </row>
    <row r="1527" spans="1:16">
      <c r="A1527" s="50" t="s">
        <v>1692</v>
      </c>
      <c r="B1527" s="50" t="s">
        <v>1697</v>
      </c>
      <c r="C1527" s="50" t="s">
        <v>251</v>
      </c>
      <c r="D1527" s="50">
        <v>17</v>
      </c>
      <c r="E1527" s="50" t="s">
        <v>1689</v>
      </c>
      <c r="F1527" s="50" t="s">
        <v>430</v>
      </c>
      <c r="G1527" s="50" t="s">
        <v>256</v>
      </c>
      <c r="H1527" s="50">
        <v>50</v>
      </c>
      <c r="M1527" t="str">
        <f>IF(COUNTIF($A:$A,E1527)=0,"Not Exists","Exists")</f>
        <v>Not Exists</v>
      </c>
      <c r="N1527" t="str">
        <f t="shared" si="73"/>
        <v>Exists</v>
      </c>
      <c r="O1527" t="str">
        <f t="shared" si="74"/>
        <v>Exists</v>
      </c>
      <c r="P1527" t="str">
        <f t="shared" si="75"/>
        <v>Exists</v>
      </c>
    </row>
    <row r="1528" spans="1:16">
      <c r="A1528" s="50" t="s">
        <v>1692</v>
      </c>
      <c r="B1528" s="50" t="s">
        <v>1698</v>
      </c>
      <c r="C1528" s="50" t="s">
        <v>256</v>
      </c>
      <c r="D1528" s="50">
        <v>50</v>
      </c>
      <c r="E1528" s="50" t="s">
        <v>1689</v>
      </c>
      <c r="F1528" s="50" t="s">
        <v>1405</v>
      </c>
      <c r="G1528" s="50" t="s">
        <v>256</v>
      </c>
      <c r="H1528" s="50">
        <v>9</v>
      </c>
      <c r="M1528" t="str">
        <f>IF(COUNTIF($A:$A,E1528)=0,"Not Exists","Exists")</f>
        <v>Not Exists</v>
      </c>
      <c r="N1528" t="str">
        <f t="shared" si="73"/>
        <v>Not Exists</v>
      </c>
      <c r="O1528" t="str">
        <f t="shared" si="74"/>
        <v>Exists</v>
      </c>
      <c r="P1528" t="str">
        <f t="shared" si="75"/>
        <v>Exists</v>
      </c>
    </row>
    <row r="1529" spans="1:16">
      <c r="A1529" s="50" t="s">
        <v>1692</v>
      </c>
      <c r="B1529" s="50" t="s">
        <v>1699</v>
      </c>
      <c r="C1529" s="50" t="s">
        <v>256</v>
      </c>
      <c r="D1529" s="50">
        <v>450</v>
      </c>
      <c r="E1529" s="50" t="s">
        <v>1689</v>
      </c>
      <c r="F1529" s="50" t="s">
        <v>704</v>
      </c>
      <c r="G1529" s="50" t="s">
        <v>256</v>
      </c>
      <c r="H1529" s="50">
        <v>9</v>
      </c>
      <c r="M1529" t="str">
        <f>IF(COUNTIF($A:$A,E1529)=0,"Not Exists","Exists")</f>
        <v>Not Exists</v>
      </c>
      <c r="N1529" t="str">
        <f t="shared" si="73"/>
        <v>Not Exists</v>
      </c>
      <c r="O1529" t="str">
        <f t="shared" si="74"/>
        <v>Exists</v>
      </c>
      <c r="P1529" t="str">
        <f t="shared" si="75"/>
        <v>Exists</v>
      </c>
    </row>
    <row r="1530" spans="1:16">
      <c r="A1530" s="50" t="s">
        <v>1692</v>
      </c>
      <c r="B1530" s="50" t="s">
        <v>1700</v>
      </c>
      <c r="C1530" s="50" t="s">
        <v>254</v>
      </c>
      <c r="D1530" s="50">
        <v>22</v>
      </c>
      <c r="E1530" s="50" t="s">
        <v>1689</v>
      </c>
      <c r="F1530" s="50" t="s">
        <v>1408</v>
      </c>
      <c r="G1530" s="50" t="s">
        <v>256</v>
      </c>
      <c r="H1530" s="50">
        <v>17</v>
      </c>
      <c r="M1530" t="str">
        <f>IF(COUNTIF($A:$A,E1530)=0,"Not Exists","Exists")</f>
        <v>Not Exists</v>
      </c>
      <c r="N1530" t="str">
        <f t="shared" si="73"/>
        <v>Not Exists</v>
      </c>
      <c r="O1530" t="str">
        <f t="shared" si="74"/>
        <v>Exists</v>
      </c>
      <c r="P1530" t="str">
        <f t="shared" si="75"/>
        <v>Exists</v>
      </c>
    </row>
    <row r="1531" spans="1:16">
      <c r="A1531" s="50" t="s">
        <v>1692</v>
      </c>
      <c r="B1531" s="50" t="s">
        <v>1701</v>
      </c>
      <c r="C1531" s="50" t="s">
        <v>256</v>
      </c>
      <c r="D1531" s="50">
        <v>450</v>
      </c>
      <c r="E1531" s="50" t="s">
        <v>1689</v>
      </c>
      <c r="F1531" s="50" t="s">
        <v>1410</v>
      </c>
      <c r="G1531" s="50" t="s">
        <v>256</v>
      </c>
      <c r="H1531" s="50">
        <v>4000</v>
      </c>
      <c r="M1531" t="str">
        <f>IF(COUNTIF($A:$A,E1531)=0,"Not Exists","Exists")</f>
        <v>Not Exists</v>
      </c>
      <c r="N1531" t="str">
        <f t="shared" si="73"/>
        <v>Not Exists</v>
      </c>
      <c r="O1531" t="str">
        <f t="shared" si="74"/>
        <v>Exists</v>
      </c>
      <c r="P1531" t="str">
        <f t="shared" si="75"/>
        <v>Exists</v>
      </c>
    </row>
    <row r="1532" spans="1:16">
      <c r="A1532" s="50" t="s">
        <v>1692</v>
      </c>
      <c r="B1532" s="50" t="s">
        <v>1702</v>
      </c>
      <c r="C1532" s="50" t="s">
        <v>256</v>
      </c>
      <c r="D1532" s="50">
        <v>3000</v>
      </c>
      <c r="E1532" s="50" t="s">
        <v>1689</v>
      </c>
      <c r="F1532" s="50" t="s">
        <v>1412</v>
      </c>
      <c r="G1532" s="50" t="s">
        <v>256</v>
      </c>
      <c r="H1532" s="50">
        <v>4000</v>
      </c>
      <c r="M1532" t="str">
        <f>IF(COUNTIF($A:$A,E1532)=0,"Not Exists","Exists")</f>
        <v>Not Exists</v>
      </c>
      <c r="N1532" t="str">
        <f t="shared" si="73"/>
        <v>Not Exists</v>
      </c>
      <c r="O1532" t="str">
        <f t="shared" si="74"/>
        <v>Exists</v>
      </c>
      <c r="P1532" t="str">
        <f t="shared" si="75"/>
        <v>Exists</v>
      </c>
    </row>
    <row r="1533" spans="1:16">
      <c r="A1533" s="50" t="s">
        <v>1692</v>
      </c>
      <c r="B1533" s="50" t="s">
        <v>1703</v>
      </c>
      <c r="C1533" s="50" t="s">
        <v>256</v>
      </c>
      <c r="D1533" s="50">
        <v>450</v>
      </c>
      <c r="E1533" s="50" t="s">
        <v>1689</v>
      </c>
      <c r="F1533" s="50" t="s">
        <v>1414</v>
      </c>
      <c r="G1533" s="50" t="s">
        <v>256</v>
      </c>
      <c r="H1533" s="50">
        <v>4000</v>
      </c>
      <c r="M1533" t="str">
        <f>IF(COUNTIF($A:$A,E1533)=0,"Not Exists","Exists")</f>
        <v>Not Exists</v>
      </c>
      <c r="N1533" t="str">
        <f t="shared" ref="N1533:N1596" si="76">IF(COUNTIF($A:$B,F1533)=0,"Not Exists","Exists")</f>
        <v>Not Exists</v>
      </c>
      <c r="O1533" t="str">
        <f t="shared" si="74"/>
        <v>Exists</v>
      </c>
      <c r="P1533" t="str">
        <f t="shared" si="75"/>
        <v>Exists</v>
      </c>
    </row>
    <row r="1534" spans="1:16">
      <c r="A1534" s="50" t="s">
        <v>1692</v>
      </c>
      <c r="B1534" s="50" t="s">
        <v>1704</v>
      </c>
      <c r="C1534" s="50" t="s">
        <v>256</v>
      </c>
      <c r="D1534" s="50">
        <v>450</v>
      </c>
      <c r="E1534" s="50" t="s">
        <v>1705</v>
      </c>
      <c r="F1534" s="50" t="s">
        <v>781</v>
      </c>
      <c r="G1534" s="50" t="s">
        <v>256</v>
      </c>
      <c r="H1534" s="50">
        <v>8</v>
      </c>
      <c r="M1534" t="str">
        <f>IF(COUNTIF($A:$A,E1534)=0,"Not Exists","Exists")</f>
        <v>Not Exists</v>
      </c>
      <c r="N1534" t="str">
        <f t="shared" si="76"/>
        <v>Exists</v>
      </c>
      <c r="O1534" t="str">
        <f t="shared" si="74"/>
        <v>Exists</v>
      </c>
      <c r="P1534" t="str">
        <f t="shared" si="75"/>
        <v>Exists</v>
      </c>
    </row>
    <row r="1535" spans="1:16">
      <c r="A1535" s="50" t="s">
        <v>1692</v>
      </c>
      <c r="B1535" s="50" t="s">
        <v>1706</v>
      </c>
      <c r="C1535" s="50" t="s">
        <v>251</v>
      </c>
      <c r="D1535" s="50">
        <v>1</v>
      </c>
      <c r="E1535" s="50" t="s">
        <v>1705</v>
      </c>
      <c r="F1535" s="50" t="s">
        <v>780</v>
      </c>
      <c r="G1535" s="50" t="s">
        <v>256</v>
      </c>
      <c r="H1535" s="50">
        <v>20</v>
      </c>
      <c r="M1535" t="str">
        <f>IF(COUNTIF($A:$A,E1535)=0,"Not Exists","Exists")</f>
        <v>Not Exists</v>
      </c>
      <c r="N1535" t="str">
        <f t="shared" si="76"/>
        <v>Exists</v>
      </c>
      <c r="O1535" t="str">
        <f t="shared" si="74"/>
        <v>Exists</v>
      </c>
      <c r="P1535" t="str">
        <f t="shared" si="75"/>
        <v>Exists</v>
      </c>
    </row>
    <row r="1536" spans="1:16">
      <c r="A1536" s="50" t="s">
        <v>1707</v>
      </c>
      <c r="B1536" s="50" t="s">
        <v>1708</v>
      </c>
      <c r="C1536" s="50" t="s">
        <v>256</v>
      </c>
      <c r="D1536" s="50">
        <v>50</v>
      </c>
      <c r="E1536" s="50" t="s">
        <v>1705</v>
      </c>
      <c r="F1536" s="50" t="s">
        <v>1395</v>
      </c>
      <c r="G1536" s="50" t="s">
        <v>256</v>
      </c>
      <c r="H1536" s="50">
        <v>1</v>
      </c>
      <c r="M1536" t="str">
        <f>IF(COUNTIF($A:$A,E1536)=0,"Not Exists","Exists")</f>
        <v>Not Exists</v>
      </c>
      <c r="N1536" t="str">
        <f t="shared" si="76"/>
        <v>Not Exists</v>
      </c>
      <c r="O1536" t="str">
        <f t="shared" si="74"/>
        <v>Exists</v>
      </c>
      <c r="P1536" t="str">
        <f t="shared" si="75"/>
        <v>Exists</v>
      </c>
    </row>
    <row r="1537" spans="1:16">
      <c r="A1537" s="50" t="s">
        <v>1707</v>
      </c>
      <c r="B1537" s="50" t="s">
        <v>1709</v>
      </c>
      <c r="C1537" s="50" t="s">
        <v>256</v>
      </c>
      <c r="D1537" s="50">
        <v>50</v>
      </c>
      <c r="E1537" s="50" t="s">
        <v>1705</v>
      </c>
      <c r="F1537" s="50" t="s">
        <v>1397</v>
      </c>
      <c r="G1537" s="50" t="s">
        <v>256</v>
      </c>
      <c r="H1537" s="50">
        <v>2</v>
      </c>
      <c r="M1537" t="str">
        <f>IF(COUNTIF($A:$A,E1537)=0,"Not Exists","Exists")</f>
        <v>Not Exists</v>
      </c>
      <c r="N1537" t="str">
        <f t="shared" si="76"/>
        <v>Not Exists</v>
      </c>
      <c r="O1537" t="str">
        <f t="shared" si="74"/>
        <v>Exists</v>
      </c>
      <c r="P1537" t="str">
        <f t="shared" si="75"/>
        <v>Not Exists</v>
      </c>
    </row>
    <row r="1538" spans="1:16">
      <c r="A1538" s="50" t="s">
        <v>1707</v>
      </c>
      <c r="B1538" s="50" t="s">
        <v>1710</v>
      </c>
      <c r="C1538" s="50" t="s">
        <v>251</v>
      </c>
      <c r="D1538" s="50">
        <v>17</v>
      </c>
      <c r="E1538" s="50" t="s">
        <v>1705</v>
      </c>
      <c r="F1538" s="50" t="s">
        <v>796</v>
      </c>
      <c r="G1538" s="50" t="s">
        <v>254</v>
      </c>
      <c r="H1538" s="50">
        <v>22</v>
      </c>
      <c r="M1538" t="str">
        <f>IF(COUNTIF($A:$A,E1538)=0,"Not Exists","Exists")</f>
        <v>Not Exists</v>
      </c>
      <c r="N1538" t="str">
        <f t="shared" si="76"/>
        <v>Exists</v>
      </c>
      <c r="O1538" t="str">
        <f t="shared" si="74"/>
        <v>Exists</v>
      </c>
      <c r="P1538" t="str">
        <f t="shared" si="75"/>
        <v>Exists</v>
      </c>
    </row>
    <row r="1539" spans="1:16">
      <c r="A1539" s="50" t="s">
        <v>1707</v>
      </c>
      <c r="B1539" s="50" t="s">
        <v>1711</v>
      </c>
      <c r="C1539" s="50" t="s">
        <v>256</v>
      </c>
      <c r="D1539" s="50">
        <v>50</v>
      </c>
      <c r="E1539" s="50" t="s">
        <v>1705</v>
      </c>
      <c r="F1539" s="50" t="s">
        <v>424</v>
      </c>
      <c r="G1539" s="50" t="s">
        <v>256</v>
      </c>
      <c r="H1539" s="50">
        <v>60</v>
      </c>
      <c r="M1539" t="str">
        <f>IF(COUNTIF($A:$A,E1539)=0,"Not Exists","Exists")</f>
        <v>Not Exists</v>
      </c>
      <c r="N1539" t="str">
        <f t="shared" si="76"/>
        <v>Exists</v>
      </c>
      <c r="O1539" t="str">
        <f t="shared" si="74"/>
        <v>Exists</v>
      </c>
      <c r="P1539" t="str">
        <f t="shared" si="75"/>
        <v>Exists</v>
      </c>
    </row>
    <row r="1540" spans="1:16">
      <c r="A1540" s="50" t="s">
        <v>1707</v>
      </c>
      <c r="B1540" s="50" t="s">
        <v>1712</v>
      </c>
      <c r="C1540" s="50" t="s">
        <v>251</v>
      </c>
      <c r="D1540" s="50">
        <v>17</v>
      </c>
      <c r="E1540" s="50" t="s">
        <v>1705</v>
      </c>
      <c r="F1540" s="50" t="s">
        <v>1401</v>
      </c>
      <c r="G1540" s="50" t="s">
        <v>256</v>
      </c>
      <c r="H1540" s="50">
        <v>3</v>
      </c>
      <c r="M1540" t="str">
        <f>IF(COUNTIF($A:$A,E1540)=0,"Not Exists","Exists")</f>
        <v>Not Exists</v>
      </c>
      <c r="N1540" t="str">
        <f t="shared" si="76"/>
        <v>Not Exists</v>
      </c>
      <c r="O1540" t="str">
        <f t="shared" ref="O1540:O1603" si="77">IF(COUNTIF($E:$E,A1540)=0,"Not Exists","Exists")</f>
        <v>Exists</v>
      </c>
      <c r="P1540" t="str">
        <f t="shared" ref="P1540:P1603" si="78">IF(COUNTIF($F:$F,B1540)=0,"Not Exists","Exists")</f>
        <v>Exists</v>
      </c>
    </row>
    <row r="1541" spans="1:16">
      <c r="A1541" s="50" t="s">
        <v>1707</v>
      </c>
      <c r="B1541" s="50" t="s">
        <v>1713</v>
      </c>
      <c r="C1541" s="50" t="s">
        <v>256</v>
      </c>
      <c r="D1541" s="50">
        <v>50</v>
      </c>
      <c r="E1541" s="50" t="s">
        <v>1705</v>
      </c>
      <c r="F1541" s="50" t="s">
        <v>430</v>
      </c>
      <c r="G1541" s="50" t="s">
        <v>256</v>
      </c>
      <c r="H1541" s="50">
        <v>50</v>
      </c>
      <c r="M1541" t="str">
        <f>IF(COUNTIF($A:$A,E1541)=0,"Not Exists","Exists")</f>
        <v>Not Exists</v>
      </c>
      <c r="N1541" t="str">
        <f t="shared" si="76"/>
        <v>Exists</v>
      </c>
      <c r="O1541" t="str">
        <f t="shared" si="77"/>
        <v>Exists</v>
      </c>
      <c r="P1541" t="str">
        <f t="shared" si="78"/>
        <v>Exists</v>
      </c>
    </row>
    <row r="1542" spans="1:16">
      <c r="A1542" s="50" t="s">
        <v>1707</v>
      </c>
      <c r="B1542" s="50" t="s">
        <v>1714</v>
      </c>
      <c r="C1542" s="50" t="s">
        <v>256</v>
      </c>
      <c r="D1542" s="50">
        <v>450</v>
      </c>
      <c r="E1542" s="50" t="s">
        <v>1705</v>
      </c>
      <c r="F1542" s="50" t="s">
        <v>1405</v>
      </c>
      <c r="G1542" s="50" t="s">
        <v>256</v>
      </c>
      <c r="H1542" s="50">
        <v>9</v>
      </c>
      <c r="M1542" t="str">
        <f>IF(COUNTIF($A:$A,E1542)=0,"Not Exists","Exists")</f>
        <v>Not Exists</v>
      </c>
      <c r="N1542" t="str">
        <f t="shared" si="76"/>
        <v>Not Exists</v>
      </c>
      <c r="O1542" t="str">
        <f t="shared" si="77"/>
        <v>Exists</v>
      </c>
      <c r="P1542" t="str">
        <f t="shared" si="78"/>
        <v>Exists</v>
      </c>
    </row>
    <row r="1543" spans="1:16">
      <c r="A1543" s="50" t="s">
        <v>1707</v>
      </c>
      <c r="B1543" s="50" t="s">
        <v>1715</v>
      </c>
      <c r="C1543" s="50" t="s">
        <v>256</v>
      </c>
      <c r="D1543" s="50">
        <v>3000</v>
      </c>
      <c r="E1543" s="50" t="s">
        <v>1705</v>
      </c>
      <c r="F1543" s="50" t="s">
        <v>704</v>
      </c>
      <c r="G1543" s="50" t="s">
        <v>256</v>
      </c>
      <c r="H1543" s="50">
        <v>9</v>
      </c>
      <c r="M1543" t="str">
        <f>IF(COUNTIF($A:$A,E1543)=0,"Not Exists","Exists")</f>
        <v>Not Exists</v>
      </c>
      <c r="N1543" t="str">
        <f t="shared" si="76"/>
        <v>Not Exists</v>
      </c>
      <c r="O1543" t="str">
        <f t="shared" si="77"/>
        <v>Exists</v>
      </c>
      <c r="P1543" t="str">
        <f t="shared" si="78"/>
        <v>Exists</v>
      </c>
    </row>
    <row r="1544" spans="1:16">
      <c r="A1544" s="50" t="s">
        <v>1707</v>
      </c>
      <c r="B1544" s="50" t="s">
        <v>1716</v>
      </c>
      <c r="C1544" s="50" t="s">
        <v>256</v>
      </c>
      <c r="D1544" s="50">
        <v>450</v>
      </c>
      <c r="E1544" s="50" t="s">
        <v>1705</v>
      </c>
      <c r="F1544" s="50" t="s">
        <v>1408</v>
      </c>
      <c r="G1544" s="50" t="s">
        <v>256</v>
      </c>
      <c r="H1544" s="50">
        <v>17</v>
      </c>
      <c r="M1544" t="str">
        <f>IF(COUNTIF($A:$A,E1544)=0,"Not Exists","Exists")</f>
        <v>Not Exists</v>
      </c>
      <c r="N1544" t="str">
        <f t="shared" si="76"/>
        <v>Not Exists</v>
      </c>
      <c r="O1544" t="str">
        <f t="shared" si="77"/>
        <v>Exists</v>
      </c>
      <c r="P1544" t="str">
        <f t="shared" si="78"/>
        <v>Exists</v>
      </c>
    </row>
    <row r="1545" spans="1:16">
      <c r="A1545" s="50" t="s">
        <v>1717</v>
      </c>
      <c r="B1545" s="50" t="s">
        <v>1718</v>
      </c>
      <c r="C1545" s="50" t="s">
        <v>256</v>
      </c>
      <c r="D1545" s="50">
        <v>50</v>
      </c>
      <c r="E1545" s="50" t="s">
        <v>1705</v>
      </c>
      <c r="F1545" s="50" t="s">
        <v>1410</v>
      </c>
      <c r="G1545" s="50" t="s">
        <v>256</v>
      </c>
      <c r="H1545" s="50">
        <v>4000</v>
      </c>
      <c r="M1545" t="str">
        <f>IF(COUNTIF($A:$A,E1545)=0,"Not Exists","Exists")</f>
        <v>Not Exists</v>
      </c>
      <c r="N1545" t="str">
        <f t="shared" si="76"/>
        <v>Not Exists</v>
      </c>
      <c r="O1545" t="str">
        <f t="shared" si="77"/>
        <v>Exists</v>
      </c>
      <c r="P1545" t="str">
        <f t="shared" si="78"/>
        <v>Exists</v>
      </c>
    </row>
    <row r="1546" spans="1:16">
      <c r="A1546" s="50" t="s">
        <v>1717</v>
      </c>
      <c r="B1546" s="50" t="s">
        <v>1719</v>
      </c>
      <c r="C1546" s="50" t="s">
        <v>256</v>
      </c>
      <c r="D1546" s="50">
        <v>50</v>
      </c>
      <c r="E1546" s="50" t="s">
        <v>1705</v>
      </c>
      <c r="F1546" s="50" t="s">
        <v>1412</v>
      </c>
      <c r="G1546" s="50" t="s">
        <v>256</v>
      </c>
      <c r="H1546" s="50">
        <v>4000</v>
      </c>
      <c r="M1546" t="str">
        <f>IF(COUNTIF($A:$A,E1546)=0,"Not Exists","Exists")</f>
        <v>Not Exists</v>
      </c>
      <c r="N1546" t="str">
        <f t="shared" si="76"/>
        <v>Not Exists</v>
      </c>
      <c r="O1546" t="str">
        <f t="shared" si="77"/>
        <v>Exists</v>
      </c>
      <c r="P1546" t="str">
        <f t="shared" si="78"/>
        <v>Not Exists</v>
      </c>
    </row>
    <row r="1547" spans="1:16">
      <c r="A1547" s="50" t="s">
        <v>1717</v>
      </c>
      <c r="B1547" s="50" t="s">
        <v>1720</v>
      </c>
      <c r="C1547" s="50" t="s">
        <v>251</v>
      </c>
      <c r="D1547" s="50">
        <v>17</v>
      </c>
      <c r="E1547" s="50" t="s">
        <v>1705</v>
      </c>
      <c r="F1547" s="50" t="s">
        <v>1414</v>
      </c>
      <c r="G1547" s="50" t="s">
        <v>256</v>
      </c>
      <c r="H1547" s="50">
        <v>4000</v>
      </c>
      <c r="M1547" t="str">
        <f>IF(COUNTIF($A:$A,E1547)=0,"Not Exists","Exists")</f>
        <v>Not Exists</v>
      </c>
      <c r="N1547" t="str">
        <f t="shared" si="76"/>
        <v>Not Exists</v>
      </c>
      <c r="O1547" t="str">
        <f t="shared" si="77"/>
        <v>Exists</v>
      </c>
      <c r="P1547" t="str">
        <f t="shared" si="78"/>
        <v>Exists</v>
      </c>
    </row>
    <row r="1548" spans="1:16">
      <c r="A1548" s="50" t="s">
        <v>1717</v>
      </c>
      <c r="B1548" s="50" t="s">
        <v>1721</v>
      </c>
      <c r="C1548" s="50" t="s">
        <v>256</v>
      </c>
      <c r="D1548" s="50">
        <v>50</v>
      </c>
      <c r="E1548" s="50" t="s">
        <v>1722</v>
      </c>
      <c r="F1548" s="50" t="s">
        <v>781</v>
      </c>
      <c r="G1548" s="50" t="s">
        <v>256</v>
      </c>
      <c r="H1548" s="50">
        <v>8</v>
      </c>
      <c r="M1548" t="str">
        <f>IF(COUNTIF($A:$A,E1548)=0,"Not Exists","Exists")</f>
        <v>Not Exists</v>
      </c>
      <c r="N1548" t="str">
        <f t="shared" si="76"/>
        <v>Exists</v>
      </c>
      <c r="O1548" t="str">
        <f t="shared" si="77"/>
        <v>Exists</v>
      </c>
      <c r="P1548" t="str">
        <f t="shared" si="78"/>
        <v>Exists</v>
      </c>
    </row>
    <row r="1549" spans="1:16">
      <c r="A1549" s="50" t="s">
        <v>1717</v>
      </c>
      <c r="B1549" s="50" t="s">
        <v>1723</v>
      </c>
      <c r="C1549" s="50" t="s">
        <v>251</v>
      </c>
      <c r="D1549" s="50">
        <v>17</v>
      </c>
      <c r="E1549" s="50" t="s">
        <v>1722</v>
      </c>
      <c r="F1549" s="50" t="s">
        <v>780</v>
      </c>
      <c r="G1549" s="50" t="s">
        <v>256</v>
      </c>
      <c r="H1549" s="50">
        <v>20</v>
      </c>
      <c r="M1549" t="str">
        <f>IF(COUNTIF($A:$A,E1549)=0,"Not Exists","Exists")</f>
        <v>Not Exists</v>
      </c>
      <c r="N1549" t="str">
        <f t="shared" si="76"/>
        <v>Exists</v>
      </c>
      <c r="O1549" t="str">
        <f t="shared" si="77"/>
        <v>Exists</v>
      </c>
      <c r="P1549" t="str">
        <f t="shared" si="78"/>
        <v>Exists</v>
      </c>
    </row>
    <row r="1550" spans="1:16">
      <c r="A1550" s="50" t="s">
        <v>1717</v>
      </c>
      <c r="B1550" s="50" t="s">
        <v>1724</v>
      </c>
      <c r="C1550" s="50" t="s">
        <v>256</v>
      </c>
      <c r="D1550" s="50">
        <v>50</v>
      </c>
      <c r="E1550" s="50" t="s">
        <v>1722</v>
      </c>
      <c r="F1550" s="50" t="s">
        <v>1395</v>
      </c>
      <c r="G1550" s="50" t="s">
        <v>256</v>
      </c>
      <c r="H1550" s="50">
        <v>1</v>
      </c>
      <c r="M1550" t="str">
        <f>IF(COUNTIF($A:$A,E1550)=0,"Not Exists","Exists")</f>
        <v>Not Exists</v>
      </c>
      <c r="N1550" t="str">
        <f t="shared" si="76"/>
        <v>Not Exists</v>
      </c>
      <c r="O1550" t="str">
        <f t="shared" si="77"/>
        <v>Exists</v>
      </c>
      <c r="P1550" t="str">
        <f t="shared" si="78"/>
        <v>Exists</v>
      </c>
    </row>
    <row r="1551" spans="1:16">
      <c r="A1551" s="50" t="s">
        <v>1717</v>
      </c>
      <c r="B1551" s="50" t="s">
        <v>1725</v>
      </c>
      <c r="C1551" s="50" t="s">
        <v>256</v>
      </c>
      <c r="D1551" s="50">
        <v>50</v>
      </c>
      <c r="E1551" s="50" t="s">
        <v>1722</v>
      </c>
      <c r="F1551" s="50" t="s">
        <v>1397</v>
      </c>
      <c r="G1551" s="50" t="s">
        <v>256</v>
      </c>
      <c r="H1551" s="50">
        <v>2</v>
      </c>
      <c r="M1551" t="str">
        <f>IF(COUNTIF($A:$A,E1551)=0,"Not Exists","Exists")</f>
        <v>Not Exists</v>
      </c>
      <c r="N1551" t="str">
        <f t="shared" si="76"/>
        <v>Not Exists</v>
      </c>
      <c r="O1551" t="str">
        <f t="shared" si="77"/>
        <v>Exists</v>
      </c>
      <c r="P1551" t="str">
        <f t="shared" si="78"/>
        <v>Exists</v>
      </c>
    </row>
    <row r="1552" spans="1:16">
      <c r="A1552" s="50" t="s">
        <v>1717</v>
      </c>
      <c r="B1552" s="50" t="s">
        <v>1726</v>
      </c>
      <c r="C1552" s="50" t="s">
        <v>256</v>
      </c>
      <c r="D1552" s="50">
        <v>50</v>
      </c>
      <c r="E1552" s="50" t="s">
        <v>1722</v>
      </c>
      <c r="F1552" s="50" t="s">
        <v>796</v>
      </c>
      <c r="G1552" s="50" t="s">
        <v>254</v>
      </c>
      <c r="H1552" s="50">
        <v>22</v>
      </c>
      <c r="M1552" t="str">
        <f>IF(COUNTIF($A:$A,E1552)=0,"Not Exists","Exists")</f>
        <v>Not Exists</v>
      </c>
      <c r="N1552" t="str">
        <f t="shared" si="76"/>
        <v>Exists</v>
      </c>
      <c r="O1552" t="str">
        <f t="shared" si="77"/>
        <v>Exists</v>
      </c>
      <c r="P1552" t="str">
        <f t="shared" si="78"/>
        <v>Exists</v>
      </c>
    </row>
    <row r="1553" spans="1:16">
      <c r="A1553" s="50" t="s">
        <v>1717</v>
      </c>
      <c r="B1553" s="50" t="s">
        <v>1727</v>
      </c>
      <c r="C1553" s="50" t="s">
        <v>256</v>
      </c>
      <c r="D1553" s="50">
        <v>50</v>
      </c>
      <c r="E1553" s="50" t="s">
        <v>1722</v>
      </c>
      <c r="F1553" s="50" t="s">
        <v>424</v>
      </c>
      <c r="G1553" s="50" t="s">
        <v>256</v>
      </c>
      <c r="H1553" s="50">
        <v>60</v>
      </c>
      <c r="M1553" t="str">
        <f>IF(COUNTIF($A:$A,E1553)=0,"Not Exists","Exists")</f>
        <v>Not Exists</v>
      </c>
      <c r="N1553" t="str">
        <f t="shared" si="76"/>
        <v>Exists</v>
      </c>
      <c r="O1553" t="str">
        <f t="shared" si="77"/>
        <v>Exists</v>
      </c>
      <c r="P1553" t="str">
        <f t="shared" si="78"/>
        <v>Exists</v>
      </c>
    </row>
    <row r="1554" spans="1:16">
      <c r="A1554" s="50" t="s">
        <v>1717</v>
      </c>
      <c r="B1554" s="50" t="s">
        <v>1728</v>
      </c>
      <c r="C1554" s="50" t="s">
        <v>427</v>
      </c>
      <c r="D1554" s="50">
        <v>4000</v>
      </c>
      <c r="E1554" s="50" t="s">
        <v>1722</v>
      </c>
      <c r="F1554" s="50" t="s">
        <v>1401</v>
      </c>
      <c r="G1554" s="50" t="s">
        <v>256</v>
      </c>
      <c r="H1554" s="50">
        <v>3</v>
      </c>
      <c r="M1554" t="str">
        <f>IF(COUNTIF($A:$A,E1554)=0,"Not Exists","Exists")</f>
        <v>Not Exists</v>
      </c>
      <c r="N1554" t="str">
        <f t="shared" si="76"/>
        <v>Not Exists</v>
      </c>
      <c r="O1554" t="str">
        <f t="shared" si="77"/>
        <v>Exists</v>
      </c>
      <c r="P1554" t="str">
        <f t="shared" si="78"/>
        <v>Exists</v>
      </c>
    </row>
    <row r="1555" spans="1:16">
      <c r="A1555" s="50" t="s">
        <v>1717</v>
      </c>
      <c r="B1555" s="50" t="s">
        <v>1729</v>
      </c>
      <c r="C1555" s="50" t="s">
        <v>427</v>
      </c>
      <c r="D1555" s="50">
        <v>4000</v>
      </c>
      <c r="E1555" s="50" t="s">
        <v>1722</v>
      </c>
      <c r="F1555" s="50" t="s">
        <v>430</v>
      </c>
      <c r="G1555" s="50" t="s">
        <v>256</v>
      </c>
      <c r="H1555" s="50">
        <v>50</v>
      </c>
      <c r="M1555" t="str">
        <f>IF(COUNTIF($A:$A,E1555)=0,"Not Exists","Exists")</f>
        <v>Not Exists</v>
      </c>
      <c r="N1555" t="str">
        <f t="shared" si="76"/>
        <v>Exists</v>
      </c>
      <c r="O1555" t="str">
        <f t="shared" si="77"/>
        <v>Exists</v>
      </c>
      <c r="P1555" t="str">
        <f t="shared" si="78"/>
        <v>Exists</v>
      </c>
    </row>
    <row r="1556" spans="1:16">
      <c r="A1556" s="50" t="s">
        <v>1717</v>
      </c>
      <c r="B1556" s="50" t="s">
        <v>1730</v>
      </c>
      <c r="C1556" s="50" t="s">
        <v>256</v>
      </c>
      <c r="D1556" s="50">
        <v>3000</v>
      </c>
      <c r="E1556" s="50" t="s">
        <v>1722</v>
      </c>
      <c r="F1556" s="50" t="s">
        <v>1405</v>
      </c>
      <c r="G1556" s="50" t="s">
        <v>256</v>
      </c>
      <c r="H1556" s="50">
        <v>9</v>
      </c>
      <c r="M1556" t="str">
        <f>IF(COUNTIF($A:$A,E1556)=0,"Not Exists","Exists")</f>
        <v>Not Exists</v>
      </c>
      <c r="N1556" t="str">
        <f t="shared" si="76"/>
        <v>Not Exists</v>
      </c>
      <c r="O1556" t="str">
        <f t="shared" si="77"/>
        <v>Exists</v>
      </c>
      <c r="P1556" t="str">
        <f t="shared" si="78"/>
        <v>Exists</v>
      </c>
    </row>
    <row r="1557" spans="1:16">
      <c r="A1557" s="50" t="s">
        <v>1717</v>
      </c>
      <c r="B1557" s="50" t="s">
        <v>1731</v>
      </c>
      <c r="C1557" s="50" t="s">
        <v>256</v>
      </c>
      <c r="D1557" s="50">
        <v>50</v>
      </c>
      <c r="E1557" s="50" t="s">
        <v>1722</v>
      </c>
      <c r="F1557" s="50" t="s">
        <v>704</v>
      </c>
      <c r="G1557" s="50" t="s">
        <v>256</v>
      </c>
      <c r="H1557" s="50">
        <v>9</v>
      </c>
      <c r="M1557" t="str">
        <f>IF(COUNTIF($A:$A,E1557)=0,"Not Exists","Exists")</f>
        <v>Not Exists</v>
      </c>
      <c r="N1557" t="str">
        <f t="shared" si="76"/>
        <v>Not Exists</v>
      </c>
      <c r="O1557" t="str">
        <f t="shared" si="77"/>
        <v>Exists</v>
      </c>
      <c r="P1557" t="str">
        <f t="shared" si="78"/>
        <v>Exists</v>
      </c>
    </row>
    <row r="1558" spans="1:16">
      <c r="A1558" s="50" t="s">
        <v>1732</v>
      </c>
      <c r="B1558" s="50" t="s">
        <v>1733</v>
      </c>
      <c r="C1558" s="50" t="s">
        <v>256</v>
      </c>
      <c r="D1558" s="50">
        <v>50</v>
      </c>
      <c r="E1558" s="50" t="s">
        <v>1722</v>
      </c>
      <c r="F1558" s="50" t="s">
        <v>1408</v>
      </c>
      <c r="G1558" s="50" t="s">
        <v>256</v>
      </c>
      <c r="H1558" s="50">
        <v>17</v>
      </c>
      <c r="M1558" t="str">
        <f>IF(COUNTIF($A:$A,E1558)=0,"Not Exists","Exists")</f>
        <v>Not Exists</v>
      </c>
      <c r="N1558" t="str">
        <f t="shared" si="76"/>
        <v>Not Exists</v>
      </c>
      <c r="O1558" t="str">
        <f t="shared" si="77"/>
        <v>Exists</v>
      </c>
      <c r="P1558" t="str">
        <f t="shared" si="78"/>
        <v>Exists</v>
      </c>
    </row>
    <row r="1559" spans="1:16">
      <c r="A1559" s="50" t="s">
        <v>1732</v>
      </c>
      <c r="B1559" s="50" t="s">
        <v>1734</v>
      </c>
      <c r="C1559" s="50" t="s">
        <v>256</v>
      </c>
      <c r="D1559" s="50">
        <v>50</v>
      </c>
      <c r="E1559" s="50" t="s">
        <v>1722</v>
      </c>
      <c r="F1559" s="50" t="s">
        <v>1410</v>
      </c>
      <c r="G1559" s="50" t="s">
        <v>256</v>
      </c>
      <c r="H1559" s="50">
        <v>4000</v>
      </c>
      <c r="M1559" t="str">
        <f>IF(COUNTIF($A:$A,E1559)=0,"Not Exists","Exists")</f>
        <v>Not Exists</v>
      </c>
      <c r="N1559" t="str">
        <f t="shared" si="76"/>
        <v>Not Exists</v>
      </c>
      <c r="O1559" t="str">
        <f t="shared" si="77"/>
        <v>Exists</v>
      </c>
      <c r="P1559" t="str">
        <f t="shared" si="78"/>
        <v>Not Exists</v>
      </c>
    </row>
    <row r="1560" spans="1:16">
      <c r="A1560" s="50" t="s">
        <v>1732</v>
      </c>
      <c r="B1560" s="50" t="s">
        <v>1735</v>
      </c>
      <c r="C1560" s="50" t="s">
        <v>251</v>
      </c>
      <c r="D1560" s="50">
        <v>17</v>
      </c>
      <c r="E1560" s="50" t="s">
        <v>1722</v>
      </c>
      <c r="F1560" s="50" t="s">
        <v>1412</v>
      </c>
      <c r="G1560" s="50" t="s">
        <v>256</v>
      </c>
      <c r="H1560" s="50">
        <v>4000</v>
      </c>
      <c r="M1560" t="str">
        <f>IF(COUNTIF($A:$A,E1560)=0,"Not Exists","Exists")</f>
        <v>Not Exists</v>
      </c>
      <c r="N1560" t="str">
        <f t="shared" si="76"/>
        <v>Not Exists</v>
      </c>
      <c r="O1560" t="str">
        <f t="shared" si="77"/>
        <v>Exists</v>
      </c>
      <c r="P1560" t="str">
        <f t="shared" si="78"/>
        <v>Exists</v>
      </c>
    </row>
    <row r="1561" spans="1:16">
      <c r="A1561" s="50" t="s">
        <v>1732</v>
      </c>
      <c r="B1561" s="50" t="s">
        <v>1736</v>
      </c>
      <c r="C1561" s="50" t="s">
        <v>256</v>
      </c>
      <c r="D1561" s="50">
        <v>50</v>
      </c>
      <c r="E1561" s="50" t="s">
        <v>1722</v>
      </c>
      <c r="F1561" s="50" t="s">
        <v>1414</v>
      </c>
      <c r="G1561" s="50" t="s">
        <v>256</v>
      </c>
      <c r="H1561" s="50">
        <v>4000</v>
      </c>
      <c r="M1561" t="str">
        <f>IF(COUNTIF($A:$A,E1561)=0,"Not Exists","Exists")</f>
        <v>Not Exists</v>
      </c>
      <c r="N1561" t="str">
        <f t="shared" si="76"/>
        <v>Not Exists</v>
      </c>
      <c r="O1561" t="str">
        <f t="shared" si="77"/>
        <v>Exists</v>
      </c>
      <c r="P1561" t="str">
        <f t="shared" si="78"/>
        <v>Exists</v>
      </c>
    </row>
    <row r="1562" spans="1:16">
      <c r="A1562" s="50" t="s">
        <v>1732</v>
      </c>
      <c r="B1562" s="50" t="s">
        <v>1737</v>
      </c>
      <c r="C1562" s="50" t="s">
        <v>251</v>
      </c>
      <c r="D1562" s="50">
        <v>17</v>
      </c>
      <c r="E1562" s="50" t="s">
        <v>1738</v>
      </c>
      <c r="F1562" s="50" t="s">
        <v>781</v>
      </c>
      <c r="G1562" s="50" t="s">
        <v>256</v>
      </c>
      <c r="H1562" s="50">
        <v>8</v>
      </c>
      <c r="M1562" t="str">
        <f>IF(COUNTIF($A:$A,E1562)=0,"Not Exists","Exists")</f>
        <v>Not Exists</v>
      </c>
      <c r="N1562" t="str">
        <f t="shared" si="76"/>
        <v>Exists</v>
      </c>
      <c r="O1562" t="str">
        <f t="shared" si="77"/>
        <v>Exists</v>
      </c>
      <c r="P1562" t="str">
        <f t="shared" si="78"/>
        <v>Exists</v>
      </c>
    </row>
    <row r="1563" spans="1:16">
      <c r="A1563" s="50" t="s">
        <v>1732</v>
      </c>
      <c r="B1563" s="50" t="s">
        <v>1739</v>
      </c>
      <c r="C1563" s="50" t="s">
        <v>256</v>
      </c>
      <c r="D1563" s="50">
        <v>50</v>
      </c>
      <c r="E1563" s="50" t="s">
        <v>1738</v>
      </c>
      <c r="F1563" s="50" t="s">
        <v>780</v>
      </c>
      <c r="G1563" s="50" t="s">
        <v>256</v>
      </c>
      <c r="H1563" s="50">
        <v>20</v>
      </c>
      <c r="M1563" t="str">
        <f>IF(COUNTIF($A:$A,E1563)=0,"Not Exists","Exists")</f>
        <v>Not Exists</v>
      </c>
      <c r="N1563" t="str">
        <f t="shared" si="76"/>
        <v>Exists</v>
      </c>
      <c r="O1563" t="str">
        <f t="shared" si="77"/>
        <v>Exists</v>
      </c>
      <c r="P1563" t="str">
        <f t="shared" si="78"/>
        <v>Exists</v>
      </c>
    </row>
    <row r="1564" spans="1:16">
      <c r="A1564" s="50" t="s">
        <v>1732</v>
      </c>
      <c r="B1564" s="50" t="s">
        <v>1740</v>
      </c>
      <c r="C1564" s="50" t="s">
        <v>254</v>
      </c>
      <c r="D1564" s="50">
        <v>22</v>
      </c>
      <c r="E1564" s="50" t="s">
        <v>1738</v>
      </c>
      <c r="F1564" s="50" t="s">
        <v>1395</v>
      </c>
      <c r="G1564" s="50" t="s">
        <v>256</v>
      </c>
      <c r="H1564" s="50">
        <v>1</v>
      </c>
      <c r="M1564" t="str">
        <f>IF(COUNTIF($A:$A,E1564)=0,"Not Exists","Exists")</f>
        <v>Not Exists</v>
      </c>
      <c r="N1564" t="str">
        <f t="shared" si="76"/>
        <v>Not Exists</v>
      </c>
      <c r="O1564" t="str">
        <f t="shared" si="77"/>
        <v>Exists</v>
      </c>
      <c r="P1564" t="str">
        <f t="shared" si="78"/>
        <v>Exists</v>
      </c>
    </row>
    <row r="1565" spans="1:16">
      <c r="A1565" s="50" t="s">
        <v>1732</v>
      </c>
      <c r="B1565" s="50" t="s">
        <v>1741</v>
      </c>
      <c r="C1565" s="50" t="s">
        <v>256</v>
      </c>
      <c r="D1565" s="50">
        <v>3000</v>
      </c>
      <c r="E1565" s="50" t="s">
        <v>1738</v>
      </c>
      <c r="F1565" s="50" t="s">
        <v>1397</v>
      </c>
      <c r="G1565" s="50" t="s">
        <v>256</v>
      </c>
      <c r="H1565" s="50">
        <v>2</v>
      </c>
      <c r="M1565" t="str">
        <f>IF(COUNTIF($A:$A,E1565)=0,"Not Exists","Exists")</f>
        <v>Not Exists</v>
      </c>
      <c r="N1565" t="str">
        <f t="shared" si="76"/>
        <v>Not Exists</v>
      </c>
      <c r="O1565" t="str">
        <f t="shared" si="77"/>
        <v>Exists</v>
      </c>
      <c r="P1565" t="str">
        <f t="shared" si="78"/>
        <v>Exists</v>
      </c>
    </row>
    <row r="1566" spans="1:16">
      <c r="A1566" s="50" t="s">
        <v>1732</v>
      </c>
      <c r="B1566" s="50" t="s">
        <v>1742</v>
      </c>
      <c r="C1566" s="50" t="s">
        <v>256</v>
      </c>
      <c r="D1566" s="50">
        <v>3000</v>
      </c>
      <c r="E1566" s="50" t="s">
        <v>1738</v>
      </c>
      <c r="F1566" s="50" t="s">
        <v>796</v>
      </c>
      <c r="G1566" s="50" t="s">
        <v>254</v>
      </c>
      <c r="H1566" s="50">
        <v>22</v>
      </c>
      <c r="M1566" t="str">
        <f>IF(COUNTIF($A:$A,E1566)=0,"Not Exists","Exists")</f>
        <v>Not Exists</v>
      </c>
      <c r="N1566" t="str">
        <f t="shared" si="76"/>
        <v>Exists</v>
      </c>
      <c r="O1566" t="str">
        <f t="shared" si="77"/>
        <v>Exists</v>
      </c>
      <c r="P1566" t="str">
        <f t="shared" si="78"/>
        <v>Exists</v>
      </c>
    </row>
    <row r="1567" spans="1:16">
      <c r="A1567" s="50" t="s">
        <v>1732</v>
      </c>
      <c r="B1567" s="50" t="s">
        <v>1743</v>
      </c>
      <c r="C1567" s="50" t="s">
        <v>256</v>
      </c>
      <c r="D1567" s="50">
        <v>50</v>
      </c>
      <c r="E1567" s="50" t="s">
        <v>1738</v>
      </c>
      <c r="F1567" s="50" t="s">
        <v>424</v>
      </c>
      <c r="G1567" s="50" t="s">
        <v>256</v>
      </c>
      <c r="H1567" s="50">
        <v>60</v>
      </c>
      <c r="M1567" t="str">
        <f>IF(COUNTIF($A:$A,E1567)=0,"Not Exists","Exists")</f>
        <v>Not Exists</v>
      </c>
      <c r="N1567" t="str">
        <f t="shared" si="76"/>
        <v>Exists</v>
      </c>
      <c r="O1567" t="str">
        <f t="shared" si="77"/>
        <v>Exists</v>
      </c>
      <c r="P1567" t="str">
        <f t="shared" si="78"/>
        <v>Exists</v>
      </c>
    </row>
    <row r="1568" spans="1:16">
      <c r="A1568" s="50" t="s">
        <v>1732</v>
      </c>
      <c r="B1568" s="50" t="s">
        <v>1744</v>
      </c>
      <c r="C1568" s="50" t="s">
        <v>256</v>
      </c>
      <c r="D1568" s="50">
        <v>50</v>
      </c>
      <c r="E1568" s="50" t="s">
        <v>1738</v>
      </c>
      <c r="F1568" s="50" t="s">
        <v>1401</v>
      </c>
      <c r="G1568" s="50" t="s">
        <v>256</v>
      </c>
      <c r="H1568" s="50">
        <v>3</v>
      </c>
      <c r="M1568" t="str">
        <f>IF(COUNTIF($A:$A,E1568)=0,"Not Exists","Exists")</f>
        <v>Not Exists</v>
      </c>
      <c r="N1568" t="str">
        <f t="shared" si="76"/>
        <v>Not Exists</v>
      </c>
      <c r="O1568" t="str">
        <f t="shared" si="77"/>
        <v>Exists</v>
      </c>
      <c r="P1568" t="str">
        <f t="shared" si="78"/>
        <v>Not Exists</v>
      </c>
    </row>
    <row r="1569" spans="1:16">
      <c r="A1569" s="50" t="s">
        <v>1745</v>
      </c>
      <c r="B1569" s="50" t="s">
        <v>1746</v>
      </c>
      <c r="C1569" s="50" t="s">
        <v>256</v>
      </c>
      <c r="D1569" s="50">
        <v>50</v>
      </c>
      <c r="E1569" s="50" t="s">
        <v>1738</v>
      </c>
      <c r="F1569" s="50" t="s">
        <v>430</v>
      </c>
      <c r="G1569" s="50" t="s">
        <v>256</v>
      </c>
      <c r="H1569" s="50">
        <v>50</v>
      </c>
      <c r="M1569" t="str">
        <f>IF(COUNTIF($A:$A,E1569)=0,"Not Exists","Exists")</f>
        <v>Not Exists</v>
      </c>
      <c r="N1569" t="str">
        <f t="shared" si="76"/>
        <v>Exists</v>
      </c>
      <c r="O1569" t="str">
        <f t="shared" si="77"/>
        <v>Exists</v>
      </c>
      <c r="P1569" t="str">
        <f t="shared" si="78"/>
        <v>Exists</v>
      </c>
    </row>
    <row r="1570" spans="1:16">
      <c r="A1570" s="50" t="s">
        <v>1745</v>
      </c>
      <c r="B1570" s="50" t="s">
        <v>1747</v>
      </c>
      <c r="C1570" s="50" t="s">
        <v>256</v>
      </c>
      <c r="D1570" s="50">
        <v>50</v>
      </c>
      <c r="E1570" s="50" t="s">
        <v>1738</v>
      </c>
      <c r="F1570" s="50" t="s">
        <v>1405</v>
      </c>
      <c r="G1570" s="50" t="s">
        <v>256</v>
      </c>
      <c r="H1570" s="50">
        <v>9</v>
      </c>
      <c r="M1570" t="str">
        <f>IF(COUNTIF($A:$A,E1570)=0,"Not Exists","Exists")</f>
        <v>Not Exists</v>
      </c>
      <c r="N1570" t="str">
        <f t="shared" si="76"/>
        <v>Not Exists</v>
      </c>
      <c r="O1570" t="str">
        <f t="shared" si="77"/>
        <v>Exists</v>
      </c>
      <c r="P1570" t="str">
        <f t="shared" si="78"/>
        <v>Not Exists</v>
      </c>
    </row>
    <row r="1571" spans="1:16">
      <c r="A1571" s="50" t="s">
        <v>1745</v>
      </c>
      <c r="B1571" s="50" t="s">
        <v>1748</v>
      </c>
      <c r="C1571" s="50" t="s">
        <v>251</v>
      </c>
      <c r="D1571" s="50">
        <v>17</v>
      </c>
      <c r="E1571" s="50" t="s">
        <v>1738</v>
      </c>
      <c r="F1571" s="50" t="s">
        <v>704</v>
      </c>
      <c r="G1571" s="50" t="s">
        <v>256</v>
      </c>
      <c r="H1571" s="50">
        <v>9</v>
      </c>
      <c r="M1571" t="str">
        <f>IF(COUNTIF($A:$A,E1571)=0,"Not Exists","Exists")</f>
        <v>Not Exists</v>
      </c>
      <c r="N1571" t="str">
        <f t="shared" si="76"/>
        <v>Not Exists</v>
      </c>
      <c r="O1571" t="str">
        <f t="shared" si="77"/>
        <v>Exists</v>
      </c>
      <c r="P1571" t="str">
        <f t="shared" si="78"/>
        <v>Exists</v>
      </c>
    </row>
    <row r="1572" spans="1:16">
      <c r="A1572" s="50" t="s">
        <v>1745</v>
      </c>
      <c r="B1572" s="50" t="s">
        <v>1749</v>
      </c>
      <c r="C1572" s="50" t="s">
        <v>256</v>
      </c>
      <c r="D1572" s="50">
        <v>50</v>
      </c>
      <c r="E1572" s="50" t="s">
        <v>1738</v>
      </c>
      <c r="F1572" s="50" t="s">
        <v>1408</v>
      </c>
      <c r="G1572" s="50" t="s">
        <v>256</v>
      </c>
      <c r="H1572" s="50">
        <v>17</v>
      </c>
      <c r="M1572" t="str">
        <f>IF(COUNTIF($A:$A,E1572)=0,"Not Exists","Exists")</f>
        <v>Not Exists</v>
      </c>
      <c r="N1572" t="str">
        <f t="shared" si="76"/>
        <v>Not Exists</v>
      </c>
      <c r="O1572" t="str">
        <f t="shared" si="77"/>
        <v>Exists</v>
      </c>
      <c r="P1572" t="str">
        <f t="shared" si="78"/>
        <v>Exists</v>
      </c>
    </row>
    <row r="1573" spans="1:16">
      <c r="A1573" s="50" t="s">
        <v>1745</v>
      </c>
      <c r="B1573" s="50" t="s">
        <v>1750</v>
      </c>
      <c r="C1573" s="50" t="s">
        <v>251</v>
      </c>
      <c r="D1573" s="50">
        <v>17</v>
      </c>
      <c r="E1573" s="50" t="s">
        <v>1738</v>
      </c>
      <c r="F1573" s="50" t="s">
        <v>1410</v>
      </c>
      <c r="G1573" s="50" t="s">
        <v>256</v>
      </c>
      <c r="H1573" s="50">
        <v>4000</v>
      </c>
      <c r="M1573" t="str">
        <f>IF(COUNTIF($A:$A,E1573)=0,"Not Exists","Exists")</f>
        <v>Not Exists</v>
      </c>
      <c r="N1573" t="str">
        <f t="shared" si="76"/>
        <v>Not Exists</v>
      </c>
      <c r="O1573" t="str">
        <f t="shared" si="77"/>
        <v>Exists</v>
      </c>
      <c r="P1573" t="str">
        <f t="shared" si="78"/>
        <v>Exists</v>
      </c>
    </row>
    <row r="1574" spans="1:16">
      <c r="A1574" s="50" t="s">
        <v>1745</v>
      </c>
      <c r="B1574" s="50" t="s">
        <v>1751</v>
      </c>
      <c r="C1574" s="50" t="s">
        <v>256</v>
      </c>
      <c r="D1574" s="50">
        <v>50</v>
      </c>
      <c r="E1574" s="50" t="s">
        <v>1738</v>
      </c>
      <c r="F1574" s="50" t="s">
        <v>1412</v>
      </c>
      <c r="G1574" s="50" t="s">
        <v>256</v>
      </c>
      <c r="H1574" s="50">
        <v>4000</v>
      </c>
      <c r="M1574" t="str">
        <f>IF(COUNTIF($A:$A,E1574)=0,"Not Exists","Exists")</f>
        <v>Not Exists</v>
      </c>
      <c r="N1574" t="str">
        <f t="shared" si="76"/>
        <v>Not Exists</v>
      </c>
      <c r="O1574" t="str">
        <f t="shared" si="77"/>
        <v>Exists</v>
      </c>
      <c r="P1574" t="str">
        <f t="shared" si="78"/>
        <v>Exists</v>
      </c>
    </row>
    <row r="1575" spans="1:16">
      <c r="A1575" s="50" t="s">
        <v>1745</v>
      </c>
      <c r="B1575" s="50" t="s">
        <v>1752</v>
      </c>
      <c r="C1575" s="50" t="s">
        <v>256</v>
      </c>
      <c r="D1575" s="50">
        <v>450</v>
      </c>
      <c r="E1575" s="50" t="s">
        <v>1738</v>
      </c>
      <c r="F1575" s="50" t="s">
        <v>1414</v>
      </c>
      <c r="G1575" s="50" t="s">
        <v>256</v>
      </c>
      <c r="H1575" s="50">
        <v>4000</v>
      </c>
      <c r="M1575" t="str">
        <f>IF(COUNTIF($A:$A,E1575)=0,"Not Exists","Exists")</f>
        <v>Not Exists</v>
      </c>
      <c r="N1575" t="str">
        <f t="shared" si="76"/>
        <v>Not Exists</v>
      </c>
      <c r="O1575" t="str">
        <f t="shared" si="77"/>
        <v>Exists</v>
      </c>
      <c r="P1575" t="str">
        <f t="shared" si="78"/>
        <v>Exists</v>
      </c>
    </row>
    <row r="1576" spans="1:16">
      <c r="A1576" s="50" t="s">
        <v>1745</v>
      </c>
      <c r="B1576" s="50" t="s">
        <v>1753</v>
      </c>
      <c r="C1576" s="50" t="s">
        <v>256</v>
      </c>
      <c r="D1576" s="50">
        <v>3000</v>
      </c>
      <c r="E1576" s="50" t="s">
        <v>1754</v>
      </c>
      <c r="F1576" s="50" t="s">
        <v>781</v>
      </c>
      <c r="G1576" s="50" t="s">
        <v>256</v>
      </c>
      <c r="H1576" s="50">
        <v>8</v>
      </c>
      <c r="M1576" t="str">
        <f>IF(COUNTIF($A:$A,E1576)=0,"Not Exists","Exists")</f>
        <v>Not Exists</v>
      </c>
      <c r="N1576" t="str">
        <f t="shared" si="76"/>
        <v>Exists</v>
      </c>
      <c r="O1576" t="str">
        <f t="shared" si="77"/>
        <v>Exists</v>
      </c>
      <c r="P1576" t="str">
        <f t="shared" si="78"/>
        <v>Exists</v>
      </c>
    </row>
    <row r="1577" spans="1:16">
      <c r="A1577" s="50" t="s">
        <v>1745</v>
      </c>
      <c r="B1577" s="50" t="s">
        <v>1755</v>
      </c>
      <c r="C1577" s="50" t="s">
        <v>256</v>
      </c>
      <c r="D1577" s="50">
        <v>3000</v>
      </c>
      <c r="E1577" s="50" t="s">
        <v>1754</v>
      </c>
      <c r="F1577" s="50" t="s">
        <v>780</v>
      </c>
      <c r="G1577" s="50" t="s">
        <v>256</v>
      </c>
      <c r="H1577" s="50">
        <v>20</v>
      </c>
      <c r="M1577" t="str">
        <f>IF(COUNTIF($A:$A,E1577)=0,"Not Exists","Exists")</f>
        <v>Not Exists</v>
      </c>
      <c r="N1577" t="str">
        <f t="shared" si="76"/>
        <v>Exists</v>
      </c>
      <c r="O1577" t="str">
        <f t="shared" si="77"/>
        <v>Exists</v>
      </c>
      <c r="P1577" t="str">
        <f t="shared" si="78"/>
        <v>Exists</v>
      </c>
    </row>
    <row r="1578" spans="1:16">
      <c r="A1578" s="50" t="s">
        <v>1745</v>
      </c>
      <c r="B1578" s="50" t="s">
        <v>1756</v>
      </c>
      <c r="C1578" s="50" t="s">
        <v>256</v>
      </c>
      <c r="D1578" s="50">
        <v>50</v>
      </c>
      <c r="E1578" s="50" t="s">
        <v>1754</v>
      </c>
      <c r="F1578" s="50" t="s">
        <v>1395</v>
      </c>
      <c r="G1578" s="50" t="s">
        <v>256</v>
      </c>
      <c r="H1578" s="50">
        <v>1</v>
      </c>
      <c r="M1578" t="str">
        <f>IF(COUNTIF($A:$A,E1578)=0,"Not Exists","Exists")</f>
        <v>Not Exists</v>
      </c>
      <c r="N1578" t="str">
        <f t="shared" si="76"/>
        <v>Not Exists</v>
      </c>
      <c r="O1578" t="str">
        <f t="shared" si="77"/>
        <v>Exists</v>
      </c>
      <c r="P1578" t="str">
        <f t="shared" si="78"/>
        <v>Exists</v>
      </c>
    </row>
    <row r="1579" spans="1:16">
      <c r="A1579" s="50" t="s">
        <v>1757</v>
      </c>
      <c r="B1579" s="50" t="s">
        <v>1758</v>
      </c>
      <c r="C1579" s="50" t="s">
        <v>256</v>
      </c>
      <c r="D1579" s="50">
        <v>50</v>
      </c>
      <c r="E1579" s="50" t="s">
        <v>1754</v>
      </c>
      <c r="F1579" s="50" t="s">
        <v>1397</v>
      </c>
      <c r="G1579" s="50" t="s">
        <v>256</v>
      </c>
      <c r="H1579" s="50">
        <v>2</v>
      </c>
      <c r="M1579" t="str">
        <f>IF(COUNTIF($A:$A,E1579)=0,"Not Exists","Exists")</f>
        <v>Not Exists</v>
      </c>
      <c r="N1579" t="str">
        <f t="shared" si="76"/>
        <v>Not Exists</v>
      </c>
      <c r="O1579" t="str">
        <f t="shared" si="77"/>
        <v>Exists</v>
      </c>
      <c r="P1579" t="str">
        <f t="shared" si="78"/>
        <v>Exists</v>
      </c>
    </row>
    <row r="1580" spans="1:16">
      <c r="A1580" s="50" t="s">
        <v>1757</v>
      </c>
      <c r="B1580" s="50" t="s">
        <v>1759</v>
      </c>
      <c r="C1580" s="50" t="s">
        <v>256</v>
      </c>
      <c r="D1580" s="50">
        <v>50</v>
      </c>
      <c r="E1580" s="50" t="s">
        <v>1754</v>
      </c>
      <c r="F1580" s="50" t="s">
        <v>796</v>
      </c>
      <c r="G1580" s="50" t="s">
        <v>254</v>
      </c>
      <c r="H1580" s="50">
        <v>22</v>
      </c>
      <c r="M1580" t="str">
        <f>IF(COUNTIF($A:$A,E1580)=0,"Not Exists","Exists")</f>
        <v>Not Exists</v>
      </c>
      <c r="N1580" t="str">
        <f t="shared" si="76"/>
        <v>Exists</v>
      </c>
      <c r="O1580" t="str">
        <f t="shared" si="77"/>
        <v>Exists</v>
      </c>
      <c r="P1580" t="str">
        <f t="shared" si="78"/>
        <v>Not Exists</v>
      </c>
    </row>
    <row r="1581" spans="1:16">
      <c r="A1581" s="50" t="s">
        <v>1757</v>
      </c>
      <c r="B1581" s="50" t="s">
        <v>1760</v>
      </c>
      <c r="C1581" s="50" t="s">
        <v>251</v>
      </c>
      <c r="D1581" s="50">
        <v>17</v>
      </c>
      <c r="E1581" s="50" t="s">
        <v>1754</v>
      </c>
      <c r="F1581" s="50" t="s">
        <v>424</v>
      </c>
      <c r="G1581" s="50" t="s">
        <v>256</v>
      </c>
      <c r="H1581" s="50">
        <v>60</v>
      </c>
      <c r="M1581" t="str">
        <f>IF(COUNTIF($A:$A,E1581)=0,"Not Exists","Exists")</f>
        <v>Not Exists</v>
      </c>
      <c r="N1581" t="str">
        <f t="shared" si="76"/>
        <v>Exists</v>
      </c>
      <c r="O1581" t="str">
        <f t="shared" si="77"/>
        <v>Exists</v>
      </c>
      <c r="P1581" t="str">
        <f t="shared" si="78"/>
        <v>Exists</v>
      </c>
    </row>
    <row r="1582" spans="1:16">
      <c r="A1582" s="50" t="s">
        <v>1757</v>
      </c>
      <c r="B1582" s="50" t="s">
        <v>1761</v>
      </c>
      <c r="C1582" s="50" t="s">
        <v>256</v>
      </c>
      <c r="D1582" s="50">
        <v>50</v>
      </c>
      <c r="E1582" s="50" t="s">
        <v>1754</v>
      </c>
      <c r="F1582" s="50" t="s">
        <v>1401</v>
      </c>
      <c r="G1582" s="50" t="s">
        <v>256</v>
      </c>
      <c r="H1582" s="50">
        <v>3</v>
      </c>
      <c r="M1582" t="str">
        <f>IF(COUNTIF($A:$A,E1582)=0,"Not Exists","Exists")</f>
        <v>Not Exists</v>
      </c>
      <c r="N1582" t="str">
        <f t="shared" si="76"/>
        <v>Not Exists</v>
      </c>
      <c r="O1582" t="str">
        <f t="shared" si="77"/>
        <v>Exists</v>
      </c>
      <c r="P1582" t="str">
        <f t="shared" si="78"/>
        <v>Exists</v>
      </c>
    </row>
    <row r="1583" spans="1:16">
      <c r="A1583" s="50" t="s">
        <v>1757</v>
      </c>
      <c r="B1583" s="50" t="s">
        <v>1762</v>
      </c>
      <c r="C1583" s="50" t="s">
        <v>251</v>
      </c>
      <c r="D1583" s="50">
        <v>17</v>
      </c>
      <c r="E1583" s="50" t="s">
        <v>1754</v>
      </c>
      <c r="F1583" s="50" t="s">
        <v>430</v>
      </c>
      <c r="G1583" s="50" t="s">
        <v>256</v>
      </c>
      <c r="H1583" s="50">
        <v>50</v>
      </c>
      <c r="M1583" t="str">
        <f>IF(COUNTIF($A:$A,E1583)=0,"Not Exists","Exists")</f>
        <v>Not Exists</v>
      </c>
      <c r="N1583" t="str">
        <f t="shared" si="76"/>
        <v>Exists</v>
      </c>
      <c r="O1583" t="str">
        <f t="shared" si="77"/>
        <v>Exists</v>
      </c>
      <c r="P1583" t="str">
        <f t="shared" si="78"/>
        <v>Exists</v>
      </c>
    </row>
    <row r="1584" spans="1:16">
      <c r="A1584" s="50" t="s">
        <v>1757</v>
      </c>
      <c r="B1584" s="50" t="s">
        <v>1763</v>
      </c>
      <c r="C1584" s="50" t="s">
        <v>256</v>
      </c>
      <c r="D1584" s="50">
        <v>50</v>
      </c>
      <c r="E1584" s="50" t="s">
        <v>1754</v>
      </c>
      <c r="F1584" s="50" t="s">
        <v>1405</v>
      </c>
      <c r="G1584" s="50" t="s">
        <v>256</v>
      </c>
      <c r="H1584" s="50">
        <v>9</v>
      </c>
      <c r="M1584" t="str">
        <f>IF(COUNTIF($A:$A,E1584)=0,"Not Exists","Exists")</f>
        <v>Not Exists</v>
      </c>
      <c r="N1584" t="str">
        <f t="shared" si="76"/>
        <v>Not Exists</v>
      </c>
      <c r="O1584" t="str">
        <f t="shared" si="77"/>
        <v>Exists</v>
      </c>
      <c r="P1584" t="str">
        <f t="shared" si="78"/>
        <v>Exists</v>
      </c>
    </row>
    <row r="1585" spans="1:16">
      <c r="A1585" s="50" t="s">
        <v>1757</v>
      </c>
      <c r="B1585" s="50" t="s">
        <v>1764</v>
      </c>
      <c r="C1585" s="50" t="s">
        <v>256</v>
      </c>
      <c r="D1585" s="50">
        <v>450</v>
      </c>
      <c r="E1585" s="50" t="s">
        <v>1754</v>
      </c>
      <c r="F1585" s="50" t="s">
        <v>704</v>
      </c>
      <c r="G1585" s="50" t="s">
        <v>256</v>
      </c>
      <c r="H1585" s="50">
        <v>9</v>
      </c>
      <c r="M1585" t="str">
        <f>IF(COUNTIF($A:$A,E1585)=0,"Not Exists","Exists")</f>
        <v>Not Exists</v>
      </c>
      <c r="N1585" t="str">
        <f t="shared" si="76"/>
        <v>Not Exists</v>
      </c>
      <c r="O1585" t="str">
        <f t="shared" si="77"/>
        <v>Exists</v>
      </c>
      <c r="P1585" t="str">
        <f t="shared" si="78"/>
        <v>Exists</v>
      </c>
    </row>
    <row r="1586" spans="1:16">
      <c r="A1586" s="50" t="s">
        <v>1757</v>
      </c>
      <c r="B1586" s="50" t="s">
        <v>1765</v>
      </c>
      <c r="C1586" s="50" t="s">
        <v>256</v>
      </c>
      <c r="D1586" s="50">
        <v>3000</v>
      </c>
      <c r="E1586" s="50" t="s">
        <v>1754</v>
      </c>
      <c r="F1586" s="50" t="s">
        <v>1408</v>
      </c>
      <c r="G1586" s="50" t="s">
        <v>256</v>
      </c>
      <c r="H1586" s="50">
        <v>17</v>
      </c>
      <c r="M1586" t="str">
        <f>IF(COUNTIF($A:$A,E1586)=0,"Not Exists","Exists")</f>
        <v>Not Exists</v>
      </c>
      <c r="N1586" t="str">
        <f t="shared" si="76"/>
        <v>Not Exists</v>
      </c>
      <c r="O1586" t="str">
        <f t="shared" si="77"/>
        <v>Exists</v>
      </c>
      <c r="P1586" t="str">
        <f t="shared" si="78"/>
        <v>Exists</v>
      </c>
    </row>
    <row r="1587" spans="1:16">
      <c r="A1587" s="50" t="s">
        <v>1757</v>
      </c>
      <c r="B1587" s="50" t="s">
        <v>1766</v>
      </c>
      <c r="C1587" s="50" t="s">
        <v>256</v>
      </c>
      <c r="D1587" s="50">
        <v>50</v>
      </c>
      <c r="E1587" s="50" t="s">
        <v>1754</v>
      </c>
      <c r="F1587" s="50" t="s">
        <v>1410</v>
      </c>
      <c r="G1587" s="50" t="s">
        <v>256</v>
      </c>
      <c r="H1587" s="50">
        <v>4000</v>
      </c>
      <c r="M1587" t="str">
        <f>IF(COUNTIF($A:$A,E1587)=0,"Not Exists","Exists")</f>
        <v>Not Exists</v>
      </c>
      <c r="N1587" t="str">
        <f t="shared" si="76"/>
        <v>Not Exists</v>
      </c>
      <c r="O1587" t="str">
        <f t="shared" si="77"/>
        <v>Exists</v>
      </c>
      <c r="P1587" t="str">
        <f t="shared" si="78"/>
        <v>Exists</v>
      </c>
    </row>
    <row r="1588" spans="1:16">
      <c r="A1588" s="50" t="s">
        <v>1757</v>
      </c>
      <c r="B1588" s="50" t="s">
        <v>1767</v>
      </c>
      <c r="C1588" s="50" t="s">
        <v>256</v>
      </c>
      <c r="D1588" s="50">
        <v>50</v>
      </c>
      <c r="E1588" s="50" t="s">
        <v>1754</v>
      </c>
      <c r="F1588" s="50" t="s">
        <v>1412</v>
      </c>
      <c r="G1588" s="50" t="s">
        <v>256</v>
      </c>
      <c r="H1588" s="50">
        <v>4000</v>
      </c>
      <c r="M1588" t="str">
        <f>IF(COUNTIF($A:$A,E1588)=0,"Not Exists","Exists")</f>
        <v>Not Exists</v>
      </c>
      <c r="N1588" t="str">
        <f t="shared" si="76"/>
        <v>Not Exists</v>
      </c>
      <c r="O1588" t="str">
        <f t="shared" si="77"/>
        <v>Exists</v>
      </c>
      <c r="P1588" t="str">
        <f t="shared" si="78"/>
        <v>Exists</v>
      </c>
    </row>
    <row r="1589" spans="1:16">
      <c r="A1589" s="50" t="s">
        <v>1757</v>
      </c>
      <c r="B1589" s="50" t="s">
        <v>1768</v>
      </c>
      <c r="C1589" s="50" t="s">
        <v>256</v>
      </c>
      <c r="D1589" s="50">
        <v>450</v>
      </c>
      <c r="E1589" s="50" t="s">
        <v>1754</v>
      </c>
      <c r="F1589" s="50" t="s">
        <v>1414</v>
      </c>
      <c r="G1589" s="50" t="s">
        <v>256</v>
      </c>
      <c r="H1589" s="50">
        <v>4000</v>
      </c>
      <c r="M1589" t="str">
        <f>IF(COUNTIF($A:$A,E1589)=0,"Not Exists","Exists")</f>
        <v>Not Exists</v>
      </c>
      <c r="N1589" t="str">
        <f t="shared" si="76"/>
        <v>Not Exists</v>
      </c>
      <c r="O1589" t="str">
        <f t="shared" si="77"/>
        <v>Exists</v>
      </c>
      <c r="P1589" t="str">
        <f t="shared" si="78"/>
        <v>Exists</v>
      </c>
    </row>
    <row r="1590" spans="1:16">
      <c r="A1590" s="50" t="s">
        <v>1757</v>
      </c>
      <c r="B1590" s="50" t="s">
        <v>1769</v>
      </c>
      <c r="C1590" s="50" t="s">
        <v>256</v>
      </c>
      <c r="D1590" s="50">
        <v>450</v>
      </c>
      <c r="E1590" s="50" t="s">
        <v>1770</v>
      </c>
      <c r="F1590" s="50" t="s">
        <v>781</v>
      </c>
      <c r="G1590" s="50" t="s">
        <v>256</v>
      </c>
      <c r="H1590" s="50">
        <v>8</v>
      </c>
      <c r="M1590" t="str">
        <f>IF(COUNTIF($A:$A,E1590)=0,"Not Exists","Exists")</f>
        <v>Not Exists</v>
      </c>
      <c r="N1590" t="str">
        <f t="shared" si="76"/>
        <v>Exists</v>
      </c>
      <c r="O1590" t="str">
        <f t="shared" si="77"/>
        <v>Exists</v>
      </c>
      <c r="P1590" t="str">
        <f t="shared" si="78"/>
        <v>Exists</v>
      </c>
    </row>
    <row r="1591" spans="1:16">
      <c r="A1591" s="50" t="s">
        <v>1757</v>
      </c>
      <c r="B1591" s="50" t="s">
        <v>1771</v>
      </c>
      <c r="C1591" s="50" t="s">
        <v>256</v>
      </c>
      <c r="D1591" s="50">
        <v>450</v>
      </c>
      <c r="E1591" s="50" t="s">
        <v>1770</v>
      </c>
      <c r="F1591" s="50" t="s">
        <v>780</v>
      </c>
      <c r="G1591" s="50" t="s">
        <v>256</v>
      </c>
      <c r="H1591" s="50">
        <v>20</v>
      </c>
      <c r="M1591" t="str">
        <f>IF(COUNTIF($A:$A,E1591)=0,"Not Exists","Exists")</f>
        <v>Not Exists</v>
      </c>
      <c r="N1591" t="str">
        <f t="shared" si="76"/>
        <v>Exists</v>
      </c>
      <c r="O1591" t="str">
        <f t="shared" si="77"/>
        <v>Exists</v>
      </c>
      <c r="P1591" t="str">
        <f t="shared" si="78"/>
        <v>Exists</v>
      </c>
    </row>
    <row r="1592" spans="1:16">
      <c r="A1592" s="50" t="s">
        <v>1757</v>
      </c>
      <c r="B1592" s="50" t="s">
        <v>1772</v>
      </c>
      <c r="C1592" s="50" t="s">
        <v>256</v>
      </c>
      <c r="D1592" s="50">
        <v>450</v>
      </c>
      <c r="E1592" s="50" t="s">
        <v>1770</v>
      </c>
      <c r="F1592" s="50" t="s">
        <v>1395</v>
      </c>
      <c r="G1592" s="50" t="s">
        <v>256</v>
      </c>
      <c r="H1592" s="50">
        <v>1</v>
      </c>
      <c r="M1592" t="str">
        <f>IF(COUNTIF($A:$A,E1592)=0,"Not Exists","Exists")</f>
        <v>Not Exists</v>
      </c>
      <c r="N1592" t="str">
        <f t="shared" si="76"/>
        <v>Not Exists</v>
      </c>
      <c r="O1592" t="str">
        <f t="shared" si="77"/>
        <v>Exists</v>
      </c>
      <c r="P1592" t="str">
        <f t="shared" si="78"/>
        <v>Exists</v>
      </c>
    </row>
    <row r="1593" spans="1:16">
      <c r="A1593" s="50" t="s">
        <v>1757</v>
      </c>
      <c r="B1593" s="50" t="s">
        <v>1773</v>
      </c>
      <c r="C1593" s="50" t="s">
        <v>256</v>
      </c>
      <c r="D1593" s="50">
        <v>450</v>
      </c>
      <c r="E1593" s="50" t="s">
        <v>1770</v>
      </c>
      <c r="F1593" s="50" t="s">
        <v>1397</v>
      </c>
      <c r="G1593" s="50" t="s">
        <v>256</v>
      </c>
      <c r="H1593" s="50">
        <v>2</v>
      </c>
      <c r="M1593" t="str">
        <f>IF(COUNTIF($A:$A,E1593)=0,"Not Exists","Exists")</f>
        <v>Not Exists</v>
      </c>
      <c r="N1593" t="str">
        <f t="shared" si="76"/>
        <v>Not Exists</v>
      </c>
      <c r="O1593" t="str">
        <f t="shared" si="77"/>
        <v>Exists</v>
      </c>
      <c r="P1593" t="str">
        <f t="shared" si="78"/>
        <v>Exists</v>
      </c>
    </row>
    <row r="1594" spans="1:16">
      <c r="A1594" s="50" t="s">
        <v>1757</v>
      </c>
      <c r="B1594" s="50" t="s">
        <v>1774</v>
      </c>
      <c r="C1594" s="50" t="s">
        <v>256</v>
      </c>
      <c r="D1594" s="50">
        <v>450</v>
      </c>
      <c r="E1594" s="50" t="s">
        <v>1770</v>
      </c>
      <c r="F1594" s="50" t="s">
        <v>796</v>
      </c>
      <c r="G1594" s="50" t="s">
        <v>254</v>
      </c>
      <c r="H1594" s="50">
        <v>22</v>
      </c>
      <c r="M1594" t="str">
        <f>IF(COUNTIF($A:$A,E1594)=0,"Not Exists","Exists")</f>
        <v>Not Exists</v>
      </c>
      <c r="N1594" t="str">
        <f t="shared" si="76"/>
        <v>Exists</v>
      </c>
      <c r="O1594" t="str">
        <f t="shared" si="77"/>
        <v>Exists</v>
      </c>
      <c r="P1594" t="str">
        <f t="shared" si="78"/>
        <v>Exists</v>
      </c>
    </row>
    <row r="1595" spans="1:16">
      <c r="A1595" s="50" t="s">
        <v>1757</v>
      </c>
      <c r="B1595" s="50" t="s">
        <v>1775</v>
      </c>
      <c r="C1595" s="50" t="s">
        <v>256</v>
      </c>
      <c r="D1595" s="50">
        <v>450</v>
      </c>
      <c r="E1595" s="50" t="s">
        <v>1770</v>
      </c>
      <c r="F1595" s="50" t="s">
        <v>424</v>
      </c>
      <c r="G1595" s="50" t="s">
        <v>256</v>
      </c>
      <c r="H1595" s="50">
        <v>60</v>
      </c>
      <c r="M1595" t="str">
        <f>IF(COUNTIF($A:$A,E1595)=0,"Not Exists","Exists")</f>
        <v>Not Exists</v>
      </c>
      <c r="N1595" t="str">
        <f t="shared" si="76"/>
        <v>Exists</v>
      </c>
      <c r="O1595" t="str">
        <f t="shared" si="77"/>
        <v>Exists</v>
      </c>
      <c r="P1595" t="str">
        <f t="shared" si="78"/>
        <v>Exists</v>
      </c>
    </row>
    <row r="1596" spans="1:16">
      <c r="A1596" s="50" t="s">
        <v>1757</v>
      </c>
      <c r="B1596" s="50" t="s">
        <v>1776</v>
      </c>
      <c r="C1596" s="50" t="s">
        <v>256</v>
      </c>
      <c r="D1596" s="50">
        <v>450</v>
      </c>
      <c r="E1596" s="50" t="s">
        <v>1770</v>
      </c>
      <c r="F1596" s="50" t="s">
        <v>1401</v>
      </c>
      <c r="G1596" s="50" t="s">
        <v>256</v>
      </c>
      <c r="H1596" s="50">
        <v>3</v>
      </c>
      <c r="M1596" t="str">
        <f>IF(COUNTIF($A:$A,E1596)=0,"Not Exists","Exists")</f>
        <v>Not Exists</v>
      </c>
      <c r="N1596" t="str">
        <f t="shared" si="76"/>
        <v>Not Exists</v>
      </c>
      <c r="O1596" t="str">
        <f t="shared" si="77"/>
        <v>Exists</v>
      </c>
      <c r="P1596" t="str">
        <f t="shared" si="78"/>
        <v>Exists</v>
      </c>
    </row>
    <row r="1597" spans="1:16">
      <c r="A1597" s="50" t="s">
        <v>1757</v>
      </c>
      <c r="B1597" s="50" t="s">
        <v>1777</v>
      </c>
      <c r="C1597" s="50" t="s">
        <v>256</v>
      </c>
      <c r="D1597" s="50">
        <v>450</v>
      </c>
      <c r="E1597" s="50" t="s">
        <v>1770</v>
      </c>
      <c r="F1597" s="50" t="s">
        <v>430</v>
      </c>
      <c r="G1597" s="50" t="s">
        <v>256</v>
      </c>
      <c r="H1597" s="50">
        <v>50</v>
      </c>
      <c r="M1597" t="str">
        <f>IF(COUNTIF($A:$A,E1597)=0,"Not Exists","Exists")</f>
        <v>Not Exists</v>
      </c>
      <c r="N1597" t="str">
        <f t="shared" ref="N1597:N1660" si="79">IF(COUNTIF($A:$B,F1597)=0,"Not Exists","Exists")</f>
        <v>Exists</v>
      </c>
      <c r="O1597" t="str">
        <f t="shared" si="77"/>
        <v>Exists</v>
      </c>
      <c r="P1597" t="str">
        <f t="shared" si="78"/>
        <v>Exists</v>
      </c>
    </row>
    <row r="1598" spans="1:16">
      <c r="A1598" s="50" t="s">
        <v>1778</v>
      </c>
      <c r="B1598" s="50" t="s">
        <v>1779</v>
      </c>
      <c r="C1598" s="50" t="s">
        <v>256</v>
      </c>
      <c r="D1598" s="50">
        <v>50</v>
      </c>
      <c r="E1598" s="50" t="s">
        <v>1770</v>
      </c>
      <c r="F1598" s="50" t="s">
        <v>1405</v>
      </c>
      <c r="G1598" s="50" t="s">
        <v>256</v>
      </c>
      <c r="H1598" s="50">
        <v>9</v>
      </c>
      <c r="M1598" t="str">
        <f>IF(COUNTIF($A:$A,E1598)=0,"Not Exists","Exists")</f>
        <v>Not Exists</v>
      </c>
      <c r="N1598" t="str">
        <f t="shared" si="79"/>
        <v>Not Exists</v>
      </c>
      <c r="O1598" t="str">
        <f t="shared" si="77"/>
        <v>Exists</v>
      </c>
      <c r="P1598" t="str">
        <f t="shared" si="78"/>
        <v>Exists</v>
      </c>
    </row>
    <row r="1599" spans="1:16">
      <c r="A1599" s="50" t="s">
        <v>1778</v>
      </c>
      <c r="B1599" s="50" t="s">
        <v>1780</v>
      </c>
      <c r="C1599" s="50" t="s">
        <v>256</v>
      </c>
      <c r="D1599" s="50">
        <v>50</v>
      </c>
      <c r="E1599" s="50" t="s">
        <v>1770</v>
      </c>
      <c r="F1599" s="50" t="s">
        <v>704</v>
      </c>
      <c r="G1599" s="50" t="s">
        <v>256</v>
      </c>
      <c r="H1599" s="50">
        <v>9</v>
      </c>
      <c r="M1599" t="str">
        <f>IF(COUNTIF($A:$A,E1599)=0,"Not Exists","Exists")</f>
        <v>Not Exists</v>
      </c>
      <c r="N1599" t="str">
        <f t="shared" si="79"/>
        <v>Not Exists</v>
      </c>
      <c r="O1599" t="str">
        <f t="shared" si="77"/>
        <v>Exists</v>
      </c>
      <c r="P1599" t="str">
        <f t="shared" si="78"/>
        <v>Not Exists</v>
      </c>
    </row>
    <row r="1600" spans="1:16">
      <c r="A1600" s="50" t="s">
        <v>1778</v>
      </c>
      <c r="B1600" s="50" t="s">
        <v>1781</v>
      </c>
      <c r="C1600" s="50" t="s">
        <v>251</v>
      </c>
      <c r="D1600" s="50">
        <v>17</v>
      </c>
      <c r="E1600" s="50" t="s">
        <v>1770</v>
      </c>
      <c r="F1600" s="50" t="s">
        <v>1408</v>
      </c>
      <c r="G1600" s="50" t="s">
        <v>256</v>
      </c>
      <c r="H1600" s="50">
        <v>17</v>
      </c>
      <c r="M1600" t="str">
        <f>IF(COUNTIF($A:$A,E1600)=0,"Not Exists","Exists")</f>
        <v>Not Exists</v>
      </c>
      <c r="N1600" t="str">
        <f t="shared" si="79"/>
        <v>Not Exists</v>
      </c>
      <c r="O1600" t="str">
        <f t="shared" si="77"/>
        <v>Exists</v>
      </c>
      <c r="P1600" t="str">
        <f t="shared" si="78"/>
        <v>Exists</v>
      </c>
    </row>
    <row r="1601" spans="1:16">
      <c r="A1601" s="50" t="s">
        <v>1778</v>
      </c>
      <c r="B1601" s="50" t="s">
        <v>1782</v>
      </c>
      <c r="C1601" s="50" t="s">
        <v>256</v>
      </c>
      <c r="D1601" s="50">
        <v>50</v>
      </c>
      <c r="E1601" s="50" t="s">
        <v>1770</v>
      </c>
      <c r="F1601" s="50" t="s">
        <v>1410</v>
      </c>
      <c r="G1601" s="50" t="s">
        <v>256</v>
      </c>
      <c r="H1601" s="50">
        <v>4000</v>
      </c>
      <c r="M1601" t="str">
        <f>IF(COUNTIF($A:$A,E1601)=0,"Not Exists","Exists")</f>
        <v>Not Exists</v>
      </c>
      <c r="N1601" t="str">
        <f t="shared" si="79"/>
        <v>Not Exists</v>
      </c>
      <c r="O1601" t="str">
        <f t="shared" si="77"/>
        <v>Exists</v>
      </c>
      <c r="P1601" t="str">
        <f t="shared" si="78"/>
        <v>Exists</v>
      </c>
    </row>
    <row r="1602" spans="1:16">
      <c r="A1602" s="50" t="s">
        <v>1778</v>
      </c>
      <c r="B1602" s="50" t="s">
        <v>1783</v>
      </c>
      <c r="C1602" s="50" t="s">
        <v>251</v>
      </c>
      <c r="D1602" s="50">
        <v>17</v>
      </c>
      <c r="E1602" s="50" t="s">
        <v>1770</v>
      </c>
      <c r="F1602" s="50" t="s">
        <v>1412</v>
      </c>
      <c r="G1602" s="50" t="s">
        <v>256</v>
      </c>
      <c r="H1602" s="50">
        <v>4000</v>
      </c>
      <c r="M1602" t="str">
        <f>IF(COUNTIF($A:$A,E1602)=0,"Not Exists","Exists")</f>
        <v>Not Exists</v>
      </c>
      <c r="N1602" t="str">
        <f t="shared" si="79"/>
        <v>Not Exists</v>
      </c>
      <c r="O1602" t="str">
        <f t="shared" si="77"/>
        <v>Exists</v>
      </c>
      <c r="P1602" t="str">
        <f t="shared" si="78"/>
        <v>Exists</v>
      </c>
    </row>
    <row r="1603" spans="1:16">
      <c r="A1603" s="50" t="s">
        <v>1778</v>
      </c>
      <c r="B1603" s="50" t="s">
        <v>1784</v>
      </c>
      <c r="C1603" s="50" t="s">
        <v>256</v>
      </c>
      <c r="D1603" s="50">
        <v>50</v>
      </c>
      <c r="E1603" s="50" t="s">
        <v>1770</v>
      </c>
      <c r="F1603" s="50" t="s">
        <v>1414</v>
      </c>
      <c r="G1603" s="50" t="s">
        <v>256</v>
      </c>
      <c r="H1603" s="50">
        <v>4000</v>
      </c>
      <c r="M1603" t="str">
        <f>IF(COUNTIF($A:$A,E1603)=0,"Not Exists","Exists")</f>
        <v>Not Exists</v>
      </c>
      <c r="N1603" t="str">
        <f t="shared" si="79"/>
        <v>Not Exists</v>
      </c>
      <c r="O1603" t="str">
        <f t="shared" si="77"/>
        <v>Exists</v>
      </c>
      <c r="P1603" t="str">
        <f t="shared" si="78"/>
        <v>Exists</v>
      </c>
    </row>
    <row r="1604" spans="1:16">
      <c r="A1604" s="50" t="s">
        <v>1778</v>
      </c>
      <c r="B1604" s="50" t="s">
        <v>1785</v>
      </c>
      <c r="C1604" s="50" t="s">
        <v>256</v>
      </c>
      <c r="D1604" s="50">
        <v>50</v>
      </c>
      <c r="E1604" s="50" t="s">
        <v>1786</v>
      </c>
      <c r="F1604" s="50" t="s">
        <v>781</v>
      </c>
      <c r="G1604" s="50" t="s">
        <v>256</v>
      </c>
      <c r="H1604" s="50">
        <v>8</v>
      </c>
      <c r="M1604" t="str">
        <f>IF(COUNTIF($A:$A,E1604)=0,"Not Exists","Exists")</f>
        <v>Not Exists</v>
      </c>
      <c r="N1604" t="str">
        <f t="shared" si="79"/>
        <v>Exists</v>
      </c>
      <c r="O1604" t="str">
        <f t="shared" ref="O1604:O1667" si="80">IF(COUNTIF($E:$E,A1604)=0,"Not Exists","Exists")</f>
        <v>Exists</v>
      </c>
      <c r="P1604" t="str">
        <f t="shared" ref="P1604:P1667" si="81">IF(COUNTIF($F:$F,B1604)=0,"Not Exists","Exists")</f>
        <v>Exists</v>
      </c>
    </row>
    <row r="1605" spans="1:16">
      <c r="A1605" s="50" t="s">
        <v>1778</v>
      </c>
      <c r="B1605" s="50" t="s">
        <v>1787</v>
      </c>
      <c r="C1605" s="50" t="s">
        <v>256</v>
      </c>
      <c r="D1605" s="50">
        <v>50</v>
      </c>
      <c r="E1605" s="50" t="s">
        <v>1786</v>
      </c>
      <c r="F1605" s="50" t="s">
        <v>780</v>
      </c>
      <c r="G1605" s="50" t="s">
        <v>256</v>
      </c>
      <c r="H1605" s="50">
        <v>20</v>
      </c>
      <c r="M1605" t="str">
        <f>IF(COUNTIF($A:$A,E1605)=0,"Not Exists","Exists")</f>
        <v>Not Exists</v>
      </c>
      <c r="N1605" t="str">
        <f t="shared" si="79"/>
        <v>Exists</v>
      </c>
      <c r="O1605" t="str">
        <f t="shared" si="80"/>
        <v>Exists</v>
      </c>
      <c r="P1605" t="str">
        <f t="shared" si="81"/>
        <v>Exists</v>
      </c>
    </row>
    <row r="1606" spans="1:16">
      <c r="A1606" s="50" t="s">
        <v>1778</v>
      </c>
      <c r="B1606" s="50" t="s">
        <v>1788</v>
      </c>
      <c r="C1606" s="50" t="s">
        <v>251</v>
      </c>
      <c r="D1606" s="50">
        <v>1</v>
      </c>
      <c r="E1606" s="50" t="s">
        <v>1786</v>
      </c>
      <c r="F1606" s="50" t="s">
        <v>1395</v>
      </c>
      <c r="G1606" s="50" t="s">
        <v>256</v>
      </c>
      <c r="H1606" s="50">
        <v>1</v>
      </c>
      <c r="M1606" t="str">
        <f>IF(COUNTIF($A:$A,E1606)=0,"Not Exists","Exists")</f>
        <v>Not Exists</v>
      </c>
      <c r="N1606" t="str">
        <f t="shared" si="79"/>
        <v>Not Exists</v>
      </c>
      <c r="O1606" t="str">
        <f t="shared" si="80"/>
        <v>Exists</v>
      </c>
      <c r="P1606" t="str">
        <f t="shared" si="81"/>
        <v>Exists</v>
      </c>
    </row>
    <row r="1607" spans="1:16">
      <c r="A1607" s="50" t="s">
        <v>1778</v>
      </c>
      <c r="B1607" s="50" t="s">
        <v>1789</v>
      </c>
      <c r="C1607" s="50" t="s">
        <v>256</v>
      </c>
      <c r="D1607" s="50">
        <v>3000</v>
      </c>
      <c r="E1607" s="50" t="s">
        <v>1786</v>
      </c>
      <c r="F1607" s="50" t="s">
        <v>1397</v>
      </c>
      <c r="G1607" s="50" t="s">
        <v>256</v>
      </c>
      <c r="H1607" s="50">
        <v>2</v>
      </c>
      <c r="M1607" t="str">
        <f>IF(COUNTIF($A:$A,E1607)=0,"Not Exists","Exists")</f>
        <v>Not Exists</v>
      </c>
      <c r="N1607" t="str">
        <f t="shared" si="79"/>
        <v>Not Exists</v>
      </c>
      <c r="O1607" t="str">
        <f t="shared" si="80"/>
        <v>Exists</v>
      </c>
      <c r="P1607" t="str">
        <f t="shared" si="81"/>
        <v>Exists</v>
      </c>
    </row>
    <row r="1608" spans="1:16">
      <c r="A1608" s="50" t="s">
        <v>1778</v>
      </c>
      <c r="B1608" s="50" t="s">
        <v>1790</v>
      </c>
      <c r="C1608" s="50" t="s">
        <v>256</v>
      </c>
      <c r="D1608" s="50">
        <v>450</v>
      </c>
      <c r="E1608" s="50" t="s">
        <v>1786</v>
      </c>
      <c r="F1608" s="50" t="s">
        <v>796</v>
      </c>
      <c r="G1608" s="50" t="s">
        <v>254</v>
      </c>
      <c r="H1608" s="50">
        <v>22</v>
      </c>
      <c r="M1608" t="str">
        <f>IF(COUNTIF($A:$A,E1608)=0,"Not Exists","Exists")</f>
        <v>Not Exists</v>
      </c>
      <c r="N1608" t="str">
        <f t="shared" si="79"/>
        <v>Exists</v>
      </c>
      <c r="O1608" t="str">
        <f t="shared" si="80"/>
        <v>Exists</v>
      </c>
      <c r="P1608" t="str">
        <f t="shared" si="81"/>
        <v>Exists</v>
      </c>
    </row>
    <row r="1609" spans="1:16">
      <c r="A1609" s="50" t="s">
        <v>1778</v>
      </c>
      <c r="B1609" s="50" t="s">
        <v>1791</v>
      </c>
      <c r="C1609" s="50" t="s">
        <v>256</v>
      </c>
      <c r="D1609" s="50">
        <v>3000</v>
      </c>
      <c r="E1609" s="50" t="s">
        <v>1786</v>
      </c>
      <c r="F1609" s="50" t="s">
        <v>424</v>
      </c>
      <c r="G1609" s="50" t="s">
        <v>256</v>
      </c>
      <c r="H1609" s="50">
        <v>60</v>
      </c>
      <c r="M1609" t="str">
        <f>IF(COUNTIF($A:$A,E1609)=0,"Not Exists","Exists")</f>
        <v>Not Exists</v>
      </c>
      <c r="N1609" t="str">
        <f t="shared" si="79"/>
        <v>Exists</v>
      </c>
      <c r="O1609" t="str">
        <f t="shared" si="80"/>
        <v>Exists</v>
      </c>
      <c r="P1609" t="str">
        <f t="shared" si="81"/>
        <v>Exists</v>
      </c>
    </row>
    <row r="1610" spans="1:16">
      <c r="A1610" s="50" t="s">
        <v>1778</v>
      </c>
      <c r="B1610" s="50" t="s">
        <v>1792</v>
      </c>
      <c r="C1610" s="50" t="s">
        <v>256</v>
      </c>
      <c r="D1610" s="50">
        <v>50</v>
      </c>
      <c r="E1610" s="50" t="s">
        <v>1786</v>
      </c>
      <c r="F1610" s="50" t="s">
        <v>1401</v>
      </c>
      <c r="G1610" s="50" t="s">
        <v>256</v>
      </c>
      <c r="H1610" s="50">
        <v>3</v>
      </c>
      <c r="M1610" t="str">
        <f>IF(COUNTIF($A:$A,E1610)=0,"Not Exists","Exists")</f>
        <v>Not Exists</v>
      </c>
      <c r="N1610" t="str">
        <f t="shared" si="79"/>
        <v>Not Exists</v>
      </c>
      <c r="O1610" t="str">
        <f t="shared" si="80"/>
        <v>Exists</v>
      </c>
      <c r="P1610" t="str">
        <f t="shared" si="81"/>
        <v>Exists</v>
      </c>
    </row>
    <row r="1611" spans="1:16">
      <c r="A1611" s="50" t="s">
        <v>1793</v>
      </c>
      <c r="B1611" s="50" t="s">
        <v>1794</v>
      </c>
      <c r="C1611" s="50" t="s">
        <v>256</v>
      </c>
      <c r="D1611" s="50">
        <v>50</v>
      </c>
      <c r="E1611" s="50" t="s">
        <v>1786</v>
      </c>
      <c r="F1611" s="50" t="s">
        <v>430</v>
      </c>
      <c r="G1611" s="50" t="s">
        <v>256</v>
      </c>
      <c r="H1611" s="50">
        <v>50</v>
      </c>
      <c r="M1611" t="str">
        <f>IF(COUNTIF($A:$A,E1611)=0,"Not Exists","Exists")</f>
        <v>Not Exists</v>
      </c>
      <c r="N1611" t="str">
        <f t="shared" si="79"/>
        <v>Exists</v>
      </c>
      <c r="O1611" t="str">
        <f t="shared" si="80"/>
        <v>Exists</v>
      </c>
      <c r="P1611" t="str">
        <f t="shared" si="81"/>
        <v>Exists</v>
      </c>
    </row>
    <row r="1612" spans="1:16">
      <c r="A1612" s="50" t="s">
        <v>1793</v>
      </c>
      <c r="B1612" s="50" t="s">
        <v>1795</v>
      </c>
      <c r="C1612" s="50" t="s">
        <v>256</v>
      </c>
      <c r="D1612" s="50">
        <v>50</v>
      </c>
      <c r="E1612" s="50" t="s">
        <v>1786</v>
      </c>
      <c r="F1612" s="50" t="s">
        <v>1405</v>
      </c>
      <c r="G1612" s="50" t="s">
        <v>256</v>
      </c>
      <c r="H1612" s="50">
        <v>9</v>
      </c>
      <c r="M1612" t="str">
        <f>IF(COUNTIF($A:$A,E1612)=0,"Not Exists","Exists")</f>
        <v>Not Exists</v>
      </c>
      <c r="N1612" t="str">
        <f t="shared" si="79"/>
        <v>Not Exists</v>
      </c>
      <c r="O1612" t="str">
        <f t="shared" si="80"/>
        <v>Exists</v>
      </c>
      <c r="P1612" t="str">
        <f t="shared" si="81"/>
        <v>Not Exists</v>
      </c>
    </row>
    <row r="1613" spans="1:16">
      <c r="A1613" s="50" t="s">
        <v>1793</v>
      </c>
      <c r="B1613" s="50" t="s">
        <v>1796</v>
      </c>
      <c r="C1613" s="50" t="s">
        <v>251</v>
      </c>
      <c r="D1613" s="50">
        <v>17</v>
      </c>
      <c r="E1613" s="50" t="s">
        <v>1786</v>
      </c>
      <c r="F1613" s="50" t="s">
        <v>704</v>
      </c>
      <c r="G1613" s="50" t="s">
        <v>256</v>
      </c>
      <c r="H1613" s="50">
        <v>9</v>
      </c>
      <c r="M1613" t="str">
        <f>IF(COUNTIF($A:$A,E1613)=0,"Not Exists","Exists")</f>
        <v>Not Exists</v>
      </c>
      <c r="N1613" t="str">
        <f t="shared" si="79"/>
        <v>Not Exists</v>
      </c>
      <c r="O1613" t="str">
        <f t="shared" si="80"/>
        <v>Exists</v>
      </c>
      <c r="P1613" t="str">
        <f t="shared" si="81"/>
        <v>Exists</v>
      </c>
    </row>
    <row r="1614" spans="1:16">
      <c r="A1614" s="50" t="s">
        <v>1793</v>
      </c>
      <c r="B1614" s="50" t="s">
        <v>1797</v>
      </c>
      <c r="C1614" s="50" t="s">
        <v>256</v>
      </c>
      <c r="D1614" s="50">
        <v>50</v>
      </c>
      <c r="E1614" s="50" t="s">
        <v>1786</v>
      </c>
      <c r="F1614" s="50" t="s">
        <v>1408</v>
      </c>
      <c r="G1614" s="50" t="s">
        <v>256</v>
      </c>
      <c r="H1614" s="50">
        <v>17</v>
      </c>
      <c r="M1614" t="str">
        <f>IF(COUNTIF($A:$A,E1614)=0,"Not Exists","Exists")</f>
        <v>Not Exists</v>
      </c>
      <c r="N1614" t="str">
        <f t="shared" si="79"/>
        <v>Not Exists</v>
      </c>
      <c r="O1614" t="str">
        <f t="shared" si="80"/>
        <v>Exists</v>
      </c>
      <c r="P1614" t="str">
        <f t="shared" si="81"/>
        <v>Exists</v>
      </c>
    </row>
    <row r="1615" spans="1:16">
      <c r="A1615" s="50" t="s">
        <v>1793</v>
      </c>
      <c r="B1615" s="50" t="s">
        <v>1798</v>
      </c>
      <c r="C1615" s="50" t="s">
        <v>251</v>
      </c>
      <c r="D1615" s="50">
        <v>17</v>
      </c>
      <c r="E1615" s="50" t="s">
        <v>1786</v>
      </c>
      <c r="F1615" s="50" t="s">
        <v>1410</v>
      </c>
      <c r="G1615" s="50" t="s">
        <v>256</v>
      </c>
      <c r="H1615" s="50">
        <v>4000</v>
      </c>
      <c r="M1615" t="str">
        <f>IF(COUNTIF($A:$A,E1615)=0,"Not Exists","Exists")</f>
        <v>Not Exists</v>
      </c>
      <c r="N1615" t="str">
        <f t="shared" si="79"/>
        <v>Not Exists</v>
      </c>
      <c r="O1615" t="str">
        <f t="shared" si="80"/>
        <v>Exists</v>
      </c>
      <c r="P1615" t="str">
        <f t="shared" si="81"/>
        <v>Exists</v>
      </c>
    </row>
    <row r="1616" spans="1:16">
      <c r="A1616" s="50" t="s">
        <v>1793</v>
      </c>
      <c r="B1616" s="50" t="s">
        <v>1799</v>
      </c>
      <c r="C1616" s="50" t="s">
        <v>256</v>
      </c>
      <c r="D1616" s="50">
        <v>50</v>
      </c>
      <c r="E1616" s="50" t="s">
        <v>1786</v>
      </c>
      <c r="F1616" s="50" t="s">
        <v>1412</v>
      </c>
      <c r="G1616" s="50" t="s">
        <v>256</v>
      </c>
      <c r="H1616" s="50">
        <v>4000</v>
      </c>
      <c r="M1616" t="str">
        <f>IF(COUNTIF($A:$A,E1616)=0,"Not Exists","Exists")</f>
        <v>Not Exists</v>
      </c>
      <c r="N1616" t="str">
        <f t="shared" si="79"/>
        <v>Not Exists</v>
      </c>
      <c r="O1616" t="str">
        <f t="shared" si="80"/>
        <v>Exists</v>
      </c>
      <c r="P1616" t="str">
        <f t="shared" si="81"/>
        <v>Exists</v>
      </c>
    </row>
    <row r="1617" spans="1:16">
      <c r="A1617" s="50" t="s">
        <v>1793</v>
      </c>
      <c r="B1617" s="50" t="s">
        <v>1800</v>
      </c>
      <c r="C1617" s="50" t="s">
        <v>256</v>
      </c>
      <c r="D1617" s="50">
        <v>450</v>
      </c>
      <c r="E1617" s="50" t="s">
        <v>1786</v>
      </c>
      <c r="F1617" s="50" t="s">
        <v>1414</v>
      </c>
      <c r="G1617" s="50" t="s">
        <v>256</v>
      </c>
      <c r="H1617" s="50">
        <v>4000</v>
      </c>
      <c r="M1617" t="str">
        <f>IF(COUNTIF($A:$A,E1617)=0,"Not Exists","Exists")</f>
        <v>Not Exists</v>
      </c>
      <c r="N1617" t="str">
        <f t="shared" si="79"/>
        <v>Not Exists</v>
      </c>
      <c r="O1617" t="str">
        <f t="shared" si="80"/>
        <v>Exists</v>
      </c>
      <c r="P1617" t="str">
        <f t="shared" si="81"/>
        <v>Exists</v>
      </c>
    </row>
    <row r="1618" spans="1:16">
      <c r="A1618" s="50" t="s">
        <v>1793</v>
      </c>
      <c r="B1618" s="50" t="s">
        <v>1801</v>
      </c>
      <c r="C1618" s="50" t="s">
        <v>256</v>
      </c>
      <c r="D1618" s="50">
        <v>50</v>
      </c>
      <c r="E1618" s="50" t="s">
        <v>1802</v>
      </c>
      <c r="F1618" s="50" t="s">
        <v>781</v>
      </c>
      <c r="G1618" s="50" t="s">
        <v>256</v>
      </c>
      <c r="H1618" s="50">
        <v>8</v>
      </c>
      <c r="M1618" t="str">
        <f>IF(COUNTIF($A:$A,E1618)=0,"Not Exists","Exists")</f>
        <v>Not Exists</v>
      </c>
      <c r="N1618" t="str">
        <f t="shared" si="79"/>
        <v>Exists</v>
      </c>
      <c r="O1618" t="str">
        <f t="shared" si="80"/>
        <v>Exists</v>
      </c>
      <c r="P1618" t="str">
        <f t="shared" si="81"/>
        <v>Exists</v>
      </c>
    </row>
    <row r="1619" spans="1:16">
      <c r="A1619" s="50" t="s">
        <v>1793</v>
      </c>
      <c r="B1619" s="50" t="s">
        <v>1803</v>
      </c>
      <c r="C1619" s="50" t="s">
        <v>251</v>
      </c>
      <c r="D1619" s="50">
        <v>1</v>
      </c>
      <c r="E1619" s="50" t="s">
        <v>1802</v>
      </c>
      <c r="F1619" s="50" t="s">
        <v>780</v>
      </c>
      <c r="G1619" s="50" t="s">
        <v>256</v>
      </c>
      <c r="H1619" s="50">
        <v>20</v>
      </c>
      <c r="M1619" t="str">
        <f>IF(COUNTIF($A:$A,E1619)=0,"Not Exists","Exists")</f>
        <v>Not Exists</v>
      </c>
      <c r="N1619" t="str">
        <f t="shared" si="79"/>
        <v>Exists</v>
      </c>
      <c r="O1619" t="str">
        <f t="shared" si="80"/>
        <v>Exists</v>
      </c>
      <c r="P1619" t="str">
        <f t="shared" si="81"/>
        <v>Exists</v>
      </c>
    </row>
    <row r="1620" spans="1:16">
      <c r="A1620" s="50" t="s">
        <v>1793</v>
      </c>
      <c r="B1620" s="50" t="s">
        <v>1804</v>
      </c>
      <c r="C1620" s="50" t="s">
        <v>251</v>
      </c>
      <c r="D1620" s="50">
        <v>1</v>
      </c>
      <c r="E1620" s="50" t="s">
        <v>1802</v>
      </c>
      <c r="F1620" s="50" t="s">
        <v>1395</v>
      </c>
      <c r="G1620" s="50" t="s">
        <v>256</v>
      </c>
      <c r="H1620" s="50">
        <v>1</v>
      </c>
      <c r="M1620" t="str">
        <f>IF(COUNTIF($A:$A,E1620)=0,"Not Exists","Exists")</f>
        <v>Not Exists</v>
      </c>
      <c r="N1620" t="str">
        <f t="shared" si="79"/>
        <v>Not Exists</v>
      </c>
      <c r="O1620" t="str">
        <f t="shared" si="80"/>
        <v>Exists</v>
      </c>
      <c r="P1620" t="str">
        <f t="shared" si="81"/>
        <v>Exists</v>
      </c>
    </row>
    <row r="1621" spans="1:16">
      <c r="A1621" s="50" t="s">
        <v>1793</v>
      </c>
      <c r="B1621" s="50" t="s">
        <v>1805</v>
      </c>
      <c r="C1621" s="50" t="s">
        <v>251</v>
      </c>
      <c r="D1621" s="50">
        <v>1</v>
      </c>
      <c r="E1621" s="50" t="s">
        <v>1802</v>
      </c>
      <c r="F1621" s="50" t="s">
        <v>1397</v>
      </c>
      <c r="G1621" s="50" t="s">
        <v>256</v>
      </c>
      <c r="H1621" s="50">
        <v>2</v>
      </c>
      <c r="M1621" t="str">
        <f>IF(COUNTIF($A:$A,E1621)=0,"Not Exists","Exists")</f>
        <v>Not Exists</v>
      </c>
      <c r="N1621" t="str">
        <f t="shared" si="79"/>
        <v>Not Exists</v>
      </c>
      <c r="O1621" t="str">
        <f t="shared" si="80"/>
        <v>Exists</v>
      </c>
      <c r="P1621" t="str">
        <f t="shared" si="81"/>
        <v>Exists</v>
      </c>
    </row>
    <row r="1622" spans="1:16">
      <c r="A1622" s="50" t="s">
        <v>1793</v>
      </c>
      <c r="B1622" s="50" t="s">
        <v>1806</v>
      </c>
      <c r="C1622" s="50" t="s">
        <v>256</v>
      </c>
      <c r="D1622" s="50">
        <v>50</v>
      </c>
      <c r="E1622" s="50" t="s">
        <v>1802</v>
      </c>
      <c r="F1622" s="50" t="s">
        <v>796</v>
      </c>
      <c r="G1622" s="50" t="s">
        <v>254</v>
      </c>
      <c r="H1622" s="50">
        <v>22</v>
      </c>
      <c r="M1622" t="str">
        <f>IF(COUNTIF($A:$A,E1622)=0,"Not Exists","Exists")</f>
        <v>Not Exists</v>
      </c>
      <c r="N1622" t="str">
        <f t="shared" si="79"/>
        <v>Exists</v>
      </c>
      <c r="O1622" t="str">
        <f t="shared" si="80"/>
        <v>Exists</v>
      </c>
      <c r="P1622" t="str">
        <f t="shared" si="81"/>
        <v>Exists</v>
      </c>
    </row>
    <row r="1623" spans="1:16">
      <c r="A1623" s="50" t="s">
        <v>1793</v>
      </c>
      <c r="B1623" s="50" t="s">
        <v>1807</v>
      </c>
      <c r="C1623" s="50" t="s">
        <v>256</v>
      </c>
      <c r="D1623" s="50">
        <v>50</v>
      </c>
      <c r="E1623" s="50" t="s">
        <v>1802</v>
      </c>
      <c r="F1623" s="50" t="s">
        <v>424</v>
      </c>
      <c r="G1623" s="50" t="s">
        <v>256</v>
      </c>
      <c r="H1623" s="50">
        <v>60</v>
      </c>
      <c r="M1623" t="str">
        <f>IF(COUNTIF($A:$A,E1623)=0,"Not Exists","Exists")</f>
        <v>Not Exists</v>
      </c>
      <c r="N1623" t="str">
        <f t="shared" si="79"/>
        <v>Exists</v>
      </c>
      <c r="O1623" t="str">
        <f t="shared" si="80"/>
        <v>Exists</v>
      </c>
      <c r="P1623" t="str">
        <f t="shared" si="81"/>
        <v>Exists</v>
      </c>
    </row>
    <row r="1624" spans="1:16">
      <c r="A1624" s="50" t="s">
        <v>1793</v>
      </c>
      <c r="B1624" s="50" t="s">
        <v>1808</v>
      </c>
      <c r="C1624" s="50" t="s">
        <v>251</v>
      </c>
      <c r="D1624" s="50">
        <v>1</v>
      </c>
      <c r="E1624" s="50" t="s">
        <v>1802</v>
      </c>
      <c r="F1624" s="50" t="s">
        <v>1401</v>
      </c>
      <c r="G1624" s="50" t="s">
        <v>256</v>
      </c>
      <c r="H1624" s="50">
        <v>3</v>
      </c>
      <c r="M1624" t="str">
        <f>IF(COUNTIF($A:$A,E1624)=0,"Not Exists","Exists")</f>
        <v>Not Exists</v>
      </c>
      <c r="N1624" t="str">
        <f t="shared" si="79"/>
        <v>Not Exists</v>
      </c>
      <c r="O1624" t="str">
        <f t="shared" si="80"/>
        <v>Exists</v>
      </c>
      <c r="P1624" t="str">
        <f t="shared" si="81"/>
        <v>Exists</v>
      </c>
    </row>
    <row r="1625" spans="1:16">
      <c r="A1625" s="50" t="s">
        <v>1809</v>
      </c>
      <c r="B1625" s="50" t="s">
        <v>1810</v>
      </c>
      <c r="C1625" s="50" t="s">
        <v>256</v>
      </c>
      <c r="D1625" s="50">
        <v>50</v>
      </c>
      <c r="E1625" s="50" t="s">
        <v>1802</v>
      </c>
      <c r="F1625" s="50" t="s">
        <v>430</v>
      </c>
      <c r="G1625" s="50" t="s">
        <v>256</v>
      </c>
      <c r="H1625" s="50">
        <v>50</v>
      </c>
      <c r="M1625" t="str">
        <f>IF(COUNTIF($A:$A,E1625)=0,"Not Exists","Exists")</f>
        <v>Not Exists</v>
      </c>
      <c r="N1625" t="str">
        <f t="shared" si="79"/>
        <v>Exists</v>
      </c>
      <c r="O1625" t="str">
        <f t="shared" si="80"/>
        <v>Exists</v>
      </c>
      <c r="P1625" t="str">
        <f t="shared" si="81"/>
        <v>Exists</v>
      </c>
    </row>
    <row r="1626" spans="1:16">
      <c r="A1626" s="50" t="s">
        <v>1809</v>
      </c>
      <c r="B1626" s="50" t="s">
        <v>1811</v>
      </c>
      <c r="C1626" s="50" t="s">
        <v>256</v>
      </c>
      <c r="D1626" s="50">
        <v>50</v>
      </c>
      <c r="E1626" s="50" t="s">
        <v>1802</v>
      </c>
      <c r="F1626" s="50" t="s">
        <v>1405</v>
      </c>
      <c r="G1626" s="50" t="s">
        <v>256</v>
      </c>
      <c r="H1626" s="50">
        <v>9</v>
      </c>
      <c r="M1626" t="str">
        <f>IF(COUNTIF($A:$A,E1626)=0,"Not Exists","Exists")</f>
        <v>Not Exists</v>
      </c>
      <c r="N1626" t="str">
        <f t="shared" si="79"/>
        <v>Not Exists</v>
      </c>
      <c r="O1626" t="str">
        <f t="shared" si="80"/>
        <v>Exists</v>
      </c>
      <c r="P1626" t="str">
        <f t="shared" si="81"/>
        <v>Not Exists</v>
      </c>
    </row>
    <row r="1627" spans="1:16">
      <c r="A1627" s="50" t="s">
        <v>1809</v>
      </c>
      <c r="B1627" s="50" t="s">
        <v>1812</v>
      </c>
      <c r="C1627" s="50" t="s">
        <v>251</v>
      </c>
      <c r="D1627" s="50">
        <v>17</v>
      </c>
      <c r="E1627" s="50" t="s">
        <v>1802</v>
      </c>
      <c r="F1627" s="50" t="s">
        <v>704</v>
      </c>
      <c r="G1627" s="50" t="s">
        <v>256</v>
      </c>
      <c r="H1627" s="50">
        <v>9</v>
      </c>
      <c r="M1627" t="str">
        <f>IF(COUNTIF($A:$A,E1627)=0,"Not Exists","Exists")</f>
        <v>Not Exists</v>
      </c>
      <c r="N1627" t="str">
        <f t="shared" si="79"/>
        <v>Not Exists</v>
      </c>
      <c r="O1627" t="str">
        <f t="shared" si="80"/>
        <v>Exists</v>
      </c>
      <c r="P1627" t="str">
        <f t="shared" si="81"/>
        <v>Exists</v>
      </c>
    </row>
    <row r="1628" spans="1:16">
      <c r="A1628" s="50" t="s">
        <v>1809</v>
      </c>
      <c r="B1628" s="50" t="s">
        <v>1813</v>
      </c>
      <c r="C1628" s="50" t="s">
        <v>256</v>
      </c>
      <c r="D1628" s="50">
        <v>50</v>
      </c>
      <c r="E1628" s="50" t="s">
        <v>1802</v>
      </c>
      <c r="F1628" s="50" t="s">
        <v>1408</v>
      </c>
      <c r="G1628" s="50" t="s">
        <v>256</v>
      </c>
      <c r="H1628" s="50">
        <v>17</v>
      </c>
      <c r="M1628" t="str">
        <f>IF(COUNTIF($A:$A,E1628)=0,"Not Exists","Exists")</f>
        <v>Not Exists</v>
      </c>
      <c r="N1628" t="str">
        <f t="shared" si="79"/>
        <v>Not Exists</v>
      </c>
      <c r="O1628" t="str">
        <f t="shared" si="80"/>
        <v>Exists</v>
      </c>
      <c r="P1628" t="str">
        <f t="shared" si="81"/>
        <v>Exists</v>
      </c>
    </row>
    <row r="1629" spans="1:16">
      <c r="A1629" s="50" t="s">
        <v>1809</v>
      </c>
      <c r="B1629" s="50" t="s">
        <v>1814</v>
      </c>
      <c r="C1629" s="50" t="s">
        <v>251</v>
      </c>
      <c r="D1629" s="50">
        <v>17</v>
      </c>
      <c r="E1629" s="50" t="s">
        <v>1802</v>
      </c>
      <c r="F1629" s="50" t="s">
        <v>1410</v>
      </c>
      <c r="G1629" s="50" t="s">
        <v>256</v>
      </c>
      <c r="H1629" s="50">
        <v>4000</v>
      </c>
      <c r="M1629" t="str">
        <f>IF(COUNTIF($A:$A,E1629)=0,"Not Exists","Exists")</f>
        <v>Not Exists</v>
      </c>
      <c r="N1629" t="str">
        <f t="shared" si="79"/>
        <v>Not Exists</v>
      </c>
      <c r="O1629" t="str">
        <f t="shared" si="80"/>
        <v>Exists</v>
      </c>
      <c r="P1629" t="str">
        <f t="shared" si="81"/>
        <v>Exists</v>
      </c>
    </row>
    <row r="1630" spans="1:16">
      <c r="A1630" s="50" t="s">
        <v>1809</v>
      </c>
      <c r="B1630" s="50" t="s">
        <v>1815</v>
      </c>
      <c r="C1630" s="50" t="s">
        <v>256</v>
      </c>
      <c r="D1630" s="50">
        <v>50</v>
      </c>
      <c r="E1630" s="50" t="s">
        <v>1802</v>
      </c>
      <c r="F1630" s="50" t="s">
        <v>1412</v>
      </c>
      <c r="G1630" s="50" t="s">
        <v>256</v>
      </c>
      <c r="H1630" s="50">
        <v>4000</v>
      </c>
      <c r="M1630" t="str">
        <f>IF(COUNTIF($A:$A,E1630)=0,"Not Exists","Exists")</f>
        <v>Not Exists</v>
      </c>
      <c r="N1630" t="str">
        <f t="shared" si="79"/>
        <v>Not Exists</v>
      </c>
      <c r="O1630" t="str">
        <f t="shared" si="80"/>
        <v>Exists</v>
      </c>
      <c r="P1630" t="str">
        <f t="shared" si="81"/>
        <v>Exists</v>
      </c>
    </row>
    <row r="1631" spans="1:16">
      <c r="A1631" s="50" t="s">
        <v>1809</v>
      </c>
      <c r="B1631" s="50" t="s">
        <v>1816</v>
      </c>
      <c r="C1631" s="50" t="s">
        <v>254</v>
      </c>
      <c r="D1631" s="50">
        <v>22</v>
      </c>
      <c r="E1631" s="50" t="s">
        <v>1802</v>
      </c>
      <c r="F1631" s="50" t="s">
        <v>1414</v>
      </c>
      <c r="G1631" s="50" t="s">
        <v>256</v>
      </c>
      <c r="H1631" s="50">
        <v>4000</v>
      </c>
      <c r="M1631" t="str">
        <f>IF(COUNTIF($A:$A,E1631)=0,"Not Exists","Exists")</f>
        <v>Not Exists</v>
      </c>
      <c r="N1631" t="str">
        <f t="shared" si="79"/>
        <v>Not Exists</v>
      </c>
      <c r="O1631" t="str">
        <f t="shared" si="80"/>
        <v>Exists</v>
      </c>
      <c r="P1631" t="str">
        <f t="shared" si="81"/>
        <v>Exists</v>
      </c>
    </row>
    <row r="1632" spans="1:16">
      <c r="A1632" s="50" t="s">
        <v>1809</v>
      </c>
      <c r="B1632" s="50" t="s">
        <v>1817</v>
      </c>
      <c r="C1632" s="50" t="s">
        <v>256</v>
      </c>
      <c r="D1632" s="50">
        <v>50</v>
      </c>
      <c r="E1632" s="50" t="s">
        <v>1818</v>
      </c>
      <c r="F1632" s="50" t="s">
        <v>781</v>
      </c>
      <c r="G1632" s="50" t="s">
        <v>256</v>
      </c>
      <c r="H1632" s="50">
        <v>8</v>
      </c>
      <c r="M1632" t="str">
        <f>IF(COUNTIF($A:$A,E1632)=0,"Not Exists","Exists")</f>
        <v>Not Exists</v>
      </c>
      <c r="N1632" t="str">
        <f t="shared" si="79"/>
        <v>Exists</v>
      </c>
      <c r="O1632" t="str">
        <f t="shared" si="80"/>
        <v>Exists</v>
      </c>
      <c r="P1632" t="str">
        <f t="shared" si="81"/>
        <v>Exists</v>
      </c>
    </row>
    <row r="1633" spans="1:16">
      <c r="A1633" s="50" t="s">
        <v>1809</v>
      </c>
      <c r="B1633" s="50" t="s">
        <v>1819</v>
      </c>
      <c r="C1633" s="50" t="s">
        <v>256</v>
      </c>
      <c r="D1633" s="50">
        <v>450</v>
      </c>
      <c r="E1633" s="50" t="s">
        <v>1818</v>
      </c>
      <c r="F1633" s="50" t="s">
        <v>780</v>
      </c>
      <c r="G1633" s="50" t="s">
        <v>256</v>
      </c>
      <c r="H1633" s="50">
        <v>20</v>
      </c>
      <c r="M1633" t="str">
        <f>IF(COUNTIF($A:$A,E1633)=0,"Not Exists","Exists")</f>
        <v>Not Exists</v>
      </c>
      <c r="N1633" t="str">
        <f t="shared" si="79"/>
        <v>Exists</v>
      </c>
      <c r="O1633" t="str">
        <f t="shared" si="80"/>
        <v>Exists</v>
      </c>
      <c r="P1633" t="str">
        <f t="shared" si="81"/>
        <v>Exists</v>
      </c>
    </row>
    <row r="1634" spans="1:16">
      <c r="A1634" s="50" t="s">
        <v>1809</v>
      </c>
      <c r="B1634" s="50" t="s">
        <v>1820</v>
      </c>
      <c r="C1634" s="50" t="s">
        <v>256</v>
      </c>
      <c r="D1634" s="50">
        <v>50</v>
      </c>
      <c r="E1634" s="50" t="s">
        <v>1818</v>
      </c>
      <c r="F1634" s="50" t="s">
        <v>1395</v>
      </c>
      <c r="G1634" s="50" t="s">
        <v>256</v>
      </c>
      <c r="H1634" s="50">
        <v>1</v>
      </c>
      <c r="M1634" t="str">
        <f>IF(COUNTIF($A:$A,E1634)=0,"Not Exists","Exists")</f>
        <v>Not Exists</v>
      </c>
      <c r="N1634" t="str">
        <f t="shared" si="79"/>
        <v>Not Exists</v>
      </c>
      <c r="O1634" t="str">
        <f t="shared" si="80"/>
        <v>Exists</v>
      </c>
      <c r="P1634" t="str">
        <f t="shared" si="81"/>
        <v>Exists</v>
      </c>
    </row>
    <row r="1635" spans="1:16">
      <c r="A1635" s="50" t="s">
        <v>1809</v>
      </c>
      <c r="B1635" s="50" t="s">
        <v>1821</v>
      </c>
      <c r="C1635" s="50" t="s">
        <v>256</v>
      </c>
      <c r="D1635" s="50">
        <v>50</v>
      </c>
      <c r="E1635" s="50" t="s">
        <v>1818</v>
      </c>
      <c r="F1635" s="50" t="s">
        <v>1397</v>
      </c>
      <c r="G1635" s="50" t="s">
        <v>256</v>
      </c>
      <c r="H1635" s="50">
        <v>2</v>
      </c>
      <c r="M1635" t="str">
        <f>IF(COUNTIF($A:$A,E1635)=0,"Not Exists","Exists")</f>
        <v>Not Exists</v>
      </c>
      <c r="N1635" t="str">
        <f t="shared" si="79"/>
        <v>Not Exists</v>
      </c>
      <c r="O1635" t="str">
        <f t="shared" si="80"/>
        <v>Exists</v>
      </c>
      <c r="P1635" t="str">
        <f t="shared" si="81"/>
        <v>Exists</v>
      </c>
    </row>
    <row r="1636" spans="1:16">
      <c r="A1636" s="50" t="s">
        <v>1809</v>
      </c>
      <c r="B1636" s="50" t="s">
        <v>1822</v>
      </c>
      <c r="C1636" s="50" t="s">
        <v>256</v>
      </c>
      <c r="D1636" s="50">
        <v>50</v>
      </c>
      <c r="E1636" s="50" t="s">
        <v>1818</v>
      </c>
      <c r="F1636" s="50" t="s">
        <v>796</v>
      </c>
      <c r="G1636" s="50" t="s">
        <v>254</v>
      </c>
      <c r="H1636" s="50">
        <v>22</v>
      </c>
      <c r="M1636" t="str">
        <f>IF(COUNTIF($A:$A,E1636)=0,"Not Exists","Exists")</f>
        <v>Not Exists</v>
      </c>
      <c r="N1636" t="str">
        <f t="shared" si="79"/>
        <v>Exists</v>
      </c>
      <c r="O1636" t="str">
        <f t="shared" si="80"/>
        <v>Exists</v>
      </c>
      <c r="P1636" t="str">
        <f t="shared" si="81"/>
        <v>Exists</v>
      </c>
    </row>
    <row r="1637" spans="1:16">
      <c r="A1637" s="50" t="s">
        <v>1809</v>
      </c>
      <c r="B1637" s="50" t="s">
        <v>1823</v>
      </c>
      <c r="C1637" s="50" t="s">
        <v>256</v>
      </c>
      <c r="D1637" s="50">
        <v>3000</v>
      </c>
      <c r="E1637" s="50" t="s">
        <v>1818</v>
      </c>
      <c r="F1637" s="50" t="s">
        <v>424</v>
      </c>
      <c r="G1637" s="50" t="s">
        <v>256</v>
      </c>
      <c r="H1637" s="50">
        <v>60</v>
      </c>
      <c r="M1637" t="str">
        <f>IF(COUNTIF($A:$A,E1637)=0,"Not Exists","Exists")</f>
        <v>Not Exists</v>
      </c>
      <c r="N1637" t="str">
        <f t="shared" si="79"/>
        <v>Exists</v>
      </c>
      <c r="O1637" t="str">
        <f t="shared" si="80"/>
        <v>Exists</v>
      </c>
      <c r="P1637" t="str">
        <f t="shared" si="81"/>
        <v>Exists</v>
      </c>
    </row>
    <row r="1638" spans="1:16">
      <c r="A1638" s="50" t="s">
        <v>1809</v>
      </c>
      <c r="B1638" s="50" t="s">
        <v>1824</v>
      </c>
      <c r="C1638" s="50" t="s">
        <v>256</v>
      </c>
      <c r="D1638" s="50">
        <v>450</v>
      </c>
      <c r="E1638" s="50" t="s">
        <v>1818</v>
      </c>
      <c r="F1638" s="50" t="s">
        <v>1401</v>
      </c>
      <c r="G1638" s="50" t="s">
        <v>256</v>
      </c>
      <c r="H1638" s="50">
        <v>3</v>
      </c>
      <c r="M1638" t="str">
        <f>IF(COUNTIF($A:$A,E1638)=0,"Not Exists","Exists")</f>
        <v>Not Exists</v>
      </c>
      <c r="N1638" t="str">
        <f t="shared" si="79"/>
        <v>Not Exists</v>
      </c>
      <c r="O1638" t="str">
        <f t="shared" si="80"/>
        <v>Exists</v>
      </c>
      <c r="P1638" t="str">
        <f t="shared" si="81"/>
        <v>Exists</v>
      </c>
    </row>
    <row r="1639" spans="1:16">
      <c r="A1639" s="50" t="s">
        <v>1809</v>
      </c>
      <c r="B1639" s="50" t="s">
        <v>1825</v>
      </c>
      <c r="C1639" s="50" t="s">
        <v>256</v>
      </c>
      <c r="D1639" s="50">
        <v>450</v>
      </c>
      <c r="E1639" s="50" t="s">
        <v>1818</v>
      </c>
      <c r="F1639" s="50" t="s">
        <v>430</v>
      </c>
      <c r="G1639" s="50" t="s">
        <v>256</v>
      </c>
      <c r="H1639" s="50">
        <v>50</v>
      </c>
      <c r="M1639" t="str">
        <f>IF(COUNTIF($A:$A,E1639)=0,"Not Exists","Exists")</f>
        <v>Not Exists</v>
      </c>
      <c r="N1639" t="str">
        <f t="shared" si="79"/>
        <v>Exists</v>
      </c>
      <c r="O1639" t="str">
        <f t="shared" si="80"/>
        <v>Exists</v>
      </c>
      <c r="P1639" t="str">
        <f t="shared" si="81"/>
        <v>Exists</v>
      </c>
    </row>
    <row r="1640" spans="1:16">
      <c r="A1640" s="50" t="s">
        <v>1809</v>
      </c>
      <c r="B1640" s="50" t="s">
        <v>1826</v>
      </c>
      <c r="C1640" s="50" t="s">
        <v>256</v>
      </c>
      <c r="D1640" s="50">
        <v>50</v>
      </c>
      <c r="E1640" s="50" t="s">
        <v>1818</v>
      </c>
      <c r="F1640" s="50" t="s">
        <v>1405</v>
      </c>
      <c r="G1640" s="50" t="s">
        <v>256</v>
      </c>
      <c r="H1640" s="50">
        <v>9</v>
      </c>
      <c r="M1640" t="str">
        <f>IF(COUNTIF($A:$A,E1640)=0,"Not Exists","Exists")</f>
        <v>Not Exists</v>
      </c>
      <c r="N1640" t="str">
        <f t="shared" si="79"/>
        <v>Not Exists</v>
      </c>
      <c r="O1640" t="str">
        <f t="shared" si="80"/>
        <v>Exists</v>
      </c>
      <c r="P1640" t="str">
        <f t="shared" si="81"/>
        <v>Exists</v>
      </c>
    </row>
    <row r="1641" spans="1:16">
      <c r="A1641" s="50" t="s">
        <v>1827</v>
      </c>
      <c r="B1641" s="50" t="s">
        <v>1828</v>
      </c>
      <c r="C1641" s="50" t="s">
        <v>256</v>
      </c>
      <c r="D1641" s="50">
        <v>50</v>
      </c>
      <c r="E1641" s="50" t="s">
        <v>1818</v>
      </c>
      <c r="F1641" s="50" t="s">
        <v>704</v>
      </c>
      <c r="G1641" s="50" t="s">
        <v>256</v>
      </c>
      <c r="H1641" s="50">
        <v>9</v>
      </c>
      <c r="M1641" t="str">
        <f>IF(COUNTIF($A:$A,E1641)=0,"Not Exists","Exists")</f>
        <v>Not Exists</v>
      </c>
      <c r="N1641" t="str">
        <f t="shared" si="79"/>
        <v>Not Exists</v>
      </c>
      <c r="O1641" t="str">
        <f t="shared" si="80"/>
        <v>Exists</v>
      </c>
      <c r="P1641" t="str">
        <f t="shared" si="81"/>
        <v>Exists</v>
      </c>
    </row>
    <row r="1642" spans="1:16">
      <c r="A1642" s="50" t="s">
        <v>1827</v>
      </c>
      <c r="B1642" s="50" t="s">
        <v>1829</v>
      </c>
      <c r="C1642" s="50" t="s">
        <v>256</v>
      </c>
      <c r="D1642" s="50">
        <v>50</v>
      </c>
      <c r="E1642" s="50" t="s">
        <v>1818</v>
      </c>
      <c r="F1642" s="50" t="s">
        <v>1408</v>
      </c>
      <c r="G1642" s="50" t="s">
        <v>256</v>
      </c>
      <c r="H1642" s="50">
        <v>17</v>
      </c>
      <c r="M1642" t="str">
        <f>IF(COUNTIF($A:$A,E1642)=0,"Not Exists","Exists")</f>
        <v>Not Exists</v>
      </c>
      <c r="N1642" t="str">
        <f t="shared" si="79"/>
        <v>Not Exists</v>
      </c>
      <c r="O1642" t="str">
        <f t="shared" si="80"/>
        <v>Exists</v>
      </c>
      <c r="P1642" t="str">
        <f t="shared" si="81"/>
        <v>Exists</v>
      </c>
    </row>
    <row r="1643" spans="1:16">
      <c r="A1643" s="50" t="s">
        <v>1827</v>
      </c>
      <c r="B1643" s="50" t="s">
        <v>1830</v>
      </c>
      <c r="C1643" s="50" t="s">
        <v>256</v>
      </c>
      <c r="D1643" s="50">
        <v>50</v>
      </c>
      <c r="E1643" s="50" t="s">
        <v>1818</v>
      </c>
      <c r="F1643" s="50" t="s">
        <v>1410</v>
      </c>
      <c r="G1643" s="50" t="s">
        <v>256</v>
      </c>
      <c r="H1643" s="50">
        <v>4000</v>
      </c>
      <c r="M1643" t="str">
        <f>IF(COUNTIF($A:$A,E1643)=0,"Not Exists","Exists")</f>
        <v>Not Exists</v>
      </c>
      <c r="N1643" t="str">
        <f t="shared" si="79"/>
        <v>Not Exists</v>
      </c>
      <c r="O1643" t="str">
        <f t="shared" si="80"/>
        <v>Exists</v>
      </c>
      <c r="P1643" t="str">
        <f t="shared" si="81"/>
        <v>Not Exists</v>
      </c>
    </row>
    <row r="1644" spans="1:16">
      <c r="A1644" s="50" t="s">
        <v>1827</v>
      </c>
      <c r="B1644" s="50" t="s">
        <v>1831</v>
      </c>
      <c r="C1644" s="50" t="s">
        <v>251</v>
      </c>
      <c r="D1644" s="50">
        <v>17</v>
      </c>
      <c r="E1644" s="50" t="s">
        <v>1818</v>
      </c>
      <c r="F1644" s="50" t="s">
        <v>1412</v>
      </c>
      <c r="G1644" s="50" t="s">
        <v>256</v>
      </c>
      <c r="H1644" s="50">
        <v>4000</v>
      </c>
      <c r="M1644" t="str">
        <f>IF(COUNTIF($A:$A,E1644)=0,"Not Exists","Exists")</f>
        <v>Not Exists</v>
      </c>
      <c r="N1644" t="str">
        <f t="shared" si="79"/>
        <v>Not Exists</v>
      </c>
      <c r="O1644" t="str">
        <f t="shared" si="80"/>
        <v>Exists</v>
      </c>
      <c r="P1644" t="str">
        <f t="shared" si="81"/>
        <v>Exists</v>
      </c>
    </row>
    <row r="1645" spans="1:16">
      <c r="A1645" s="50" t="s">
        <v>1827</v>
      </c>
      <c r="B1645" s="50" t="s">
        <v>1832</v>
      </c>
      <c r="C1645" s="50" t="s">
        <v>256</v>
      </c>
      <c r="D1645" s="50">
        <v>50</v>
      </c>
      <c r="E1645" s="50" t="s">
        <v>1818</v>
      </c>
      <c r="F1645" s="50" t="s">
        <v>1414</v>
      </c>
      <c r="G1645" s="50" t="s">
        <v>256</v>
      </c>
      <c r="H1645" s="50">
        <v>4000</v>
      </c>
      <c r="M1645" t="str">
        <f>IF(COUNTIF($A:$A,E1645)=0,"Not Exists","Exists")</f>
        <v>Not Exists</v>
      </c>
      <c r="N1645" t="str">
        <f t="shared" si="79"/>
        <v>Not Exists</v>
      </c>
      <c r="O1645" t="str">
        <f t="shared" si="80"/>
        <v>Exists</v>
      </c>
      <c r="P1645" t="str">
        <f t="shared" si="81"/>
        <v>Exists</v>
      </c>
    </row>
    <row r="1646" spans="1:16">
      <c r="A1646" s="50" t="s">
        <v>1827</v>
      </c>
      <c r="B1646" s="50" t="s">
        <v>1833</v>
      </c>
      <c r="C1646" s="50" t="s">
        <v>251</v>
      </c>
      <c r="D1646" s="50">
        <v>17</v>
      </c>
      <c r="E1646" s="50" t="s">
        <v>1834</v>
      </c>
      <c r="F1646" s="50" t="s">
        <v>781</v>
      </c>
      <c r="G1646" s="50" t="s">
        <v>256</v>
      </c>
      <c r="H1646" s="50">
        <v>8</v>
      </c>
      <c r="M1646" t="str">
        <f>IF(COUNTIF($A:$A,E1646)=0,"Not Exists","Exists")</f>
        <v>Not Exists</v>
      </c>
      <c r="N1646" t="str">
        <f t="shared" si="79"/>
        <v>Exists</v>
      </c>
      <c r="O1646" t="str">
        <f t="shared" si="80"/>
        <v>Exists</v>
      </c>
      <c r="P1646" t="str">
        <f t="shared" si="81"/>
        <v>Exists</v>
      </c>
    </row>
    <row r="1647" spans="1:16">
      <c r="A1647" s="50" t="s">
        <v>1827</v>
      </c>
      <c r="B1647" s="50" t="s">
        <v>1835</v>
      </c>
      <c r="C1647" s="50" t="s">
        <v>256</v>
      </c>
      <c r="D1647" s="50">
        <v>50</v>
      </c>
      <c r="E1647" s="50" t="s">
        <v>1834</v>
      </c>
      <c r="F1647" s="50" t="s">
        <v>780</v>
      </c>
      <c r="G1647" s="50" t="s">
        <v>256</v>
      </c>
      <c r="H1647" s="50">
        <v>20</v>
      </c>
      <c r="M1647" t="str">
        <f>IF(COUNTIF($A:$A,E1647)=0,"Not Exists","Exists")</f>
        <v>Not Exists</v>
      </c>
      <c r="N1647" t="str">
        <f t="shared" si="79"/>
        <v>Exists</v>
      </c>
      <c r="O1647" t="str">
        <f t="shared" si="80"/>
        <v>Exists</v>
      </c>
      <c r="P1647" t="str">
        <f t="shared" si="81"/>
        <v>Exists</v>
      </c>
    </row>
    <row r="1648" spans="1:16">
      <c r="A1648" s="50" t="s">
        <v>1827</v>
      </c>
      <c r="B1648" s="50" t="s">
        <v>1836</v>
      </c>
      <c r="C1648" s="50" t="s">
        <v>256</v>
      </c>
      <c r="D1648" s="50">
        <v>450</v>
      </c>
      <c r="E1648" s="50" t="s">
        <v>1834</v>
      </c>
      <c r="F1648" s="50" t="s">
        <v>1395</v>
      </c>
      <c r="G1648" s="50" t="s">
        <v>256</v>
      </c>
      <c r="H1648" s="50">
        <v>1</v>
      </c>
      <c r="M1648" t="str">
        <f>IF(COUNTIF($A:$A,E1648)=0,"Not Exists","Exists")</f>
        <v>Not Exists</v>
      </c>
      <c r="N1648" t="str">
        <f t="shared" si="79"/>
        <v>Not Exists</v>
      </c>
      <c r="O1648" t="str">
        <f t="shared" si="80"/>
        <v>Exists</v>
      </c>
      <c r="P1648" t="str">
        <f t="shared" si="81"/>
        <v>Exists</v>
      </c>
    </row>
    <row r="1649" spans="1:16">
      <c r="A1649" s="50" t="s">
        <v>1827</v>
      </c>
      <c r="B1649" s="50" t="s">
        <v>1837</v>
      </c>
      <c r="C1649" s="50" t="s">
        <v>251</v>
      </c>
      <c r="D1649" s="50">
        <v>1</v>
      </c>
      <c r="E1649" s="50" t="s">
        <v>1834</v>
      </c>
      <c r="F1649" s="50" t="s">
        <v>1397</v>
      </c>
      <c r="G1649" s="50" t="s">
        <v>256</v>
      </c>
      <c r="H1649" s="50">
        <v>2</v>
      </c>
      <c r="M1649" t="str">
        <f>IF(COUNTIF($A:$A,E1649)=0,"Not Exists","Exists")</f>
        <v>Not Exists</v>
      </c>
      <c r="N1649" t="str">
        <f t="shared" si="79"/>
        <v>Not Exists</v>
      </c>
      <c r="O1649" t="str">
        <f t="shared" si="80"/>
        <v>Exists</v>
      </c>
      <c r="P1649" t="str">
        <f t="shared" si="81"/>
        <v>Exists</v>
      </c>
    </row>
    <row r="1650" spans="1:16">
      <c r="A1650" s="50" t="s">
        <v>1838</v>
      </c>
      <c r="B1650" s="50" t="s">
        <v>1839</v>
      </c>
      <c r="C1650" s="50" t="s">
        <v>256</v>
      </c>
      <c r="D1650" s="50">
        <v>50</v>
      </c>
      <c r="E1650" s="50" t="s">
        <v>1834</v>
      </c>
      <c r="F1650" s="50" t="s">
        <v>796</v>
      </c>
      <c r="G1650" s="50" t="s">
        <v>254</v>
      </c>
      <c r="H1650" s="50">
        <v>22</v>
      </c>
      <c r="M1650" t="str">
        <f>IF(COUNTIF($A:$A,E1650)=0,"Not Exists","Exists")</f>
        <v>Not Exists</v>
      </c>
      <c r="N1650" t="str">
        <f t="shared" si="79"/>
        <v>Exists</v>
      </c>
      <c r="O1650" t="str">
        <f t="shared" si="80"/>
        <v>Exists</v>
      </c>
      <c r="P1650" t="str">
        <f t="shared" si="81"/>
        <v>Exists</v>
      </c>
    </row>
    <row r="1651" spans="1:16">
      <c r="A1651" s="50" t="s">
        <v>1838</v>
      </c>
      <c r="B1651" s="50" t="s">
        <v>1840</v>
      </c>
      <c r="C1651" s="50" t="s">
        <v>256</v>
      </c>
      <c r="D1651" s="50">
        <v>50</v>
      </c>
      <c r="E1651" s="50" t="s">
        <v>1834</v>
      </c>
      <c r="F1651" s="50" t="s">
        <v>424</v>
      </c>
      <c r="G1651" s="50" t="s">
        <v>256</v>
      </c>
      <c r="H1651" s="50">
        <v>60</v>
      </c>
      <c r="M1651" t="str">
        <f>IF(COUNTIF($A:$A,E1651)=0,"Not Exists","Exists")</f>
        <v>Not Exists</v>
      </c>
      <c r="N1651" t="str">
        <f t="shared" si="79"/>
        <v>Exists</v>
      </c>
      <c r="O1651" t="str">
        <f t="shared" si="80"/>
        <v>Exists</v>
      </c>
      <c r="P1651" t="str">
        <f t="shared" si="81"/>
        <v>Exists</v>
      </c>
    </row>
    <row r="1652" spans="1:16">
      <c r="A1652" s="50" t="s">
        <v>1838</v>
      </c>
      <c r="B1652" s="50" t="s">
        <v>1841</v>
      </c>
      <c r="C1652" s="50" t="s">
        <v>256</v>
      </c>
      <c r="D1652" s="50">
        <v>50</v>
      </c>
      <c r="E1652" s="50" t="s">
        <v>1834</v>
      </c>
      <c r="F1652" s="50" t="s">
        <v>1401</v>
      </c>
      <c r="G1652" s="50" t="s">
        <v>256</v>
      </c>
      <c r="H1652" s="50">
        <v>3</v>
      </c>
      <c r="M1652" t="str">
        <f>IF(COUNTIF($A:$A,E1652)=0,"Not Exists","Exists")</f>
        <v>Not Exists</v>
      </c>
      <c r="N1652" t="str">
        <f t="shared" si="79"/>
        <v>Not Exists</v>
      </c>
      <c r="O1652" t="str">
        <f t="shared" si="80"/>
        <v>Exists</v>
      </c>
      <c r="P1652" t="str">
        <f t="shared" si="81"/>
        <v>Not Exists</v>
      </c>
    </row>
    <row r="1653" spans="1:16">
      <c r="A1653" s="50" t="s">
        <v>1838</v>
      </c>
      <c r="B1653" s="50" t="s">
        <v>1842</v>
      </c>
      <c r="C1653" s="50" t="s">
        <v>251</v>
      </c>
      <c r="D1653" s="50">
        <v>17</v>
      </c>
      <c r="E1653" s="50" t="s">
        <v>1834</v>
      </c>
      <c r="F1653" s="50" t="s">
        <v>430</v>
      </c>
      <c r="G1653" s="50" t="s">
        <v>256</v>
      </c>
      <c r="H1653" s="50">
        <v>50</v>
      </c>
      <c r="M1653" t="str">
        <f>IF(COUNTIF($A:$A,E1653)=0,"Not Exists","Exists")</f>
        <v>Not Exists</v>
      </c>
      <c r="N1653" t="str">
        <f t="shared" si="79"/>
        <v>Exists</v>
      </c>
      <c r="O1653" t="str">
        <f t="shared" si="80"/>
        <v>Exists</v>
      </c>
      <c r="P1653" t="str">
        <f t="shared" si="81"/>
        <v>Exists</v>
      </c>
    </row>
    <row r="1654" spans="1:16">
      <c r="A1654" s="50" t="s">
        <v>1838</v>
      </c>
      <c r="B1654" s="50" t="s">
        <v>1843</v>
      </c>
      <c r="C1654" s="50" t="s">
        <v>256</v>
      </c>
      <c r="D1654" s="50">
        <v>50</v>
      </c>
      <c r="E1654" s="50" t="s">
        <v>1834</v>
      </c>
      <c r="F1654" s="50" t="s">
        <v>1405</v>
      </c>
      <c r="G1654" s="50" t="s">
        <v>256</v>
      </c>
      <c r="H1654" s="50">
        <v>9</v>
      </c>
      <c r="M1654" t="str">
        <f>IF(COUNTIF($A:$A,E1654)=0,"Not Exists","Exists")</f>
        <v>Not Exists</v>
      </c>
      <c r="N1654" t="str">
        <f t="shared" si="79"/>
        <v>Not Exists</v>
      </c>
      <c r="O1654" t="str">
        <f t="shared" si="80"/>
        <v>Exists</v>
      </c>
      <c r="P1654" t="str">
        <f t="shared" si="81"/>
        <v>Exists</v>
      </c>
    </row>
    <row r="1655" spans="1:16">
      <c r="A1655" s="50" t="s">
        <v>1838</v>
      </c>
      <c r="B1655" s="50" t="s">
        <v>1844</v>
      </c>
      <c r="C1655" s="50" t="s">
        <v>251</v>
      </c>
      <c r="D1655" s="50">
        <v>17</v>
      </c>
      <c r="E1655" s="50" t="s">
        <v>1834</v>
      </c>
      <c r="F1655" s="50" t="s">
        <v>704</v>
      </c>
      <c r="G1655" s="50" t="s">
        <v>256</v>
      </c>
      <c r="H1655" s="50">
        <v>9</v>
      </c>
      <c r="M1655" t="str">
        <f>IF(COUNTIF($A:$A,E1655)=0,"Not Exists","Exists")</f>
        <v>Not Exists</v>
      </c>
      <c r="N1655" t="str">
        <f t="shared" si="79"/>
        <v>Not Exists</v>
      </c>
      <c r="O1655" t="str">
        <f t="shared" si="80"/>
        <v>Exists</v>
      </c>
      <c r="P1655" t="str">
        <f t="shared" si="81"/>
        <v>Exists</v>
      </c>
    </row>
    <row r="1656" spans="1:16">
      <c r="A1656" s="50" t="s">
        <v>1838</v>
      </c>
      <c r="B1656" s="50" t="s">
        <v>1845</v>
      </c>
      <c r="C1656" s="50" t="s">
        <v>256</v>
      </c>
      <c r="D1656" s="50">
        <v>50</v>
      </c>
      <c r="E1656" s="50" t="s">
        <v>1834</v>
      </c>
      <c r="F1656" s="50" t="s">
        <v>1408</v>
      </c>
      <c r="G1656" s="50" t="s">
        <v>256</v>
      </c>
      <c r="H1656" s="50">
        <v>17</v>
      </c>
      <c r="M1656" t="str">
        <f>IF(COUNTIF($A:$A,E1656)=0,"Not Exists","Exists")</f>
        <v>Not Exists</v>
      </c>
      <c r="N1656" t="str">
        <f t="shared" si="79"/>
        <v>Not Exists</v>
      </c>
      <c r="O1656" t="str">
        <f t="shared" si="80"/>
        <v>Exists</v>
      </c>
      <c r="P1656" t="str">
        <f t="shared" si="81"/>
        <v>Exists</v>
      </c>
    </row>
    <row r="1657" spans="1:16">
      <c r="A1657" s="50" t="s">
        <v>1846</v>
      </c>
      <c r="B1657" s="50" t="s">
        <v>1847</v>
      </c>
      <c r="C1657" s="50" t="s">
        <v>256</v>
      </c>
      <c r="D1657" s="50">
        <v>50</v>
      </c>
      <c r="E1657" s="50" t="s">
        <v>1834</v>
      </c>
      <c r="F1657" s="50" t="s">
        <v>1410</v>
      </c>
      <c r="G1657" s="50" t="s">
        <v>256</v>
      </c>
      <c r="H1657" s="50">
        <v>4000</v>
      </c>
      <c r="M1657" t="str">
        <f>IF(COUNTIF($A:$A,E1657)=0,"Not Exists","Exists")</f>
        <v>Not Exists</v>
      </c>
      <c r="N1657" t="str">
        <f t="shared" si="79"/>
        <v>Not Exists</v>
      </c>
      <c r="O1657" t="str">
        <f t="shared" si="80"/>
        <v>Exists</v>
      </c>
      <c r="P1657" t="str">
        <f t="shared" si="81"/>
        <v>Exists</v>
      </c>
    </row>
    <row r="1658" spans="1:16">
      <c r="A1658" s="50" t="s">
        <v>1846</v>
      </c>
      <c r="B1658" s="50" t="s">
        <v>1848</v>
      </c>
      <c r="C1658" s="50" t="s">
        <v>256</v>
      </c>
      <c r="D1658" s="50">
        <v>50</v>
      </c>
      <c r="E1658" s="50" t="s">
        <v>1834</v>
      </c>
      <c r="F1658" s="50" t="s">
        <v>1412</v>
      </c>
      <c r="G1658" s="50" t="s">
        <v>256</v>
      </c>
      <c r="H1658" s="50">
        <v>4000</v>
      </c>
      <c r="M1658" t="str">
        <f>IF(COUNTIF($A:$A,E1658)=0,"Not Exists","Exists")</f>
        <v>Not Exists</v>
      </c>
      <c r="N1658" t="str">
        <f t="shared" si="79"/>
        <v>Not Exists</v>
      </c>
      <c r="O1658" t="str">
        <f t="shared" si="80"/>
        <v>Exists</v>
      </c>
      <c r="P1658" t="str">
        <f t="shared" si="81"/>
        <v>Exists</v>
      </c>
    </row>
    <row r="1659" spans="1:16">
      <c r="A1659" s="50" t="s">
        <v>1846</v>
      </c>
      <c r="B1659" s="50" t="s">
        <v>1849</v>
      </c>
      <c r="C1659" s="50" t="s">
        <v>256</v>
      </c>
      <c r="D1659" s="50">
        <v>50</v>
      </c>
      <c r="E1659" s="50" t="s">
        <v>1834</v>
      </c>
      <c r="F1659" s="50" t="s">
        <v>1414</v>
      </c>
      <c r="G1659" s="50" t="s">
        <v>256</v>
      </c>
      <c r="H1659" s="50">
        <v>4000</v>
      </c>
      <c r="M1659" t="str">
        <f>IF(COUNTIF($A:$A,E1659)=0,"Not Exists","Exists")</f>
        <v>Not Exists</v>
      </c>
      <c r="N1659" t="str">
        <f t="shared" si="79"/>
        <v>Not Exists</v>
      </c>
      <c r="O1659" t="str">
        <f t="shared" si="80"/>
        <v>Exists</v>
      </c>
      <c r="P1659" t="str">
        <f t="shared" si="81"/>
        <v>Not Exists</v>
      </c>
    </row>
    <row r="1660" spans="1:16">
      <c r="A1660" s="50" t="s">
        <v>1846</v>
      </c>
      <c r="B1660" s="50" t="s">
        <v>1850</v>
      </c>
      <c r="C1660" s="50" t="s">
        <v>251</v>
      </c>
      <c r="D1660" s="50">
        <v>17</v>
      </c>
      <c r="E1660" s="50" t="s">
        <v>1851</v>
      </c>
      <c r="F1660" s="50" t="s">
        <v>781</v>
      </c>
      <c r="G1660" s="50" t="s">
        <v>256</v>
      </c>
      <c r="H1660" s="50">
        <v>8</v>
      </c>
      <c r="M1660" t="str">
        <f>IF(COUNTIF($A:$A,E1660)=0,"Not Exists","Exists")</f>
        <v>Not Exists</v>
      </c>
      <c r="N1660" t="str">
        <f t="shared" si="79"/>
        <v>Exists</v>
      </c>
      <c r="O1660" t="str">
        <f t="shared" si="80"/>
        <v>Exists</v>
      </c>
      <c r="P1660" t="str">
        <f t="shared" si="81"/>
        <v>Exists</v>
      </c>
    </row>
    <row r="1661" spans="1:16">
      <c r="A1661" s="50" t="s">
        <v>1846</v>
      </c>
      <c r="B1661" s="50" t="s">
        <v>1852</v>
      </c>
      <c r="C1661" s="50" t="s">
        <v>256</v>
      </c>
      <c r="D1661" s="50">
        <v>50</v>
      </c>
      <c r="E1661" s="50" t="s">
        <v>1851</v>
      </c>
      <c r="F1661" s="50" t="s">
        <v>780</v>
      </c>
      <c r="G1661" s="50" t="s">
        <v>256</v>
      </c>
      <c r="H1661" s="50">
        <v>20</v>
      </c>
      <c r="M1661" t="str">
        <f>IF(COUNTIF($A:$A,E1661)=0,"Not Exists","Exists")</f>
        <v>Not Exists</v>
      </c>
      <c r="N1661" t="str">
        <f t="shared" ref="N1661:N1718" si="82">IF(COUNTIF($A:$B,F1661)=0,"Not Exists","Exists")</f>
        <v>Exists</v>
      </c>
      <c r="O1661" t="str">
        <f t="shared" si="80"/>
        <v>Exists</v>
      </c>
      <c r="P1661" t="str">
        <f t="shared" si="81"/>
        <v>Exists</v>
      </c>
    </row>
    <row r="1662" spans="1:16">
      <c r="A1662" s="50" t="s">
        <v>1846</v>
      </c>
      <c r="B1662" s="50" t="s">
        <v>1853</v>
      </c>
      <c r="C1662" s="50" t="s">
        <v>251</v>
      </c>
      <c r="D1662" s="50">
        <v>17</v>
      </c>
      <c r="E1662" s="50" t="s">
        <v>1851</v>
      </c>
      <c r="F1662" s="50" t="s">
        <v>1395</v>
      </c>
      <c r="G1662" s="50" t="s">
        <v>256</v>
      </c>
      <c r="H1662" s="50">
        <v>1</v>
      </c>
      <c r="M1662" t="str">
        <f>IF(COUNTIF($A:$A,E1662)=0,"Not Exists","Exists")</f>
        <v>Not Exists</v>
      </c>
      <c r="N1662" t="str">
        <f t="shared" si="82"/>
        <v>Not Exists</v>
      </c>
      <c r="O1662" t="str">
        <f t="shared" si="80"/>
        <v>Exists</v>
      </c>
      <c r="P1662" t="str">
        <f t="shared" si="81"/>
        <v>Exists</v>
      </c>
    </row>
    <row r="1663" spans="1:16">
      <c r="A1663" s="50" t="s">
        <v>1846</v>
      </c>
      <c r="B1663" s="50" t="s">
        <v>1854</v>
      </c>
      <c r="C1663" s="50" t="s">
        <v>256</v>
      </c>
      <c r="D1663" s="50">
        <v>50</v>
      </c>
      <c r="E1663" s="50" t="s">
        <v>1851</v>
      </c>
      <c r="F1663" s="50" t="s">
        <v>1397</v>
      </c>
      <c r="G1663" s="50" t="s">
        <v>256</v>
      </c>
      <c r="H1663" s="50">
        <v>2</v>
      </c>
      <c r="M1663" t="str">
        <f>IF(COUNTIF($A:$A,E1663)=0,"Not Exists","Exists")</f>
        <v>Not Exists</v>
      </c>
      <c r="N1663" t="str">
        <f t="shared" si="82"/>
        <v>Not Exists</v>
      </c>
      <c r="O1663" t="str">
        <f t="shared" si="80"/>
        <v>Exists</v>
      </c>
      <c r="P1663" t="str">
        <f t="shared" si="81"/>
        <v>Exists</v>
      </c>
    </row>
    <row r="1664" spans="1:16">
      <c r="A1664" s="50" t="s">
        <v>1846</v>
      </c>
      <c r="B1664" s="50" t="s">
        <v>1855</v>
      </c>
      <c r="C1664" s="50" t="s">
        <v>256</v>
      </c>
      <c r="D1664" s="50">
        <v>3000</v>
      </c>
      <c r="E1664" s="50" t="s">
        <v>1851</v>
      </c>
      <c r="F1664" s="50" t="s">
        <v>796</v>
      </c>
      <c r="G1664" s="50" t="s">
        <v>254</v>
      </c>
      <c r="H1664" s="50">
        <v>22</v>
      </c>
      <c r="M1664" t="str">
        <f>IF(COUNTIF($A:$A,E1664)=0,"Not Exists","Exists")</f>
        <v>Not Exists</v>
      </c>
      <c r="N1664" t="str">
        <f t="shared" si="82"/>
        <v>Exists</v>
      </c>
      <c r="O1664" t="str">
        <f t="shared" si="80"/>
        <v>Exists</v>
      </c>
      <c r="P1664" t="str">
        <f t="shared" si="81"/>
        <v>Exists</v>
      </c>
    </row>
    <row r="1665" spans="1:16">
      <c r="A1665" s="50" t="s">
        <v>1846</v>
      </c>
      <c r="B1665" s="50" t="s">
        <v>1856</v>
      </c>
      <c r="C1665" s="50" t="s">
        <v>256</v>
      </c>
      <c r="D1665" s="50">
        <v>3000</v>
      </c>
      <c r="E1665" s="50" t="s">
        <v>1851</v>
      </c>
      <c r="F1665" s="50" t="s">
        <v>424</v>
      </c>
      <c r="G1665" s="50" t="s">
        <v>256</v>
      </c>
      <c r="H1665" s="50">
        <v>60</v>
      </c>
      <c r="M1665" t="str">
        <f>IF(COUNTIF($A:$A,E1665)=0,"Not Exists","Exists")</f>
        <v>Not Exists</v>
      </c>
      <c r="N1665" t="str">
        <f t="shared" si="82"/>
        <v>Exists</v>
      </c>
      <c r="O1665" t="str">
        <f t="shared" si="80"/>
        <v>Exists</v>
      </c>
      <c r="P1665" t="str">
        <f t="shared" si="81"/>
        <v>Exists</v>
      </c>
    </row>
    <row r="1666" spans="1:16">
      <c r="A1666" s="50" t="s">
        <v>1857</v>
      </c>
      <c r="B1666" s="50" t="s">
        <v>1858</v>
      </c>
      <c r="C1666" s="50" t="s">
        <v>256</v>
      </c>
      <c r="D1666" s="50">
        <v>50</v>
      </c>
      <c r="E1666" s="50" t="s">
        <v>1851</v>
      </c>
      <c r="F1666" s="50" t="s">
        <v>1401</v>
      </c>
      <c r="G1666" s="50" t="s">
        <v>256</v>
      </c>
      <c r="H1666" s="50">
        <v>3</v>
      </c>
      <c r="M1666" t="str">
        <f>IF(COUNTIF($A:$A,E1666)=0,"Not Exists","Exists")</f>
        <v>Not Exists</v>
      </c>
      <c r="N1666" t="str">
        <f t="shared" si="82"/>
        <v>Not Exists</v>
      </c>
      <c r="O1666" t="str">
        <f t="shared" si="80"/>
        <v>Exists</v>
      </c>
      <c r="P1666" t="str">
        <f t="shared" si="81"/>
        <v>Exists</v>
      </c>
    </row>
    <row r="1667" spans="1:16">
      <c r="A1667" s="50" t="s">
        <v>1857</v>
      </c>
      <c r="B1667" s="50" t="s">
        <v>1859</v>
      </c>
      <c r="C1667" s="50" t="s">
        <v>256</v>
      </c>
      <c r="D1667" s="50">
        <v>50</v>
      </c>
      <c r="E1667" s="50" t="s">
        <v>1851</v>
      </c>
      <c r="F1667" s="50" t="s">
        <v>430</v>
      </c>
      <c r="G1667" s="50" t="s">
        <v>256</v>
      </c>
      <c r="H1667" s="50">
        <v>50</v>
      </c>
      <c r="M1667" t="str">
        <f>IF(COUNTIF($A:$A,E1667)=0,"Not Exists","Exists")</f>
        <v>Not Exists</v>
      </c>
      <c r="N1667" t="str">
        <f t="shared" si="82"/>
        <v>Exists</v>
      </c>
      <c r="O1667" t="str">
        <f t="shared" si="80"/>
        <v>Exists</v>
      </c>
      <c r="P1667" t="str">
        <f t="shared" si="81"/>
        <v>Not Exists</v>
      </c>
    </row>
    <row r="1668" spans="1:16">
      <c r="A1668" s="50" t="s">
        <v>1857</v>
      </c>
      <c r="B1668" s="50" t="s">
        <v>1860</v>
      </c>
      <c r="C1668" s="50" t="s">
        <v>251</v>
      </c>
      <c r="D1668" s="50">
        <v>17</v>
      </c>
      <c r="E1668" s="50" t="s">
        <v>1851</v>
      </c>
      <c r="F1668" s="50" t="s">
        <v>1405</v>
      </c>
      <c r="G1668" s="50" t="s">
        <v>256</v>
      </c>
      <c r="H1668" s="50">
        <v>9</v>
      </c>
      <c r="M1668" t="str">
        <f>IF(COUNTIF($A:$A,E1668)=0,"Not Exists","Exists")</f>
        <v>Not Exists</v>
      </c>
      <c r="N1668" t="str">
        <f t="shared" si="82"/>
        <v>Not Exists</v>
      </c>
      <c r="O1668" t="str">
        <f t="shared" ref="O1668:O1731" si="83">IF(COUNTIF($E:$E,A1668)=0,"Not Exists","Exists")</f>
        <v>Exists</v>
      </c>
      <c r="P1668" t="str">
        <f t="shared" ref="P1668:P1731" si="84">IF(COUNTIF($F:$F,B1668)=0,"Not Exists","Exists")</f>
        <v>Exists</v>
      </c>
    </row>
    <row r="1669" spans="1:16">
      <c r="A1669" s="50" t="s">
        <v>1857</v>
      </c>
      <c r="B1669" s="50" t="s">
        <v>1861</v>
      </c>
      <c r="C1669" s="50" t="s">
        <v>256</v>
      </c>
      <c r="D1669" s="50">
        <v>50</v>
      </c>
      <c r="E1669" s="50" t="s">
        <v>1851</v>
      </c>
      <c r="F1669" s="50" t="s">
        <v>704</v>
      </c>
      <c r="G1669" s="50" t="s">
        <v>256</v>
      </c>
      <c r="H1669" s="50">
        <v>9</v>
      </c>
      <c r="M1669" t="str">
        <f>IF(COUNTIF($A:$A,E1669)=0,"Not Exists","Exists")</f>
        <v>Not Exists</v>
      </c>
      <c r="N1669" t="str">
        <f t="shared" si="82"/>
        <v>Not Exists</v>
      </c>
      <c r="O1669" t="str">
        <f t="shared" si="83"/>
        <v>Exists</v>
      </c>
      <c r="P1669" t="str">
        <f t="shared" si="84"/>
        <v>Exists</v>
      </c>
    </row>
    <row r="1670" spans="1:16">
      <c r="A1670" s="50" t="s">
        <v>1857</v>
      </c>
      <c r="B1670" s="50" t="s">
        <v>1862</v>
      </c>
      <c r="C1670" s="50" t="s">
        <v>251</v>
      </c>
      <c r="D1670" s="50">
        <v>17</v>
      </c>
      <c r="E1670" s="50" t="s">
        <v>1851</v>
      </c>
      <c r="F1670" s="50" t="s">
        <v>1408</v>
      </c>
      <c r="G1670" s="50" t="s">
        <v>256</v>
      </c>
      <c r="H1670" s="50">
        <v>17</v>
      </c>
      <c r="M1670" t="str">
        <f>IF(COUNTIF($A:$A,E1670)=0,"Not Exists","Exists")</f>
        <v>Not Exists</v>
      </c>
      <c r="N1670" t="str">
        <f t="shared" si="82"/>
        <v>Not Exists</v>
      </c>
      <c r="O1670" t="str">
        <f t="shared" si="83"/>
        <v>Exists</v>
      </c>
      <c r="P1670" t="str">
        <f t="shared" si="84"/>
        <v>Exists</v>
      </c>
    </row>
    <row r="1671" spans="1:16">
      <c r="A1671" s="50" t="s">
        <v>1857</v>
      </c>
      <c r="B1671" s="50" t="s">
        <v>1863</v>
      </c>
      <c r="C1671" s="50" t="s">
        <v>256</v>
      </c>
      <c r="D1671" s="50">
        <v>50</v>
      </c>
      <c r="E1671" s="50" t="s">
        <v>1851</v>
      </c>
      <c r="F1671" s="50" t="s">
        <v>1410</v>
      </c>
      <c r="G1671" s="50" t="s">
        <v>256</v>
      </c>
      <c r="H1671" s="50">
        <v>4000</v>
      </c>
      <c r="M1671" t="str">
        <f>IF(COUNTIF($A:$A,E1671)=0,"Not Exists","Exists")</f>
        <v>Not Exists</v>
      </c>
      <c r="N1671" t="str">
        <f t="shared" si="82"/>
        <v>Not Exists</v>
      </c>
      <c r="O1671" t="str">
        <f t="shared" si="83"/>
        <v>Exists</v>
      </c>
      <c r="P1671" t="str">
        <f t="shared" si="84"/>
        <v>Exists</v>
      </c>
    </row>
    <row r="1672" spans="1:16">
      <c r="A1672" s="50" t="s">
        <v>1857</v>
      </c>
      <c r="B1672" s="50" t="s">
        <v>1864</v>
      </c>
      <c r="C1672" s="50" t="s">
        <v>256</v>
      </c>
      <c r="D1672" s="50">
        <v>3000</v>
      </c>
      <c r="E1672" s="50" t="s">
        <v>1851</v>
      </c>
      <c r="F1672" s="50" t="s">
        <v>1412</v>
      </c>
      <c r="G1672" s="50" t="s">
        <v>256</v>
      </c>
      <c r="H1672" s="50">
        <v>4000</v>
      </c>
      <c r="M1672" t="str">
        <f>IF(COUNTIF($A:$A,E1672)=0,"Not Exists","Exists")</f>
        <v>Not Exists</v>
      </c>
      <c r="N1672" t="str">
        <f t="shared" si="82"/>
        <v>Not Exists</v>
      </c>
      <c r="O1672" t="str">
        <f t="shared" si="83"/>
        <v>Exists</v>
      </c>
      <c r="P1672" t="str">
        <f t="shared" si="84"/>
        <v>Exists</v>
      </c>
    </row>
    <row r="1673" spans="1:16">
      <c r="A1673" s="50" t="s">
        <v>1857</v>
      </c>
      <c r="B1673" s="50" t="s">
        <v>1865</v>
      </c>
      <c r="C1673" s="50" t="s">
        <v>251</v>
      </c>
      <c r="D1673" s="50">
        <v>1</v>
      </c>
      <c r="E1673" s="50" t="s">
        <v>1851</v>
      </c>
      <c r="F1673" s="50" t="s">
        <v>1414</v>
      </c>
      <c r="G1673" s="50" t="s">
        <v>256</v>
      </c>
      <c r="H1673" s="50">
        <v>4000</v>
      </c>
      <c r="M1673" t="str">
        <f>IF(COUNTIF($A:$A,E1673)=0,"Not Exists","Exists")</f>
        <v>Not Exists</v>
      </c>
      <c r="N1673" t="str">
        <f t="shared" si="82"/>
        <v>Not Exists</v>
      </c>
      <c r="O1673" t="str">
        <f t="shared" si="83"/>
        <v>Exists</v>
      </c>
      <c r="P1673" t="str">
        <f t="shared" si="84"/>
        <v>Exists</v>
      </c>
    </row>
    <row r="1674" spans="1:16">
      <c r="A1674" s="50" t="s">
        <v>1857</v>
      </c>
      <c r="B1674" s="50" t="s">
        <v>1866</v>
      </c>
      <c r="C1674" s="50" t="s">
        <v>256</v>
      </c>
      <c r="D1674" s="50">
        <v>3000</v>
      </c>
      <c r="E1674" s="50" t="s">
        <v>1867</v>
      </c>
      <c r="F1674" s="50" t="s">
        <v>781</v>
      </c>
      <c r="G1674" s="50" t="s">
        <v>256</v>
      </c>
      <c r="H1674" s="50">
        <v>8</v>
      </c>
      <c r="M1674" t="str">
        <f>IF(COUNTIF($A:$A,E1674)=0,"Not Exists","Exists")</f>
        <v>Not Exists</v>
      </c>
      <c r="N1674" t="str">
        <f t="shared" si="82"/>
        <v>Exists</v>
      </c>
      <c r="O1674" t="str">
        <f t="shared" si="83"/>
        <v>Exists</v>
      </c>
      <c r="P1674" t="str">
        <f t="shared" si="84"/>
        <v>Exists</v>
      </c>
    </row>
    <row r="1675" spans="1:16">
      <c r="A1675" s="50" t="s">
        <v>1868</v>
      </c>
      <c r="B1675" s="50" t="s">
        <v>430</v>
      </c>
      <c r="C1675" s="50" t="s">
        <v>256</v>
      </c>
      <c r="D1675" s="50">
        <v>50</v>
      </c>
      <c r="E1675" s="50" t="s">
        <v>1867</v>
      </c>
      <c r="F1675" s="50" t="s">
        <v>780</v>
      </c>
      <c r="G1675" s="50" t="s">
        <v>256</v>
      </c>
      <c r="H1675" s="50">
        <v>20</v>
      </c>
      <c r="M1675" t="str">
        <f>IF(COUNTIF($A:$A,E1675)=0,"Not Exists","Exists")</f>
        <v>Not Exists</v>
      </c>
      <c r="N1675" t="str">
        <f t="shared" si="82"/>
        <v>Exists</v>
      </c>
      <c r="O1675" t="str">
        <f t="shared" si="83"/>
        <v>Exists</v>
      </c>
      <c r="P1675" t="str">
        <f t="shared" si="84"/>
        <v>Exists</v>
      </c>
    </row>
    <row r="1676" spans="1:16">
      <c r="A1676" s="50" t="s">
        <v>1868</v>
      </c>
      <c r="B1676" s="50" t="s">
        <v>1869</v>
      </c>
      <c r="C1676" s="50" t="s">
        <v>256</v>
      </c>
      <c r="D1676" s="50">
        <v>50</v>
      </c>
      <c r="E1676" s="50" t="s">
        <v>1867</v>
      </c>
      <c r="F1676" s="50" t="s">
        <v>1395</v>
      </c>
      <c r="G1676" s="50" t="s">
        <v>256</v>
      </c>
      <c r="H1676" s="50">
        <v>1</v>
      </c>
      <c r="M1676" t="str">
        <f>IF(COUNTIF($A:$A,E1676)=0,"Not Exists","Exists")</f>
        <v>Not Exists</v>
      </c>
      <c r="N1676" t="str">
        <f t="shared" si="82"/>
        <v>Not Exists</v>
      </c>
      <c r="O1676" t="str">
        <f t="shared" si="83"/>
        <v>Exists</v>
      </c>
      <c r="P1676" t="str">
        <f t="shared" si="84"/>
        <v>Not Exists</v>
      </c>
    </row>
    <row r="1677" spans="1:16">
      <c r="A1677" s="50" t="s">
        <v>1868</v>
      </c>
      <c r="B1677" s="50" t="s">
        <v>1870</v>
      </c>
      <c r="C1677" s="50" t="s">
        <v>251</v>
      </c>
      <c r="D1677" s="50">
        <v>17</v>
      </c>
      <c r="E1677" s="50" t="s">
        <v>1867</v>
      </c>
      <c r="F1677" s="50" t="s">
        <v>1397</v>
      </c>
      <c r="G1677" s="50" t="s">
        <v>256</v>
      </c>
      <c r="H1677" s="50">
        <v>2</v>
      </c>
      <c r="M1677" t="str">
        <f>IF(COUNTIF($A:$A,E1677)=0,"Not Exists","Exists")</f>
        <v>Not Exists</v>
      </c>
      <c r="N1677" t="str">
        <f t="shared" si="82"/>
        <v>Not Exists</v>
      </c>
      <c r="O1677" t="str">
        <f t="shared" si="83"/>
        <v>Exists</v>
      </c>
      <c r="P1677" t="str">
        <f t="shared" si="84"/>
        <v>Exists</v>
      </c>
    </row>
    <row r="1678" spans="1:16">
      <c r="A1678" s="50" t="s">
        <v>1868</v>
      </c>
      <c r="B1678" s="50" t="s">
        <v>1871</v>
      </c>
      <c r="C1678" s="50" t="s">
        <v>256</v>
      </c>
      <c r="D1678" s="50">
        <v>50</v>
      </c>
      <c r="E1678" s="50" t="s">
        <v>1867</v>
      </c>
      <c r="F1678" s="50" t="s">
        <v>796</v>
      </c>
      <c r="G1678" s="50" t="s">
        <v>254</v>
      </c>
      <c r="H1678" s="50">
        <v>22</v>
      </c>
      <c r="M1678" t="str">
        <f>IF(COUNTIF($A:$A,E1678)=0,"Not Exists","Exists")</f>
        <v>Not Exists</v>
      </c>
      <c r="N1678" t="str">
        <f t="shared" si="82"/>
        <v>Exists</v>
      </c>
      <c r="O1678" t="str">
        <f t="shared" si="83"/>
        <v>Exists</v>
      </c>
      <c r="P1678" t="str">
        <f t="shared" si="84"/>
        <v>Exists</v>
      </c>
    </row>
    <row r="1679" spans="1:16">
      <c r="A1679" s="50" t="s">
        <v>1868</v>
      </c>
      <c r="B1679" s="50" t="s">
        <v>1872</v>
      </c>
      <c r="C1679" s="50" t="s">
        <v>251</v>
      </c>
      <c r="D1679" s="50">
        <v>17</v>
      </c>
      <c r="E1679" s="50" t="s">
        <v>1867</v>
      </c>
      <c r="F1679" s="50" t="s">
        <v>424</v>
      </c>
      <c r="G1679" s="50" t="s">
        <v>256</v>
      </c>
      <c r="H1679" s="50">
        <v>60</v>
      </c>
      <c r="M1679" t="str">
        <f>IF(COUNTIF($A:$A,E1679)=0,"Not Exists","Exists")</f>
        <v>Not Exists</v>
      </c>
      <c r="N1679" t="str">
        <f t="shared" si="82"/>
        <v>Exists</v>
      </c>
      <c r="O1679" t="str">
        <f t="shared" si="83"/>
        <v>Exists</v>
      </c>
      <c r="P1679" t="str">
        <f t="shared" si="84"/>
        <v>Exists</v>
      </c>
    </row>
    <row r="1680" spans="1:16">
      <c r="A1680" s="50" t="s">
        <v>1868</v>
      </c>
      <c r="B1680" s="50" t="s">
        <v>1873</v>
      </c>
      <c r="C1680" s="50" t="s">
        <v>256</v>
      </c>
      <c r="D1680" s="50">
        <v>50</v>
      </c>
      <c r="E1680" s="50" t="s">
        <v>1867</v>
      </c>
      <c r="F1680" s="50" t="s">
        <v>1401</v>
      </c>
      <c r="G1680" s="50" t="s">
        <v>256</v>
      </c>
      <c r="H1680" s="50">
        <v>3</v>
      </c>
      <c r="M1680" t="str">
        <f>IF(COUNTIF($A:$A,E1680)=0,"Not Exists","Exists")</f>
        <v>Not Exists</v>
      </c>
      <c r="N1680" t="str">
        <f t="shared" si="82"/>
        <v>Not Exists</v>
      </c>
      <c r="O1680" t="str">
        <f t="shared" si="83"/>
        <v>Exists</v>
      </c>
      <c r="P1680" t="str">
        <f t="shared" si="84"/>
        <v>Exists</v>
      </c>
    </row>
    <row r="1681" spans="1:16">
      <c r="A1681" s="50" t="s">
        <v>1868</v>
      </c>
      <c r="B1681" s="50" t="s">
        <v>1874</v>
      </c>
      <c r="C1681" s="50" t="s">
        <v>256</v>
      </c>
      <c r="D1681" s="50">
        <v>50</v>
      </c>
      <c r="E1681" s="50" t="s">
        <v>1867</v>
      </c>
      <c r="F1681" s="50" t="s">
        <v>430</v>
      </c>
      <c r="G1681" s="50" t="s">
        <v>256</v>
      </c>
      <c r="H1681" s="50">
        <v>50</v>
      </c>
      <c r="M1681" t="str">
        <f>IF(COUNTIF($A:$A,E1681)=0,"Not Exists","Exists")</f>
        <v>Not Exists</v>
      </c>
      <c r="N1681" t="str">
        <f t="shared" si="82"/>
        <v>Exists</v>
      </c>
      <c r="O1681" t="str">
        <f t="shared" si="83"/>
        <v>Exists</v>
      </c>
      <c r="P1681" t="str">
        <f t="shared" si="84"/>
        <v>Exists</v>
      </c>
    </row>
    <row r="1682" spans="1:16">
      <c r="A1682" s="50" t="s">
        <v>1868</v>
      </c>
      <c r="B1682" s="50" t="s">
        <v>1875</v>
      </c>
      <c r="C1682" s="50" t="s">
        <v>256</v>
      </c>
      <c r="D1682" s="50">
        <v>450</v>
      </c>
      <c r="E1682" s="50" t="s">
        <v>1867</v>
      </c>
      <c r="F1682" s="50" t="s">
        <v>1405</v>
      </c>
      <c r="G1682" s="50" t="s">
        <v>256</v>
      </c>
      <c r="H1682" s="50">
        <v>9</v>
      </c>
      <c r="M1682" t="str">
        <f>IF(COUNTIF($A:$A,E1682)=0,"Not Exists","Exists")</f>
        <v>Not Exists</v>
      </c>
      <c r="N1682" t="str">
        <f t="shared" si="82"/>
        <v>Not Exists</v>
      </c>
      <c r="O1682" t="str">
        <f t="shared" si="83"/>
        <v>Exists</v>
      </c>
      <c r="P1682" t="str">
        <f t="shared" si="84"/>
        <v>Exists</v>
      </c>
    </row>
    <row r="1683" spans="1:16">
      <c r="A1683" s="50" t="s">
        <v>1868</v>
      </c>
      <c r="B1683" s="50" t="s">
        <v>1876</v>
      </c>
      <c r="C1683" s="50" t="s">
        <v>256</v>
      </c>
      <c r="D1683" s="50">
        <v>3000</v>
      </c>
      <c r="E1683" s="50" t="s">
        <v>1867</v>
      </c>
      <c r="F1683" s="50" t="s">
        <v>704</v>
      </c>
      <c r="G1683" s="50" t="s">
        <v>256</v>
      </c>
      <c r="H1683" s="50">
        <v>9</v>
      </c>
      <c r="M1683" t="str">
        <f>IF(COUNTIF($A:$A,E1683)=0,"Not Exists","Exists")</f>
        <v>Not Exists</v>
      </c>
      <c r="N1683" t="str">
        <f t="shared" si="82"/>
        <v>Not Exists</v>
      </c>
      <c r="O1683" t="str">
        <f t="shared" si="83"/>
        <v>Exists</v>
      </c>
      <c r="P1683" t="str">
        <f t="shared" si="84"/>
        <v>Exists</v>
      </c>
    </row>
    <row r="1684" spans="1:16">
      <c r="A1684" s="50" t="s">
        <v>1868</v>
      </c>
      <c r="B1684" s="50" t="s">
        <v>1877</v>
      </c>
      <c r="C1684" s="50" t="s">
        <v>256</v>
      </c>
      <c r="D1684" s="50">
        <v>3000</v>
      </c>
      <c r="E1684" s="50" t="s">
        <v>1867</v>
      </c>
      <c r="F1684" s="50" t="s">
        <v>1408</v>
      </c>
      <c r="G1684" s="50" t="s">
        <v>256</v>
      </c>
      <c r="H1684" s="50">
        <v>17</v>
      </c>
      <c r="M1684" t="str">
        <f>IF(COUNTIF($A:$A,E1684)=0,"Not Exists","Exists")</f>
        <v>Not Exists</v>
      </c>
      <c r="N1684" t="str">
        <f t="shared" si="82"/>
        <v>Not Exists</v>
      </c>
      <c r="O1684" t="str">
        <f t="shared" si="83"/>
        <v>Exists</v>
      </c>
      <c r="P1684" t="str">
        <f t="shared" si="84"/>
        <v>Exists</v>
      </c>
    </row>
    <row r="1685" spans="1:16">
      <c r="A1685" s="50" t="s">
        <v>1868</v>
      </c>
      <c r="B1685" s="50" t="s">
        <v>1878</v>
      </c>
      <c r="C1685" s="50" t="s">
        <v>256</v>
      </c>
      <c r="D1685" s="50">
        <v>3000</v>
      </c>
      <c r="E1685" s="50" t="s">
        <v>1867</v>
      </c>
      <c r="F1685" s="50" t="s">
        <v>1410</v>
      </c>
      <c r="G1685" s="50" t="s">
        <v>256</v>
      </c>
      <c r="H1685" s="50">
        <v>4000</v>
      </c>
      <c r="M1685" t="str">
        <f>IF(COUNTIF($A:$A,E1685)=0,"Not Exists","Exists")</f>
        <v>Not Exists</v>
      </c>
      <c r="N1685" t="str">
        <f t="shared" si="82"/>
        <v>Not Exists</v>
      </c>
      <c r="O1685" t="str">
        <f t="shared" si="83"/>
        <v>Exists</v>
      </c>
      <c r="P1685" t="str">
        <f t="shared" si="84"/>
        <v>Exists</v>
      </c>
    </row>
    <row r="1686" spans="1:16">
      <c r="A1686" s="50" t="s">
        <v>1868</v>
      </c>
      <c r="B1686" s="50" t="s">
        <v>1879</v>
      </c>
      <c r="C1686" s="50" t="s">
        <v>256</v>
      </c>
      <c r="D1686" s="50">
        <v>3000</v>
      </c>
      <c r="E1686" s="50" t="s">
        <v>1867</v>
      </c>
      <c r="F1686" s="50" t="s">
        <v>1412</v>
      </c>
      <c r="G1686" s="50" t="s">
        <v>256</v>
      </c>
      <c r="H1686" s="50">
        <v>4000</v>
      </c>
      <c r="M1686" t="str">
        <f>IF(COUNTIF($A:$A,E1686)=0,"Not Exists","Exists")</f>
        <v>Not Exists</v>
      </c>
      <c r="N1686" t="str">
        <f t="shared" si="82"/>
        <v>Not Exists</v>
      </c>
      <c r="O1686" t="str">
        <f t="shared" si="83"/>
        <v>Exists</v>
      </c>
      <c r="P1686" t="str">
        <f t="shared" si="84"/>
        <v>Exists</v>
      </c>
    </row>
    <row r="1687" spans="1:16">
      <c r="A1687" s="50" t="s">
        <v>1868</v>
      </c>
      <c r="B1687" s="50" t="s">
        <v>1880</v>
      </c>
      <c r="C1687" s="50" t="s">
        <v>256</v>
      </c>
      <c r="D1687" s="50">
        <v>50</v>
      </c>
      <c r="E1687" s="50" t="s">
        <v>1867</v>
      </c>
      <c r="F1687" s="50" t="s">
        <v>1414</v>
      </c>
      <c r="G1687" s="50" t="s">
        <v>256</v>
      </c>
      <c r="H1687" s="50">
        <v>4000</v>
      </c>
      <c r="M1687" t="str">
        <f>IF(COUNTIF($A:$A,E1687)=0,"Not Exists","Exists")</f>
        <v>Not Exists</v>
      </c>
      <c r="N1687" t="str">
        <f t="shared" si="82"/>
        <v>Not Exists</v>
      </c>
      <c r="O1687" t="str">
        <f t="shared" si="83"/>
        <v>Exists</v>
      </c>
      <c r="P1687" t="str">
        <f t="shared" si="84"/>
        <v>Exists</v>
      </c>
    </row>
    <row r="1688" spans="1:16">
      <c r="A1688" s="50" t="s">
        <v>1868</v>
      </c>
      <c r="B1688" s="50" t="s">
        <v>1881</v>
      </c>
      <c r="C1688" s="50" t="s">
        <v>256</v>
      </c>
      <c r="D1688" s="50">
        <v>450</v>
      </c>
      <c r="E1688" s="50" t="s">
        <v>1882</v>
      </c>
      <c r="F1688" s="50" t="s">
        <v>781</v>
      </c>
      <c r="G1688" s="50" t="s">
        <v>256</v>
      </c>
      <c r="H1688" s="50">
        <v>8</v>
      </c>
      <c r="M1688" t="str">
        <f>IF(COUNTIF($A:$A,E1688)=0,"Not Exists","Exists")</f>
        <v>Not Exists</v>
      </c>
      <c r="N1688" t="str">
        <f t="shared" si="82"/>
        <v>Exists</v>
      </c>
      <c r="O1688" t="str">
        <f t="shared" si="83"/>
        <v>Exists</v>
      </c>
      <c r="P1688" t="str">
        <f t="shared" si="84"/>
        <v>Exists</v>
      </c>
    </row>
    <row r="1689" spans="1:16">
      <c r="A1689" s="50" t="s">
        <v>1868</v>
      </c>
      <c r="B1689" s="50" t="s">
        <v>818</v>
      </c>
      <c r="C1689" s="50" t="s">
        <v>256</v>
      </c>
      <c r="D1689" s="50">
        <v>450</v>
      </c>
      <c r="E1689" s="50" t="s">
        <v>1882</v>
      </c>
      <c r="F1689" s="50" t="s">
        <v>780</v>
      </c>
      <c r="G1689" s="50" t="s">
        <v>256</v>
      </c>
      <c r="H1689" s="50">
        <v>20</v>
      </c>
      <c r="M1689" t="str">
        <f>IF(COUNTIF($A:$A,E1689)=0,"Not Exists","Exists")</f>
        <v>Not Exists</v>
      </c>
      <c r="N1689" t="str">
        <f t="shared" si="82"/>
        <v>Exists</v>
      </c>
      <c r="O1689" t="str">
        <f t="shared" si="83"/>
        <v>Exists</v>
      </c>
      <c r="P1689" t="str">
        <f t="shared" si="84"/>
        <v>Exists</v>
      </c>
    </row>
    <row r="1690" spans="1:16">
      <c r="A1690" s="50" t="s">
        <v>1868</v>
      </c>
      <c r="B1690" s="50" t="s">
        <v>1883</v>
      </c>
      <c r="C1690" s="50" t="s">
        <v>254</v>
      </c>
      <c r="D1690" s="50">
        <v>22</v>
      </c>
      <c r="E1690" s="50" t="s">
        <v>1882</v>
      </c>
      <c r="F1690" s="50" t="s">
        <v>1395</v>
      </c>
      <c r="G1690" s="50" t="s">
        <v>256</v>
      </c>
      <c r="H1690" s="50">
        <v>1</v>
      </c>
      <c r="M1690" t="str">
        <f>IF(COUNTIF($A:$A,E1690)=0,"Not Exists","Exists")</f>
        <v>Not Exists</v>
      </c>
      <c r="N1690" t="str">
        <f t="shared" si="82"/>
        <v>Not Exists</v>
      </c>
      <c r="O1690" t="str">
        <f t="shared" si="83"/>
        <v>Exists</v>
      </c>
      <c r="P1690" t="str">
        <f t="shared" si="84"/>
        <v>Exists</v>
      </c>
    </row>
    <row r="1691" spans="1:16">
      <c r="A1691" s="50" t="s">
        <v>1868</v>
      </c>
      <c r="B1691" s="50" t="s">
        <v>1884</v>
      </c>
      <c r="C1691" s="50" t="s">
        <v>251</v>
      </c>
      <c r="D1691" s="50">
        <v>1</v>
      </c>
      <c r="E1691" s="50" t="s">
        <v>1882</v>
      </c>
      <c r="F1691" s="50" t="s">
        <v>1397</v>
      </c>
      <c r="G1691" s="50" t="s">
        <v>256</v>
      </c>
      <c r="H1691" s="50">
        <v>2</v>
      </c>
      <c r="M1691" t="str">
        <f>IF(COUNTIF($A:$A,E1691)=0,"Not Exists","Exists")</f>
        <v>Not Exists</v>
      </c>
      <c r="N1691" t="str">
        <f t="shared" si="82"/>
        <v>Not Exists</v>
      </c>
      <c r="O1691" t="str">
        <f t="shared" si="83"/>
        <v>Exists</v>
      </c>
      <c r="P1691" t="str">
        <f t="shared" si="84"/>
        <v>Exists</v>
      </c>
    </row>
    <row r="1692" spans="1:16">
      <c r="A1692" s="50" t="s">
        <v>1868</v>
      </c>
      <c r="B1692" s="50" t="s">
        <v>1885</v>
      </c>
      <c r="C1692" s="50" t="s">
        <v>251</v>
      </c>
      <c r="D1692" s="50">
        <v>1</v>
      </c>
      <c r="E1692" s="50" t="s">
        <v>1882</v>
      </c>
      <c r="F1692" s="50" t="s">
        <v>796</v>
      </c>
      <c r="G1692" s="50" t="s">
        <v>254</v>
      </c>
      <c r="H1692" s="50">
        <v>22</v>
      </c>
      <c r="M1692" t="str">
        <f>IF(COUNTIF($A:$A,E1692)=0,"Not Exists","Exists")</f>
        <v>Not Exists</v>
      </c>
      <c r="N1692" t="str">
        <f t="shared" si="82"/>
        <v>Exists</v>
      </c>
      <c r="O1692" t="str">
        <f t="shared" si="83"/>
        <v>Exists</v>
      </c>
      <c r="P1692" t="str">
        <f t="shared" si="84"/>
        <v>Exists</v>
      </c>
    </row>
    <row r="1693" spans="1:16">
      <c r="A1693" s="50" t="s">
        <v>1868</v>
      </c>
      <c r="B1693" s="50" t="s">
        <v>1886</v>
      </c>
      <c r="C1693" s="50" t="s">
        <v>256</v>
      </c>
      <c r="D1693" s="50">
        <v>450</v>
      </c>
      <c r="E1693" s="50" t="s">
        <v>1882</v>
      </c>
      <c r="F1693" s="50" t="s">
        <v>424</v>
      </c>
      <c r="G1693" s="50" t="s">
        <v>256</v>
      </c>
      <c r="H1693" s="50">
        <v>60</v>
      </c>
      <c r="M1693" t="str">
        <f>IF(COUNTIF($A:$A,E1693)=0,"Not Exists","Exists")</f>
        <v>Not Exists</v>
      </c>
      <c r="N1693" t="str">
        <f t="shared" si="82"/>
        <v>Exists</v>
      </c>
      <c r="O1693" t="str">
        <f t="shared" si="83"/>
        <v>Exists</v>
      </c>
      <c r="P1693" t="str">
        <f t="shared" si="84"/>
        <v>Exists</v>
      </c>
    </row>
    <row r="1694" spans="1:16">
      <c r="A1694" s="50" t="s">
        <v>1868</v>
      </c>
      <c r="B1694" s="50" t="s">
        <v>1887</v>
      </c>
      <c r="C1694" s="50" t="s">
        <v>256</v>
      </c>
      <c r="D1694" s="50">
        <v>450</v>
      </c>
      <c r="E1694" s="50" t="s">
        <v>1882</v>
      </c>
      <c r="F1694" s="50" t="s">
        <v>1401</v>
      </c>
      <c r="G1694" s="50" t="s">
        <v>256</v>
      </c>
      <c r="H1694" s="50">
        <v>3</v>
      </c>
      <c r="M1694" t="str">
        <f>IF(COUNTIF($A:$A,E1694)=0,"Not Exists","Exists")</f>
        <v>Not Exists</v>
      </c>
      <c r="N1694" t="str">
        <f t="shared" si="82"/>
        <v>Not Exists</v>
      </c>
      <c r="O1694" t="str">
        <f t="shared" si="83"/>
        <v>Exists</v>
      </c>
      <c r="P1694" t="str">
        <f t="shared" si="84"/>
        <v>Exists</v>
      </c>
    </row>
    <row r="1695" spans="1:16">
      <c r="A1695" s="50" t="s">
        <v>1868</v>
      </c>
      <c r="B1695" s="50" t="s">
        <v>1888</v>
      </c>
      <c r="C1695" s="50" t="s">
        <v>254</v>
      </c>
      <c r="D1695" s="50">
        <v>22</v>
      </c>
      <c r="E1695" s="50" t="s">
        <v>1882</v>
      </c>
      <c r="F1695" s="50" t="s">
        <v>430</v>
      </c>
      <c r="G1695" s="50" t="s">
        <v>256</v>
      </c>
      <c r="H1695" s="50">
        <v>50</v>
      </c>
      <c r="M1695" t="str">
        <f>IF(COUNTIF($A:$A,E1695)=0,"Not Exists","Exists")</f>
        <v>Not Exists</v>
      </c>
      <c r="N1695" t="str">
        <f t="shared" si="82"/>
        <v>Exists</v>
      </c>
      <c r="O1695" t="str">
        <f t="shared" si="83"/>
        <v>Exists</v>
      </c>
      <c r="P1695" t="str">
        <f t="shared" si="84"/>
        <v>Exists</v>
      </c>
    </row>
    <row r="1696" spans="1:16">
      <c r="A1696" s="50" t="s">
        <v>1868</v>
      </c>
      <c r="B1696" s="50" t="s">
        <v>1889</v>
      </c>
      <c r="C1696" s="50" t="s">
        <v>256</v>
      </c>
      <c r="D1696" s="50">
        <v>450</v>
      </c>
      <c r="E1696" s="50" t="s">
        <v>1882</v>
      </c>
      <c r="F1696" s="50" t="s">
        <v>1405</v>
      </c>
      <c r="G1696" s="50" t="s">
        <v>256</v>
      </c>
      <c r="H1696" s="50">
        <v>9</v>
      </c>
      <c r="M1696" t="str">
        <f>IF(COUNTIF($A:$A,E1696)=0,"Not Exists","Exists")</f>
        <v>Not Exists</v>
      </c>
      <c r="N1696" t="str">
        <f t="shared" si="82"/>
        <v>Not Exists</v>
      </c>
      <c r="O1696" t="str">
        <f t="shared" si="83"/>
        <v>Exists</v>
      </c>
      <c r="P1696" t="str">
        <f t="shared" si="84"/>
        <v>Exists</v>
      </c>
    </row>
    <row r="1697" spans="1:16">
      <c r="A1697" s="50" t="s">
        <v>1868</v>
      </c>
      <c r="B1697" s="50" t="s">
        <v>1890</v>
      </c>
      <c r="C1697" s="50" t="s">
        <v>256</v>
      </c>
      <c r="D1697" s="50">
        <v>450</v>
      </c>
      <c r="E1697" s="50" t="s">
        <v>1882</v>
      </c>
      <c r="F1697" s="50" t="s">
        <v>704</v>
      </c>
      <c r="G1697" s="50" t="s">
        <v>256</v>
      </c>
      <c r="H1697" s="50">
        <v>9</v>
      </c>
      <c r="M1697" t="str">
        <f>IF(COUNTIF($A:$A,E1697)=0,"Not Exists","Exists")</f>
        <v>Not Exists</v>
      </c>
      <c r="N1697" t="str">
        <f t="shared" si="82"/>
        <v>Not Exists</v>
      </c>
      <c r="O1697" t="str">
        <f t="shared" si="83"/>
        <v>Exists</v>
      </c>
      <c r="P1697" t="str">
        <f t="shared" si="84"/>
        <v>Exists</v>
      </c>
    </row>
    <row r="1698" spans="1:16">
      <c r="A1698" s="50" t="s">
        <v>1868</v>
      </c>
      <c r="B1698" s="50" t="s">
        <v>1891</v>
      </c>
      <c r="C1698" s="50" t="s">
        <v>251</v>
      </c>
      <c r="D1698" s="50">
        <v>1</v>
      </c>
      <c r="E1698" s="50" t="s">
        <v>1882</v>
      </c>
      <c r="F1698" s="50" t="s">
        <v>1408</v>
      </c>
      <c r="G1698" s="50" t="s">
        <v>256</v>
      </c>
      <c r="H1698" s="50">
        <v>17</v>
      </c>
      <c r="M1698" t="str">
        <f>IF(COUNTIF($A:$A,E1698)=0,"Not Exists","Exists")</f>
        <v>Not Exists</v>
      </c>
      <c r="N1698" t="str">
        <f t="shared" si="82"/>
        <v>Not Exists</v>
      </c>
      <c r="O1698" t="str">
        <f t="shared" si="83"/>
        <v>Exists</v>
      </c>
      <c r="P1698" t="str">
        <f t="shared" si="84"/>
        <v>Exists</v>
      </c>
    </row>
    <row r="1699" spans="1:16">
      <c r="A1699" s="50" t="s">
        <v>1868</v>
      </c>
      <c r="B1699" s="50" t="s">
        <v>1892</v>
      </c>
      <c r="C1699" s="50" t="s">
        <v>251</v>
      </c>
      <c r="D1699" s="50">
        <v>1</v>
      </c>
      <c r="E1699" s="50" t="s">
        <v>1882</v>
      </c>
      <c r="F1699" s="50" t="s">
        <v>1410</v>
      </c>
      <c r="G1699" s="50" t="s">
        <v>256</v>
      </c>
      <c r="H1699" s="50">
        <v>4000</v>
      </c>
      <c r="M1699" t="str">
        <f>IF(COUNTIF($A:$A,E1699)=0,"Not Exists","Exists")</f>
        <v>Not Exists</v>
      </c>
      <c r="N1699" t="str">
        <f t="shared" si="82"/>
        <v>Not Exists</v>
      </c>
      <c r="O1699" t="str">
        <f t="shared" si="83"/>
        <v>Exists</v>
      </c>
      <c r="P1699" t="str">
        <f t="shared" si="84"/>
        <v>Exists</v>
      </c>
    </row>
    <row r="1700" spans="1:16">
      <c r="A1700" s="50" t="s">
        <v>1868</v>
      </c>
      <c r="B1700" s="50" t="s">
        <v>1893</v>
      </c>
      <c r="C1700" s="50" t="s">
        <v>251</v>
      </c>
      <c r="D1700" s="50">
        <v>1</v>
      </c>
      <c r="E1700" s="50" t="s">
        <v>1882</v>
      </c>
      <c r="F1700" s="50" t="s">
        <v>1412</v>
      </c>
      <c r="G1700" s="50" t="s">
        <v>256</v>
      </c>
      <c r="H1700" s="50">
        <v>4000</v>
      </c>
      <c r="M1700" t="str">
        <f>IF(COUNTIF($A:$A,E1700)=0,"Not Exists","Exists")</f>
        <v>Not Exists</v>
      </c>
      <c r="N1700" t="str">
        <f t="shared" si="82"/>
        <v>Not Exists</v>
      </c>
      <c r="O1700" t="str">
        <f t="shared" si="83"/>
        <v>Exists</v>
      </c>
      <c r="P1700" t="str">
        <f t="shared" si="84"/>
        <v>Exists</v>
      </c>
    </row>
    <row r="1701" spans="1:16">
      <c r="A1701" s="50" t="s">
        <v>1868</v>
      </c>
      <c r="B1701" s="50" t="s">
        <v>1894</v>
      </c>
      <c r="C1701" s="50" t="s">
        <v>251</v>
      </c>
      <c r="D1701" s="50">
        <v>1</v>
      </c>
      <c r="E1701" s="50" t="s">
        <v>1882</v>
      </c>
      <c r="F1701" s="50" t="s">
        <v>1414</v>
      </c>
      <c r="G1701" s="50" t="s">
        <v>256</v>
      </c>
      <c r="H1701" s="50">
        <v>4000</v>
      </c>
      <c r="M1701" t="str">
        <f>IF(COUNTIF($A:$A,E1701)=0,"Not Exists","Exists")</f>
        <v>Not Exists</v>
      </c>
      <c r="N1701" t="str">
        <f t="shared" si="82"/>
        <v>Not Exists</v>
      </c>
      <c r="O1701" t="str">
        <f t="shared" si="83"/>
        <v>Exists</v>
      </c>
      <c r="P1701" t="str">
        <f t="shared" si="84"/>
        <v>Exists</v>
      </c>
    </row>
    <row r="1702" spans="1:16">
      <c r="A1702" s="50" t="s">
        <v>1868</v>
      </c>
      <c r="B1702" s="50" t="s">
        <v>1895</v>
      </c>
      <c r="C1702" s="50" t="s">
        <v>251</v>
      </c>
      <c r="D1702" s="50">
        <v>1</v>
      </c>
      <c r="E1702" s="50" t="s">
        <v>793</v>
      </c>
      <c r="F1702" s="50" t="s">
        <v>599</v>
      </c>
      <c r="G1702" s="50" t="s">
        <v>256</v>
      </c>
      <c r="H1702" s="50">
        <v>8</v>
      </c>
      <c r="M1702" t="str">
        <f>IF(COUNTIF($A:$A,E1702)=0,"Not Exists","Exists")</f>
        <v>Exists</v>
      </c>
      <c r="N1702" t="str">
        <f t="shared" si="82"/>
        <v>Not Exists</v>
      </c>
      <c r="O1702" t="str">
        <f t="shared" si="83"/>
        <v>Exists</v>
      </c>
      <c r="P1702" t="str">
        <f t="shared" si="84"/>
        <v>Exists</v>
      </c>
    </row>
    <row r="1703" spans="1:16">
      <c r="A1703" s="50" t="s">
        <v>1868</v>
      </c>
      <c r="B1703" s="50" t="s">
        <v>1896</v>
      </c>
      <c r="C1703" s="50" t="s">
        <v>251</v>
      </c>
      <c r="D1703" s="50">
        <v>1</v>
      </c>
      <c r="E1703" s="50" t="s">
        <v>793</v>
      </c>
      <c r="F1703" s="50" t="s">
        <v>794</v>
      </c>
      <c r="G1703" s="50" t="s">
        <v>256</v>
      </c>
      <c r="H1703" s="50">
        <v>20</v>
      </c>
      <c r="M1703" t="str">
        <f>IF(COUNTIF($A:$A,E1703)=0,"Not Exists","Exists")</f>
        <v>Exists</v>
      </c>
      <c r="N1703" t="str">
        <f t="shared" si="82"/>
        <v>Exists</v>
      </c>
      <c r="O1703" t="str">
        <f t="shared" si="83"/>
        <v>Exists</v>
      </c>
      <c r="P1703" t="str">
        <f t="shared" si="84"/>
        <v>Exists</v>
      </c>
    </row>
    <row r="1704" spans="1:16">
      <c r="A1704" s="50" t="s">
        <v>1868</v>
      </c>
      <c r="B1704" s="50" t="s">
        <v>1897</v>
      </c>
      <c r="C1704" s="50" t="s">
        <v>256</v>
      </c>
      <c r="D1704" s="50">
        <v>50</v>
      </c>
      <c r="E1704" s="50" t="s">
        <v>793</v>
      </c>
      <c r="F1704" s="50" t="s">
        <v>1898</v>
      </c>
      <c r="G1704" s="50" t="s">
        <v>254</v>
      </c>
      <c r="H1704" s="50">
        <v>22</v>
      </c>
      <c r="M1704" t="str">
        <f>IF(COUNTIF($A:$A,E1704)=0,"Not Exists","Exists")</f>
        <v>Exists</v>
      </c>
      <c r="N1704" t="str">
        <f t="shared" si="82"/>
        <v>Not Exists</v>
      </c>
      <c r="O1704" t="str">
        <f t="shared" si="83"/>
        <v>Exists</v>
      </c>
      <c r="P1704" t="str">
        <f t="shared" si="84"/>
        <v>Exists</v>
      </c>
    </row>
    <row r="1705" spans="1:16">
      <c r="A1705" s="50" t="s">
        <v>1868</v>
      </c>
      <c r="B1705" s="50" t="s">
        <v>1899</v>
      </c>
      <c r="C1705" s="50" t="s">
        <v>256</v>
      </c>
      <c r="D1705" s="50">
        <v>50</v>
      </c>
      <c r="E1705" s="50" t="s">
        <v>793</v>
      </c>
      <c r="F1705" s="50" t="s">
        <v>1900</v>
      </c>
      <c r="G1705" s="50" t="s">
        <v>254</v>
      </c>
      <c r="H1705" s="50">
        <v>22</v>
      </c>
      <c r="M1705" t="str">
        <f>IF(COUNTIF($A:$A,E1705)=0,"Not Exists","Exists")</f>
        <v>Exists</v>
      </c>
      <c r="N1705" t="str">
        <f t="shared" si="82"/>
        <v>Not Exists</v>
      </c>
      <c r="O1705" t="str">
        <f t="shared" si="83"/>
        <v>Exists</v>
      </c>
      <c r="P1705" t="str">
        <f t="shared" si="84"/>
        <v>Exists</v>
      </c>
    </row>
    <row r="1706" spans="1:16">
      <c r="A1706" s="50" t="s">
        <v>1868</v>
      </c>
      <c r="B1706" s="50" t="s">
        <v>1901</v>
      </c>
      <c r="C1706" s="50" t="s">
        <v>256</v>
      </c>
      <c r="D1706" s="50">
        <v>50</v>
      </c>
      <c r="E1706" s="50" t="s">
        <v>793</v>
      </c>
      <c r="F1706" s="50" t="s">
        <v>1902</v>
      </c>
      <c r="G1706" s="50" t="s">
        <v>254</v>
      </c>
      <c r="H1706" s="50">
        <v>22</v>
      </c>
      <c r="M1706" t="str">
        <f>IF(COUNTIF($A:$A,E1706)=0,"Not Exists","Exists")</f>
        <v>Exists</v>
      </c>
      <c r="N1706" t="str">
        <f t="shared" si="82"/>
        <v>Not Exists</v>
      </c>
      <c r="O1706" t="str">
        <f t="shared" si="83"/>
        <v>Exists</v>
      </c>
      <c r="P1706" t="str">
        <f t="shared" si="84"/>
        <v>Exists</v>
      </c>
    </row>
    <row r="1707" spans="1:16">
      <c r="A1707" s="50" t="s">
        <v>1903</v>
      </c>
      <c r="B1707" s="50" t="s">
        <v>1904</v>
      </c>
      <c r="C1707" s="50" t="s">
        <v>256</v>
      </c>
      <c r="D1707" s="50">
        <v>50</v>
      </c>
      <c r="E1707" s="50" t="s">
        <v>793</v>
      </c>
      <c r="F1707" s="50" t="s">
        <v>798</v>
      </c>
      <c r="G1707" s="50" t="s">
        <v>256</v>
      </c>
      <c r="H1707" s="50">
        <v>2</v>
      </c>
      <c r="M1707" t="str">
        <f>IF(COUNTIF($A:$A,E1707)=0,"Not Exists","Exists")</f>
        <v>Exists</v>
      </c>
      <c r="N1707" t="str">
        <f t="shared" si="82"/>
        <v>Exists</v>
      </c>
      <c r="O1707" t="str">
        <f t="shared" si="83"/>
        <v>Exists</v>
      </c>
      <c r="P1707" t="str">
        <f t="shared" si="84"/>
        <v>Exists</v>
      </c>
    </row>
    <row r="1708" spans="1:16">
      <c r="A1708" s="50" t="s">
        <v>1903</v>
      </c>
      <c r="B1708" s="50" t="s">
        <v>1905</v>
      </c>
      <c r="C1708" s="50" t="s">
        <v>256</v>
      </c>
      <c r="D1708" s="50">
        <v>50</v>
      </c>
      <c r="E1708" s="50" t="s">
        <v>793</v>
      </c>
      <c r="F1708" s="50" t="s">
        <v>1906</v>
      </c>
      <c r="G1708" s="50" t="s">
        <v>256</v>
      </c>
      <c r="H1708" s="50">
        <v>17</v>
      </c>
      <c r="M1708" t="str">
        <f>IF(COUNTIF($A:$A,E1708)=0,"Not Exists","Exists")</f>
        <v>Exists</v>
      </c>
      <c r="N1708" t="str">
        <f t="shared" si="82"/>
        <v>Not Exists</v>
      </c>
      <c r="O1708" t="str">
        <f t="shared" si="83"/>
        <v>Exists</v>
      </c>
      <c r="P1708" t="str">
        <f t="shared" si="84"/>
        <v>Exists</v>
      </c>
    </row>
    <row r="1709" spans="1:16">
      <c r="A1709" s="50" t="s">
        <v>1903</v>
      </c>
      <c r="B1709" s="50" t="s">
        <v>1907</v>
      </c>
      <c r="C1709" s="50" t="s">
        <v>256</v>
      </c>
      <c r="D1709" s="50">
        <v>50</v>
      </c>
      <c r="E1709" s="50" t="s">
        <v>793</v>
      </c>
      <c r="F1709" s="50" t="s">
        <v>1908</v>
      </c>
      <c r="G1709" s="50" t="s">
        <v>256</v>
      </c>
      <c r="H1709" s="50">
        <v>17</v>
      </c>
      <c r="M1709" t="str">
        <f>IF(COUNTIF($A:$A,E1709)=0,"Not Exists","Exists")</f>
        <v>Exists</v>
      </c>
      <c r="N1709" t="str">
        <f t="shared" si="82"/>
        <v>Not Exists</v>
      </c>
      <c r="O1709" t="str">
        <f t="shared" si="83"/>
        <v>Exists</v>
      </c>
      <c r="P1709" t="str">
        <f t="shared" si="84"/>
        <v>Exists</v>
      </c>
    </row>
    <row r="1710" spans="1:16">
      <c r="A1710" s="50" t="s">
        <v>1903</v>
      </c>
      <c r="B1710" s="50" t="s">
        <v>1909</v>
      </c>
      <c r="C1710" s="50" t="s">
        <v>256</v>
      </c>
      <c r="D1710" s="50">
        <v>50</v>
      </c>
      <c r="E1710" s="50" t="s">
        <v>793</v>
      </c>
      <c r="F1710" s="50" t="s">
        <v>800</v>
      </c>
      <c r="G1710" s="50" t="s">
        <v>256</v>
      </c>
      <c r="H1710" s="50">
        <v>17</v>
      </c>
      <c r="M1710" t="str">
        <f>IF(COUNTIF($A:$A,E1710)=0,"Not Exists","Exists")</f>
        <v>Exists</v>
      </c>
      <c r="N1710" t="str">
        <f t="shared" si="82"/>
        <v>Exists</v>
      </c>
      <c r="O1710" t="str">
        <f t="shared" si="83"/>
        <v>Exists</v>
      </c>
      <c r="P1710" t="str">
        <f t="shared" si="84"/>
        <v>Not Exists</v>
      </c>
    </row>
    <row r="1711" spans="1:16">
      <c r="A1711" s="50" t="s">
        <v>1903</v>
      </c>
      <c r="B1711" s="50" t="s">
        <v>1910</v>
      </c>
      <c r="C1711" s="50" t="s">
        <v>251</v>
      </c>
      <c r="D1711" s="50">
        <v>17</v>
      </c>
      <c r="E1711" s="50" t="s">
        <v>793</v>
      </c>
      <c r="F1711" s="50" t="s">
        <v>801</v>
      </c>
      <c r="G1711" s="50" t="s">
        <v>256</v>
      </c>
      <c r="H1711" s="50">
        <v>17</v>
      </c>
      <c r="M1711" t="str">
        <f>IF(COUNTIF($A:$A,E1711)=0,"Not Exists","Exists")</f>
        <v>Exists</v>
      </c>
      <c r="N1711" t="str">
        <f t="shared" si="82"/>
        <v>Exists</v>
      </c>
      <c r="O1711" t="str">
        <f t="shared" si="83"/>
        <v>Exists</v>
      </c>
      <c r="P1711" t="str">
        <f t="shared" si="84"/>
        <v>Exists</v>
      </c>
    </row>
    <row r="1712" spans="1:16">
      <c r="A1712" s="50" t="s">
        <v>1903</v>
      </c>
      <c r="B1712" s="50" t="s">
        <v>1911</v>
      </c>
      <c r="C1712" s="50" t="s">
        <v>256</v>
      </c>
      <c r="D1712" s="50">
        <v>50</v>
      </c>
      <c r="E1712" s="50" t="s">
        <v>793</v>
      </c>
      <c r="F1712" s="50" t="s">
        <v>1912</v>
      </c>
      <c r="G1712" s="50" t="s">
        <v>254</v>
      </c>
      <c r="H1712" s="50">
        <v>22</v>
      </c>
      <c r="M1712" t="str">
        <f>IF(COUNTIF($A:$A,E1712)=0,"Not Exists","Exists")</f>
        <v>Exists</v>
      </c>
      <c r="N1712" t="str">
        <f t="shared" si="82"/>
        <v>Not Exists</v>
      </c>
      <c r="O1712" t="str">
        <f t="shared" si="83"/>
        <v>Exists</v>
      </c>
      <c r="P1712" t="str">
        <f t="shared" si="84"/>
        <v>Exists</v>
      </c>
    </row>
    <row r="1713" spans="1:16">
      <c r="A1713" s="50" t="s">
        <v>1903</v>
      </c>
      <c r="B1713" s="50" t="s">
        <v>1913</v>
      </c>
      <c r="C1713" s="50" t="s">
        <v>251</v>
      </c>
      <c r="D1713" s="50">
        <v>17</v>
      </c>
      <c r="E1713" s="50" t="s">
        <v>793</v>
      </c>
      <c r="F1713" s="50" t="s">
        <v>1914</v>
      </c>
      <c r="G1713" s="50" t="s">
        <v>254</v>
      </c>
      <c r="H1713" s="50">
        <v>22</v>
      </c>
      <c r="M1713" t="str">
        <f>IF(COUNTIF($A:$A,E1713)=0,"Not Exists","Exists")</f>
        <v>Exists</v>
      </c>
      <c r="N1713" t="str">
        <f t="shared" si="82"/>
        <v>Not Exists</v>
      </c>
      <c r="O1713" t="str">
        <f t="shared" si="83"/>
        <v>Exists</v>
      </c>
      <c r="P1713" t="str">
        <f t="shared" si="84"/>
        <v>Exists</v>
      </c>
    </row>
    <row r="1714" spans="1:16">
      <c r="A1714" s="50" t="s">
        <v>1903</v>
      </c>
      <c r="B1714" s="50" t="s">
        <v>1915</v>
      </c>
      <c r="C1714" s="50" t="s">
        <v>256</v>
      </c>
      <c r="D1714" s="50">
        <v>50</v>
      </c>
      <c r="E1714" s="50" t="s">
        <v>793</v>
      </c>
      <c r="F1714" s="50" t="s">
        <v>1916</v>
      </c>
      <c r="G1714" s="50" t="s">
        <v>254</v>
      </c>
      <c r="H1714" s="50">
        <v>22</v>
      </c>
      <c r="M1714" t="str">
        <f>IF(COUNTIF($A:$A,E1714)=0,"Not Exists","Exists")</f>
        <v>Exists</v>
      </c>
      <c r="N1714" t="str">
        <f t="shared" si="82"/>
        <v>Not Exists</v>
      </c>
      <c r="O1714" t="str">
        <f t="shared" si="83"/>
        <v>Exists</v>
      </c>
      <c r="P1714" t="str">
        <f t="shared" si="84"/>
        <v>Exists</v>
      </c>
    </row>
    <row r="1715" spans="1:16">
      <c r="A1715" s="50" t="s">
        <v>1903</v>
      </c>
      <c r="B1715" s="50" t="s">
        <v>1917</v>
      </c>
      <c r="C1715" s="50" t="s">
        <v>254</v>
      </c>
      <c r="D1715" s="50">
        <v>22</v>
      </c>
      <c r="E1715" s="50" t="s">
        <v>793</v>
      </c>
      <c r="F1715" s="50" t="s">
        <v>1918</v>
      </c>
      <c r="G1715" s="50" t="s">
        <v>254</v>
      </c>
      <c r="H1715" s="50">
        <v>22</v>
      </c>
      <c r="M1715" t="str">
        <f>IF(COUNTIF($A:$A,E1715)=0,"Not Exists","Exists")</f>
        <v>Exists</v>
      </c>
      <c r="N1715" t="str">
        <f t="shared" si="82"/>
        <v>Not Exists</v>
      </c>
      <c r="O1715" t="str">
        <f t="shared" si="83"/>
        <v>Exists</v>
      </c>
      <c r="P1715" t="str">
        <f t="shared" si="84"/>
        <v>Exists</v>
      </c>
    </row>
    <row r="1716" spans="1:16">
      <c r="A1716" s="50" t="s">
        <v>1903</v>
      </c>
      <c r="B1716" s="50" t="s">
        <v>1919</v>
      </c>
      <c r="C1716" s="50" t="s">
        <v>256</v>
      </c>
      <c r="D1716" s="50">
        <v>3000</v>
      </c>
      <c r="E1716" s="50" t="s">
        <v>793</v>
      </c>
      <c r="F1716" s="50" t="s">
        <v>1920</v>
      </c>
      <c r="G1716" s="50" t="s">
        <v>256</v>
      </c>
      <c r="H1716" s="50">
        <v>60</v>
      </c>
      <c r="M1716" t="str">
        <f>IF(COUNTIF($A:$A,E1716)=0,"Not Exists","Exists")</f>
        <v>Exists</v>
      </c>
      <c r="N1716" t="str">
        <f t="shared" si="82"/>
        <v>Not Exists</v>
      </c>
      <c r="O1716" t="str">
        <f t="shared" si="83"/>
        <v>Exists</v>
      </c>
      <c r="P1716" t="str">
        <f t="shared" si="84"/>
        <v>Exists</v>
      </c>
    </row>
    <row r="1717" spans="1:16">
      <c r="A1717" s="50" t="s">
        <v>1903</v>
      </c>
      <c r="B1717" s="50" t="s">
        <v>1921</v>
      </c>
      <c r="C1717" s="50" t="s">
        <v>256</v>
      </c>
      <c r="D1717" s="50">
        <v>3000</v>
      </c>
      <c r="E1717" s="50" t="s">
        <v>793</v>
      </c>
      <c r="F1717" s="50" t="s">
        <v>1922</v>
      </c>
      <c r="G1717" s="50" t="s">
        <v>256</v>
      </c>
      <c r="H1717" s="50">
        <v>60</v>
      </c>
      <c r="M1717" t="str">
        <f>IF(COUNTIF($A:$A,E1717)=0,"Not Exists","Exists")</f>
        <v>Exists</v>
      </c>
      <c r="N1717" t="str">
        <f t="shared" si="82"/>
        <v>Not Exists</v>
      </c>
      <c r="O1717" t="str">
        <f t="shared" si="83"/>
        <v>Exists</v>
      </c>
      <c r="P1717" t="str">
        <f t="shared" si="84"/>
        <v>Exists</v>
      </c>
    </row>
    <row r="1718" spans="1:16">
      <c r="A1718" s="50" t="s">
        <v>1923</v>
      </c>
      <c r="B1718" s="50" t="s">
        <v>1924</v>
      </c>
      <c r="C1718" s="50" t="s">
        <v>256</v>
      </c>
      <c r="D1718" s="50">
        <v>50</v>
      </c>
      <c r="E1718" s="50" t="s">
        <v>793</v>
      </c>
      <c r="F1718" s="50" t="s">
        <v>1925</v>
      </c>
      <c r="G1718" s="50" t="s">
        <v>256</v>
      </c>
      <c r="H1718" s="50">
        <v>60</v>
      </c>
      <c r="M1718" t="str">
        <f>IF(COUNTIF($A:$A,E1718)=0,"Not Exists","Exists")</f>
        <v>Exists</v>
      </c>
      <c r="N1718" t="str">
        <f t="shared" si="82"/>
        <v>Not Exists</v>
      </c>
      <c r="O1718" t="str">
        <f t="shared" si="83"/>
        <v>Exists</v>
      </c>
      <c r="P1718" t="str">
        <f t="shared" si="84"/>
        <v>Exists</v>
      </c>
    </row>
    <row r="1719" spans="1:16">
      <c r="A1719" s="50" t="s">
        <v>1923</v>
      </c>
      <c r="B1719" s="50" t="s">
        <v>1926</v>
      </c>
      <c r="C1719" s="50" t="s">
        <v>256</v>
      </c>
      <c r="D1719" s="50">
        <v>50</v>
      </c>
      <c r="E1719" s="50" t="s">
        <v>1927</v>
      </c>
      <c r="F1719" s="50" t="s">
        <v>781</v>
      </c>
      <c r="G1719" s="50" t="s">
        <v>256</v>
      </c>
      <c r="H1719" s="50">
        <v>8</v>
      </c>
      <c r="M1719" t="str">
        <f>IF(COUNTIF($A:$A,E1719)=0,"Not Exists","Exists")</f>
        <v>Not Exists</v>
      </c>
      <c r="N1719" t="str">
        <f t="shared" ref="N1719:N1754" si="85">IF(COUNTIF($A:$B,F1719)=0,"Not Exists","Exists")</f>
        <v>Exists</v>
      </c>
      <c r="O1719" t="str">
        <f t="shared" si="83"/>
        <v>Exists</v>
      </c>
      <c r="P1719" t="str">
        <f t="shared" si="84"/>
        <v>Not Exists</v>
      </c>
    </row>
    <row r="1720" spans="1:16">
      <c r="A1720" s="50" t="s">
        <v>1923</v>
      </c>
      <c r="B1720" s="50" t="s">
        <v>1928</v>
      </c>
      <c r="C1720" s="50" t="s">
        <v>251</v>
      </c>
      <c r="D1720" s="50">
        <v>17</v>
      </c>
      <c r="E1720" s="50" t="s">
        <v>1927</v>
      </c>
      <c r="F1720" s="50" t="s">
        <v>794</v>
      </c>
      <c r="G1720" s="50" t="s">
        <v>256</v>
      </c>
      <c r="H1720" s="50">
        <v>20</v>
      </c>
      <c r="M1720" t="str">
        <f>IF(COUNTIF($A:$A,E1720)=0,"Not Exists","Exists")</f>
        <v>Not Exists</v>
      </c>
      <c r="N1720" t="str">
        <f t="shared" si="85"/>
        <v>Exists</v>
      </c>
      <c r="O1720" t="str">
        <f t="shared" si="83"/>
        <v>Exists</v>
      </c>
      <c r="P1720" t="str">
        <f t="shared" si="84"/>
        <v>Exists</v>
      </c>
    </row>
    <row r="1721" spans="1:16">
      <c r="A1721" s="50" t="s">
        <v>1923</v>
      </c>
      <c r="B1721" s="50" t="s">
        <v>1929</v>
      </c>
      <c r="C1721" s="50" t="s">
        <v>256</v>
      </c>
      <c r="D1721" s="50">
        <v>50</v>
      </c>
      <c r="E1721" s="50" t="s">
        <v>1927</v>
      </c>
      <c r="F1721" s="50" t="s">
        <v>796</v>
      </c>
      <c r="G1721" s="50" t="s">
        <v>254</v>
      </c>
      <c r="H1721" s="50">
        <v>22</v>
      </c>
      <c r="M1721" t="str">
        <f>IF(COUNTIF($A:$A,E1721)=0,"Not Exists","Exists")</f>
        <v>Not Exists</v>
      </c>
      <c r="N1721" t="str">
        <f t="shared" si="85"/>
        <v>Exists</v>
      </c>
      <c r="O1721" t="str">
        <f t="shared" si="83"/>
        <v>Exists</v>
      </c>
      <c r="P1721" t="str">
        <f t="shared" si="84"/>
        <v>Exists</v>
      </c>
    </row>
    <row r="1722" spans="1:16">
      <c r="A1722" s="50" t="s">
        <v>1923</v>
      </c>
      <c r="B1722" s="50" t="s">
        <v>1930</v>
      </c>
      <c r="C1722" s="50" t="s">
        <v>251</v>
      </c>
      <c r="D1722" s="50">
        <v>17</v>
      </c>
      <c r="E1722" s="50" t="s">
        <v>1927</v>
      </c>
      <c r="F1722" s="50" t="s">
        <v>797</v>
      </c>
      <c r="G1722" s="50" t="s">
        <v>256</v>
      </c>
      <c r="H1722" s="50">
        <v>100</v>
      </c>
      <c r="M1722" t="str">
        <f>IF(COUNTIF($A:$A,E1722)=0,"Not Exists","Exists")</f>
        <v>Not Exists</v>
      </c>
      <c r="N1722" t="str">
        <f t="shared" si="85"/>
        <v>Exists</v>
      </c>
      <c r="O1722" t="str">
        <f t="shared" si="83"/>
        <v>Exists</v>
      </c>
      <c r="P1722" t="str">
        <f t="shared" si="84"/>
        <v>Exists</v>
      </c>
    </row>
    <row r="1723" spans="1:16">
      <c r="A1723" s="50" t="s">
        <v>1923</v>
      </c>
      <c r="B1723" s="50" t="s">
        <v>1931</v>
      </c>
      <c r="C1723" s="50" t="s">
        <v>256</v>
      </c>
      <c r="D1723" s="50">
        <v>50</v>
      </c>
      <c r="E1723" s="50" t="s">
        <v>1927</v>
      </c>
      <c r="F1723" s="50" t="s">
        <v>798</v>
      </c>
      <c r="G1723" s="50" t="s">
        <v>256</v>
      </c>
      <c r="H1723" s="50">
        <v>2</v>
      </c>
      <c r="M1723" t="str">
        <f>IF(COUNTIF($A:$A,E1723)=0,"Not Exists","Exists")</f>
        <v>Not Exists</v>
      </c>
      <c r="N1723" t="str">
        <f t="shared" si="85"/>
        <v>Exists</v>
      </c>
      <c r="O1723" t="str">
        <f t="shared" si="83"/>
        <v>Exists</v>
      </c>
      <c r="P1723" t="str">
        <f t="shared" si="84"/>
        <v>Exists</v>
      </c>
    </row>
    <row r="1724" spans="1:16">
      <c r="A1724" s="50" t="s">
        <v>1923</v>
      </c>
      <c r="B1724" s="50" t="s">
        <v>1932</v>
      </c>
      <c r="C1724" s="50" t="s">
        <v>251</v>
      </c>
      <c r="D1724" s="50">
        <v>17</v>
      </c>
      <c r="E1724" s="50" t="s">
        <v>1927</v>
      </c>
      <c r="F1724" s="50" t="s">
        <v>800</v>
      </c>
      <c r="G1724" s="50" t="s">
        <v>256</v>
      </c>
      <c r="H1724" s="50">
        <v>17</v>
      </c>
      <c r="M1724" t="str">
        <f>IF(COUNTIF($A:$A,E1724)=0,"Not Exists","Exists")</f>
        <v>Not Exists</v>
      </c>
      <c r="N1724" t="str">
        <f t="shared" si="85"/>
        <v>Exists</v>
      </c>
      <c r="O1724" t="str">
        <f t="shared" si="83"/>
        <v>Exists</v>
      </c>
      <c r="P1724" t="str">
        <f t="shared" si="84"/>
        <v>Exists</v>
      </c>
    </row>
    <row r="1725" spans="1:16">
      <c r="A1725" s="50" t="s">
        <v>1923</v>
      </c>
      <c r="B1725" s="50" t="s">
        <v>1933</v>
      </c>
      <c r="C1725" s="50" t="s">
        <v>256</v>
      </c>
      <c r="D1725" s="50">
        <v>450</v>
      </c>
      <c r="E1725" s="50" t="s">
        <v>1927</v>
      </c>
      <c r="F1725" s="50" t="s">
        <v>801</v>
      </c>
      <c r="G1725" s="50" t="s">
        <v>256</v>
      </c>
      <c r="H1725" s="50">
        <v>17</v>
      </c>
      <c r="M1725" t="str">
        <f>IF(COUNTIF($A:$A,E1725)=0,"Not Exists","Exists")</f>
        <v>Not Exists</v>
      </c>
      <c r="N1725" t="str">
        <f t="shared" si="85"/>
        <v>Exists</v>
      </c>
      <c r="O1725" t="str">
        <f t="shared" si="83"/>
        <v>Exists</v>
      </c>
      <c r="P1725" t="str">
        <f t="shared" si="84"/>
        <v>Exists</v>
      </c>
    </row>
    <row r="1726" spans="1:16">
      <c r="A1726" s="50" t="s">
        <v>1923</v>
      </c>
      <c r="B1726" s="50" t="s">
        <v>1934</v>
      </c>
      <c r="C1726" s="50" t="s">
        <v>256</v>
      </c>
      <c r="D1726" s="50">
        <v>450</v>
      </c>
      <c r="E1726" s="50" t="s">
        <v>827</v>
      </c>
      <c r="F1726" s="50" t="s">
        <v>599</v>
      </c>
      <c r="G1726" s="50" t="s">
        <v>256</v>
      </c>
      <c r="H1726" s="50">
        <v>8</v>
      </c>
      <c r="M1726" t="str">
        <f>IF(COUNTIF($A:$A,E1726)=0,"Not Exists","Exists")</f>
        <v>Exists</v>
      </c>
      <c r="N1726" t="str">
        <f t="shared" si="85"/>
        <v>Not Exists</v>
      </c>
      <c r="O1726" t="str">
        <f t="shared" si="83"/>
        <v>Exists</v>
      </c>
      <c r="P1726" t="str">
        <f t="shared" si="84"/>
        <v>Exists</v>
      </c>
    </row>
    <row r="1727" spans="1:16">
      <c r="A1727" s="50" t="s">
        <v>1923</v>
      </c>
      <c r="B1727" s="50" t="s">
        <v>1935</v>
      </c>
      <c r="C1727" s="50" t="s">
        <v>256</v>
      </c>
      <c r="D1727" s="50">
        <v>50</v>
      </c>
      <c r="E1727" s="50" t="s">
        <v>827</v>
      </c>
      <c r="F1727" s="50" t="s">
        <v>794</v>
      </c>
      <c r="G1727" s="50" t="s">
        <v>256</v>
      </c>
      <c r="H1727" s="50">
        <v>20</v>
      </c>
      <c r="M1727" t="str">
        <f>IF(COUNTIF($A:$A,E1727)=0,"Not Exists","Exists")</f>
        <v>Exists</v>
      </c>
      <c r="N1727" t="str">
        <f t="shared" si="85"/>
        <v>Exists</v>
      </c>
      <c r="O1727" t="str">
        <f t="shared" si="83"/>
        <v>Exists</v>
      </c>
      <c r="P1727" t="str">
        <f t="shared" si="84"/>
        <v>Exists</v>
      </c>
    </row>
    <row r="1728" spans="1:16">
      <c r="A1728" s="50" t="s">
        <v>1923</v>
      </c>
      <c r="B1728" s="50" t="s">
        <v>1936</v>
      </c>
      <c r="C1728" s="50" t="s">
        <v>256</v>
      </c>
      <c r="D1728" s="50">
        <v>50</v>
      </c>
      <c r="E1728" s="50" t="s">
        <v>827</v>
      </c>
      <c r="F1728" s="50" t="s">
        <v>796</v>
      </c>
      <c r="G1728" s="50" t="s">
        <v>254</v>
      </c>
      <c r="H1728" s="50">
        <v>22</v>
      </c>
      <c r="M1728" t="str">
        <f>IF(COUNTIF($A:$A,E1728)=0,"Not Exists","Exists")</f>
        <v>Exists</v>
      </c>
      <c r="N1728" t="str">
        <f t="shared" si="85"/>
        <v>Exists</v>
      </c>
      <c r="O1728" t="str">
        <f t="shared" si="83"/>
        <v>Exists</v>
      </c>
      <c r="P1728" t="str">
        <f t="shared" si="84"/>
        <v>Exists</v>
      </c>
    </row>
    <row r="1729" spans="1:16">
      <c r="A1729" s="50" t="s">
        <v>1937</v>
      </c>
      <c r="B1729" s="50" t="s">
        <v>378</v>
      </c>
      <c r="C1729" s="50" t="s">
        <v>256</v>
      </c>
      <c r="D1729" s="50">
        <v>50</v>
      </c>
      <c r="E1729" s="50" t="s">
        <v>827</v>
      </c>
      <c r="F1729" s="50" t="s">
        <v>1938</v>
      </c>
      <c r="G1729" s="50" t="s">
        <v>254</v>
      </c>
      <c r="H1729" s="50">
        <v>22</v>
      </c>
      <c r="M1729" t="str">
        <f>IF(COUNTIF($A:$A,E1729)=0,"Not Exists","Exists")</f>
        <v>Exists</v>
      </c>
      <c r="N1729" t="str">
        <f t="shared" si="85"/>
        <v>Not Exists</v>
      </c>
      <c r="O1729" t="str">
        <f t="shared" si="83"/>
        <v>Not Exists</v>
      </c>
      <c r="P1729" t="str">
        <f t="shared" si="84"/>
        <v>Not Exists</v>
      </c>
    </row>
    <row r="1730" spans="1:16">
      <c r="A1730" s="50" t="s">
        <v>1937</v>
      </c>
      <c r="B1730" s="50" t="s">
        <v>436</v>
      </c>
      <c r="C1730" s="50" t="s">
        <v>256</v>
      </c>
      <c r="D1730" s="50">
        <v>50</v>
      </c>
      <c r="E1730" s="50" t="s">
        <v>827</v>
      </c>
      <c r="F1730" s="50" t="s">
        <v>828</v>
      </c>
      <c r="G1730" s="50" t="s">
        <v>256</v>
      </c>
      <c r="H1730" s="50">
        <v>17</v>
      </c>
      <c r="M1730" t="str">
        <f>IF(COUNTIF($A:$A,E1730)=0,"Not Exists","Exists")</f>
        <v>Exists</v>
      </c>
      <c r="N1730" t="str">
        <f t="shared" si="85"/>
        <v>Exists</v>
      </c>
      <c r="O1730" t="str">
        <f t="shared" si="83"/>
        <v>Not Exists</v>
      </c>
      <c r="P1730" t="str">
        <f t="shared" si="84"/>
        <v>Not Exists</v>
      </c>
    </row>
    <row r="1731" spans="1:16">
      <c r="A1731" s="50" t="s">
        <v>1937</v>
      </c>
      <c r="B1731" s="50" t="s">
        <v>1939</v>
      </c>
      <c r="C1731" s="50" t="s">
        <v>256</v>
      </c>
      <c r="D1731" s="50">
        <v>50</v>
      </c>
      <c r="E1731" s="50" t="s">
        <v>827</v>
      </c>
      <c r="F1731" s="50" t="s">
        <v>637</v>
      </c>
      <c r="G1731" s="50" t="s">
        <v>256</v>
      </c>
      <c r="H1731" s="50">
        <v>20</v>
      </c>
      <c r="M1731" t="str">
        <f>IF(COUNTIF($A:$A,E1731)=0,"Not Exists","Exists")</f>
        <v>Exists</v>
      </c>
      <c r="N1731" t="str">
        <f t="shared" si="85"/>
        <v>Exists</v>
      </c>
      <c r="O1731" t="str">
        <f t="shared" si="83"/>
        <v>Not Exists</v>
      </c>
      <c r="P1731" t="str">
        <f t="shared" si="84"/>
        <v>Not Exists</v>
      </c>
    </row>
    <row r="1732" spans="1:16">
      <c r="A1732" s="50" t="s">
        <v>1937</v>
      </c>
      <c r="B1732" s="50" t="s">
        <v>1940</v>
      </c>
      <c r="C1732" s="50" t="s">
        <v>256</v>
      </c>
      <c r="D1732" s="50">
        <v>50</v>
      </c>
      <c r="E1732" s="50" t="s">
        <v>827</v>
      </c>
      <c r="F1732" s="50" t="s">
        <v>834</v>
      </c>
      <c r="G1732" s="50" t="s">
        <v>427</v>
      </c>
      <c r="H1732" s="50">
        <v>4000</v>
      </c>
      <c r="M1732" t="str">
        <f>IF(COUNTIF($A:$A,E1732)=0,"Not Exists","Exists")</f>
        <v>Exists</v>
      </c>
      <c r="N1732" t="str">
        <f t="shared" si="85"/>
        <v>Exists</v>
      </c>
      <c r="O1732" t="str">
        <f t="shared" ref="O1732:O1795" si="86">IF(COUNTIF($E:$E,A1732)=0,"Not Exists","Exists")</f>
        <v>Not Exists</v>
      </c>
      <c r="P1732" t="str">
        <f t="shared" ref="P1732:P1795" si="87">IF(COUNTIF($F:$F,B1732)=0,"Not Exists","Exists")</f>
        <v>Not Exists</v>
      </c>
    </row>
    <row r="1733" spans="1:16">
      <c r="A1733" s="50" t="s">
        <v>1937</v>
      </c>
      <c r="B1733" s="50" t="s">
        <v>1941</v>
      </c>
      <c r="C1733" s="50" t="s">
        <v>256</v>
      </c>
      <c r="D1733" s="50">
        <v>1000</v>
      </c>
      <c r="E1733" s="50" t="s">
        <v>836</v>
      </c>
      <c r="F1733" s="50" t="s">
        <v>794</v>
      </c>
      <c r="G1733" s="50" t="s">
        <v>256</v>
      </c>
      <c r="H1733" s="50">
        <v>20</v>
      </c>
      <c r="M1733" t="str">
        <f>IF(COUNTIF($A:$A,E1733)=0,"Not Exists","Exists")</f>
        <v>Exists</v>
      </c>
      <c r="N1733" t="str">
        <f t="shared" si="85"/>
        <v>Exists</v>
      </c>
      <c r="O1733" t="str">
        <f t="shared" si="86"/>
        <v>Not Exists</v>
      </c>
      <c r="P1733" t="str">
        <f t="shared" si="87"/>
        <v>Not Exists</v>
      </c>
    </row>
    <row r="1734" spans="1:16">
      <c r="A1734" s="50" t="s">
        <v>1937</v>
      </c>
      <c r="B1734" s="50" t="s">
        <v>1942</v>
      </c>
      <c r="C1734" s="50" t="s">
        <v>256</v>
      </c>
      <c r="D1734" s="50">
        <v>6</v>
      </c>
      <c r="E1734" s="50" t="s">
        <v>836</v>
      </c>
      <c r="F1734" s="50" t="s">
        <v>612</v>
      </c>
      <c r="G1734" s="50" t="s">
        <v>256</v>
      </c>
      <c r="H1734" s="50">
        <v>50</v>
      </c>
      <c r="M1734" t="str">
        <f>IF(COUNTIF($A:$A,E1734)=0,"Not Exists","Exists")</f>
        <v>Exists</v>
      </c>
      <c r="N1734" t="str">
        <f t="shared" si="85"/>
        <v>Exists</v>
      </c>
      <c r="O1734" t="str">
        <f t="shared" si="86"/>
        <v>Not Exists</v>
      </c>
      <c r="P1734" t="str">
        <f t="shared" si="87"/>
        <v>Not Exists</v>
      </c>
    </row>
    <row r="1735" spans="1:16">
      <c r="A1735" s="50" t="s">
        <v>1937</v>
      </c>
      <c r="B1735" s="50" t="s">
        <v>1943</v>
      </c>
      <c r="C1735" s="50" t="s">
        <v>256</v>
      </c>
      <c r="D1735" s="50">
        <v>17</v>
      </c>
      <c r="E1735" s="50" t="s">
        <v>836</v>
      </c>
      <c r="F1735" s="50" t="s">
        <v>317</v>
      </c>
      <c r="G1735" s="50" t="s">
        <v>251</v>
      </c>
      <c r="H1735" s="50">
        <v>17</v>
      </c>
      <c r="M1735" t="str">
        <f>IF(COUNTIF($A:$A,E1735)=0,"Not Exists","Exists")</f>
        <v>Exists</v>
      </c>
      <c r="N1735" t="str">
        <f t="shared" si="85"/>
        <v>Exists</v>
      </c>
      <c r="O1735" t="str">
        <f t="shared" si="86"/>
        <v>Not Exists</v>
      </c>
      <c r="P1735" t="str">
        <f t="shared" si="87"/>
        <v>Not Exists</v>
      </c>
    </row>
    <row r="1736" spans="1:16">
      <c r="A1736" s="50" t="s">
        <v>1937</v>
      </c>
      <c r="B1736" s="50" t="s">
        <v>389</v>
      </c>
      <c r="C1736" s="50" t="s">
        <v>256</v>
      </c>
      <c r="D1736" s="50">
        <v>50</v>
      </c>
      <c r="E1736" s="50" t="s">
        <v>836</v>
      </c>
      <c r="F1736" s="50" t="s">
        <v>318</v>
      </c>
      <c r="G1736" s="50" t="s">
        <v>256</v>
      </c>
      <c r="H1736" s="50">
        <v>50</v>
      </c>
      <c r="M1736" t="str">
        <f>IF(COUNTIF($A:$A,E1736)=0,"Not Exists","Exists")</f>
        <v>Exists</v>
      </c>
      <c r="N1736" t="str">
        <f t="shared" si="85"/>
        <v>Exists</v>
      </c>
      <c r="O1736" t="str">
        <f t="shared" si="86"/>
        <v>Not Exists</v>
      </c>
      <c r="P1736" t="str">
        <f t="shared" si="87"/>
        <v>Exists</v>
      </c>
    </row>
    <row r="1737" spans="1:16">
      <c r="A1737" s="50" t="s">
        <v>1937</v>
      </c>
      <c r="B1737" s="50" t="s">
        <v>1944</v>
      </c>
      <c r="C1737" s="50" t="s">
        <v>256</v>
      </c>
      <c r="D1737" s="50">
        <v>8</v>
      </c>
      <c r="E1737" s="50" t="s">
        <v>836</v>
      </c>
      <c r="F1737" s="50" t="s">
        <v>315</v>
      </c>
      <c r="G1737" s="50" t="s">
        <v>251</v>
      </c>
      <c r="H1737" s="50">
        <v>17</v>
      </c>
      <c r="M1737" t="str">
        <f>IF(COUNTIF($A:$A,E1737)=0,"Not Exists","Exists")</f>
        <v>Exists</v>
      </c>
      <c r="N1737" t="str">
        <f t="shared" si="85"/>
        <v>Exists</v>
      </c>
      <c r="O1737" t="str">
        <f t="shared" si="86"/>
        <v>Not Exists</v>
      </c>
      <c r="P1737" t="str">
        <f t="shared" si="87"/>
        <v>Not Exists</v>
      </c>
    </row>
    <row r="1738" spans="1:16">
      <c r="A1738" s="50" t="s">
        <v>1937</v>
      </c>
      <c r="B1738" s="50" t="s">
        <v>1945</v>
      </c>
      <c r="C1738" s="50" t="s">
        <v>256</v>
      </c>
      <c r="D1738" s="50">
        <v>8</v>
      </c>
      <c r="E1738" s="50" t="s">
        <v>836</v>
      </c>
      <c r="F1738" s="50" t="s">
        <v>316</v>
      </c>
      <c r="G1738" s="50" t="s">
        <v>256</v>
      </c>
      <c r="H1738" s="50">
        <v>50</v>
      </c>
      <c r="M1738" t="str">
        <f>IF(COUNTIF($A:$A,E1738)=0,"Not Exists","Exists")</f>
        <v>Exists</v>
      </c>
      <c r="N1738" t="str">
        <f t="shared" si="85"/>
        <v>Exists</v>
      </c>
      <c r="O1738" t="str">
        <f t="shared" si="86"/>
        <v>Not Exists</v>
      </c>
      <c r="P1738" t="str">
        <f t="shared" si="87"/>
        <v>Not Exists</v>
      </c>
    </row>
    <row r="1739" spans="1:16">
      <c r="A1739" s="50" t="s">
        <v>1946</v>
      </c>
      <c r="B1739" s="50" t="s">
        <v>378</v>
      </c>
      <c r="C1739" s="50" t="s">
        <v>256</v>
      </c>
      <c r="D1739" s="50">
        <v>50</v>
      </c>
      <c r="E1739" s="50" t="s">
        <v>836</v>
      </c>
      <c r="F1739" s="50" t="s">
        <v>839</v>
      </c>
      <c r="G1739" s="50" t="s">
        <v>254</v>
      </c>
      <c r="H1739" s="50">
        <v>22</v>
      </c>
      <c r="M1739" t="str">
        <f>IF(COUNTIF($A:$A,E1739)=0,"Not Exists","Exists")</f>
        <v>Exists</v>
      </c>
      <c r="N1739" t="str">
        <f t="shared" si="85"/>
        <v>Exists</v>
      </c>
      <c r="O1739" t="str">
        <f t="shared" si="86"/>
        <v>Not Exists</v>
      </c>
      <c r="P1739" t="str">
        <f t="shared" si="87"/>
        <v>Not Exists</v>
      </c>
    </row>
    <row r="1740" spans="1:16">
      <c r="A1740" s="50" t="s">
        <v>1946</v>
      </c>
      <c r="B1740" s="50" t="s">
        <v>436</v>
      </c>
      <c r="C1740" s="50" t="s">
        <v>256</v>
      </c>
      <c r="D1740" s="50">
        <v>50</v>
      </c>
      <c r="E1740" s="50" t="s">
        <v>836</v>
      </c>
      <c r="F1740" s="50" t="s">
        <v>840</v>
      </c>
      <c r="G1740" s="50" t="s">
        <v>254</v>
      </c>
      <c r="H1740" s="50">
        <v>22</v>
      </c>
      <c r="M1740" t="str">
        <f>IF(COUNTIF($A:$A,E1740)=0,"Not Exists","Exists")</f>
        <v>Exists</v>
      </c>
      <c r="N1740" t="str">
        <f t="shared" si="85"/>
        <v>Exists</v>
      </c>
      <c r="O1740" t="str">
        <f t="shared" si="86"/>
        <v>Not Exists</v>
      </c>
      <c r="P1740" t="str">
        <f t="shared" si="87"/>
        <v>Not Exists</v>
      </c>
    </row>
    <row r="1741" spans="1:16">
      <c r="A1741" s="50" t="s">
        <v>1946</v>
      </c>
      <c r="B1741" s="50" t="s">
        <v>1947</v>
      </c>
      <c r="C1741" s="50" t="s">
        <v>256</v>
      </c>
      <c r="D1741" s="50">
        <v>100</v>
      </c>
      <c r="E1741" s="50" t="s">
        <v>841</v>
      </c>
      <c r="F1741" s="50" t="s">
        <v>794</v>
      </c>
      <c r="G1741" s="50" t="s">
        <v>256</v>
      </c>
      <c r="H1741" s="50">
        <v>50</v>
      </c>
      <c r="M1741" t="str">
        <f>IF(COUNTIF($A:$A,E1741)=0,"Not Exists","Exists")</f>
        <v>Exists</v>
      </c>
      <c r="N1741" t="str">
        <f t="shared" si="85"/>
        <v>Exists</v>
      </c>
      <c r="O1741" t="str">
        <f t="shared" si="86"/>
        <v>Not Exists</v>
      </c>
      <c r="P1741" t="str">
        <f t="shared" si="87"/>
        <v>Not Exists</v>
      </c>
    </row>
    <row r="1742" spans="1:16">
      <c r="A1742" s="50" t="s">
        <v>1946</v>
      </c>
      <c r="B1742" s="50" t="s">
        <v>930</v>
      </c>
      <c r="C1742" s="50" t="s">
        <v>256</v>
      </c>
      <c r="D1742" s="50">
        <v>20</v>
      </c>
      <c r="E1742" s="50" t="s">
        <v>841</v>
      </c>
      <c r="F1742" s="50" t="s">
        <v>317</v>
      </c>
      <c r="G1742" s="50" t="s">
        <v>251</v>
      </c>
      <c r="H1742" s="50">
        <v>17</v>
      </c>
      <c r="M1742" t="str">
        <f>IF(COUNTIF($A:$A,E1742)=0,"Not Exists","Exists")</f>
        <v>Exists</v>
      </c>
      <c r="N1742" t="str">
        <f t="shared" si="85"/>
        <v>Exists</v>
      </c>
      <c r="O1742" t="str">
        <f t="shared" si="86"/>
        <v>Not Exists</v>
      </c>
      <c r="P1742" t="str">
        <f t="shared" si="87"/>
        <v>Exists</v>
      </c>
    </row>
    <row r="1743" spans="1:16">
      <c r="A1743" s="50" t="s">
        <v>1946</v>
      </c>
      <c r="B1743" s="50" t="s">
        <v>1948</v>
      </c>
      <c r="C1743" s="50" t="s">
        <v>256</v>
      </c>
      <c r="D1743" s="50">
        <v>100</v>
      </c>
      <c r="E1743" s="50" t="s">
        <v>841</v>
      </c>
      <c r="F1743" s="50" t="s">
        <v>318</v>
      </c>
      <c r="G1743" s="50" t="s">
        <v>256</v>
      </c>
      <c r="H1743" s="50">
        <v>50</v>
      </c>
      <c r="M1743" t="str">
        <f>IF(COUNTIF($A:$A,E1743)=0,"Not Exists","Exists")</f>
        <v>Exists</v>
      </c>
      <c r="N1743" t="str">
        <f t="shared" si="85"/>
        <v>Exists</v>
      </c>
      <c r="O1743" t="str">
        <f t="shared" si="86"/>
        <v>Not Exists</v>
      </c>
      <c r="P1743" t="str">
        <f t="shared" si="87"/>
        <v>Not Exists</v>
      </c>
    </row>
    <row r="1744" spans="1:16">
      <c r="A1744" s="50" t="s">
        <v>1946</v>
      </c>
      <c r="B1744" s="50" t="s">
        <v>1949</v>
      </c>
      <c r="C1744" s="50" t="s">
        <v>256</v>
      </c>
      <c r="D1744" s="50">
        <v>7</v>
      </c>
      <c r="E1744" s="50" t="s">
        <v>841</v>
      </c>
      <c r="F1744" s="50" t="s">
        <v>315</v>
      </c>
      <c r="G1744" s="50" t="s">
        <v>251</v>
      </c>
      <c r="H1744" s="50">
        <v>17</v>
      </c>
      <c r="M1744" t="str">
        <f>IF(COUNTIF($A:$A,E1744)=0,"Not Exists","Exists")</f>
        <v>Exists</v>
      </c>
      <c r="N1744" t="str">
        <f t="shared" si="85"/>
        <v>Exists</v>
      </c>
      <c r="O1744" t="str">
        <f t="shared" si="86"/>
        <v>Not Exists</v>
      </c>
      <c r="P1744" t="str">
        <f t="shared" si="87"/>
        <v>Not Exists</v>
      </c>
    </row>
    <row r="1745" spans="1:16">
      <c r="A1745" s="50" t="s">
        <v>1946</v>
      </c>
      <c r="B1745" s="50" t="s">
        <v>1950</v>
      </c>
      <c r="C1745" s="50" t="s">
        <v>256</v>
      </c>
      <c r="D1745" s="50">
        <v>7</v>
      </c>
      <c r="E1745" s="50" t="s">
        <v>841</v>
      </c>
      <c r="F1745" s="50" t="s">
        <v>316</v>
      </c>
      <c r="G1745" s="50" t="s">
        <v>256</v>
      </c>
      <c r="H1745" s="50">
        <v>50</v>
      </c>
      <c r="M1745" t="str">
        <f>IF(COUNTIF($A:$A,E1745)=0,"Not Exists","Exists")</f>
        <v>Exists</v>
      </c>
      <c r="N1745" t="str">
        <f t="shared" si="85"/>
        <v>Exists</v>
      </c>
      <c r="O1745" t="str">
        <f t="shared" si="86"/>
        <v>Not Exists</v>
      </c>
      <c r="P1745" t="str">
        <f t="shared" si="87"/>
        <v>Not Exists</v>
      </c>
    </row>
    <row r="1746" spans="1:16">
      <c r="A1746" s="50" t="s">
        <v>1946</v>
      </c>
      <c r="B1746" s="50" t="s">
        <v>1951</v>
      </c>
      <c r="C1746" s="50" t="s">
        <v>254</v>
      </c>
      <c r="D1746" s="50">
        <v>22</v>
      </c>
      <c r="E1746" s="50" t="s">
        <v>841</v>
      </c>
      <c r="F1746" s="50" t="s">
        <v>842</v>
      </c>
      <c r="G1746" s="50" t="s">
        <v>256</v>
      </c>
      <c r="H1746" s="50">
        <v>100</v>
      </c>
      <c r="M1746" t="str">
        <f>IF(COUNTIF($A:$A,E1746)=0,"Not Exists","Exists")</f>
        <v>Exists</v>
      </c>
      <c r="N1746" t="str">
        <f t="shared" si="85"/>
        <v>Exists</v>
      </c>
      <c r="O1746" t="str">
        <f t="shared" si="86"/>
        <v>Not Exists</v>
      </c>
      <c r="P1746" t="str">
        <f t="shared" si="87"/>
        <v>Not Exists</v>
      </c>
    </row>
    <row r="1747" spans="1:16">
      <c r="A1747" s="50" t="s">
        <v>1946</v>
      </c>
      <c r="B1747" s="50" t="s">
        <v>1952</v>
      </c>
      <c r="C1747" s="50" t="s">
        <v>254</v>
      </c>
      <c r="D1747" s="50">
        <v>22</v>
      </c>
      <c r="E1747" s="50" t="s">
        <v>841</v>
      </c>
      <c r="F1747" s="50" t="s">
        <v>780</v>
      </c>
      <c r="G1747" s="50" t="s">
        <v>256</v>
      </c>
      <c r="H1747" s="50">
        <v>20</v>
      </c>
      <c r="M1747" t="str">
        <f>IF(COUNTIF($A:$A,E1747)=0,"Not Exists","Exists")</f>
        <v>Exists</v>
      </c>
      <c r="N1747" t="str">
        <f t="shared" si="85"/>
        <v>Exists</v>
      </c>
      <c r="O1747" t="str">
        <f t="shared" si="86"/>
        <v>Not Exists</v>
      </c>
      <c r="P1747" t="str">
        <f t="shared" si="87"/>
        <v>Not Exists</v>
      </c>
    </row>
    <row r="1748" spans="1:16">
      <c r="A1748" s="50" t="s">
        <v>1946</v>
      </c>
      <c r="B1748" s="50" t="s">
        <v>1953</v>
      </c>
      <c r="C1748" s="50" t="s">
        <v>256</v>
      </c>
      <c r="D1748" s="50">
        <v>1000</v>
      </c>
      <c r="E1748" s="50" t="s">
        <v>841</v>
      </c>
      <c r="F1748" s="50" t="s">
        <v>843</v>
      </c>
      <c r="G1748" s="50" t="s">
        <v>254</v>
      </c>
      <c r="H1748" s="50">
        <v>22</v>
      </c>
      <c r="M1748" t="str">
        <f>IF(COUNTIF($A:$A,E1748)=0,"Not Exists","Exists")</f>
        <v>Exists</v>
      </c>
      <c r="N1748" t="str">
        <f t="shared" si="85"/>
        <v>Exists</v>
      </c>
      <c r="O1748" t="str">
        <f t="shared" si="86"/>
        <v>Not Exists</v>
      </c>
      <c r="P1748" t="str">
        <f t="shared" si="87"/>
        <v>Not Exists</v>
      </c>
    </row>
    <row r="1749" spans="1:16">
      <c r="A1749" s="50" t="s">
        <v>1946</v>
      </c>
      <c r="B1749" s="50" t="s">
        <v>1954</v>
      </c>
      <c r="C1749" s="50" t="s">
        <v>256</v>
      </c>
      <c r="D1749" s="50">
        <v>30</v>
      </c>
      <c r="E1749" s="50" t="s">
        <v>841</v>
      </c>
      <c r="F1749" s="50" t="s">
        <v>844</v>
      </c>
      <c r="G1749" s="50" t="s">
        <v>256</v>
      </c>
      <c r="H1749" s="50">
        <v>50</v>
      </c>
      <c r="M1749" t="str">
        <f>IF(COUNTIF($A:$A,E1749)=0,"Not Exists","Exists")</f>
        <v>Exists</v>
      </c>
      <c r="N1749" t="str">
        <f t="shared" si="85"/>
        <v>Exists</v>
      </c>
      <c r="O1749" t="str">
        <f t="shared" si="86"/>
        <v>Not Exists</v>
      </c>
      <c r="P1749" t="str">
        <f t="shared" si="87"/>
        <v>Not Exists</v>
      </c>
    </row>
    <row r="1750" spans="1:16">
      <c r="A1750" s="50" t="s">
        <v>1946</v>
      </c>
      <c r="B1750" s="50" t="s">
        <v>1955</v>
      </c>
      <c r="C1750" s="50" t="s">
        <v>256</v>
      </c>
      <c r="D1750" s="50">
        <v>30</v>
      </c>
      <c r="E1750" s="50" t="s">
        <v>841</v>
      </c>
      <c r="F1750" s="50" t="s">
        <v>845</v>
      </c>
      <c r="G1750" s="50" t="s">
        <v>256</v>
      </c>
      <c r="H1750" s="50">
        <v>1</v>
      </c>
      <c r="M1750" t="str">
        <f>IF(COUNTIF($A:$A,E1750)=0,"Not Exists","Exists")</f>
        <v>Exists</v>
      </c>
      <c r="N1750" t="str">
        <f t="shared" si="85"/>
        <v>Exists</v>
      </c>
      <c r="O1750" t="str">
        <f t="shared" si="86"/>
        <v>Not Exists</v>
      </c>
      <c r="P1750" t="str">
        <f t="shared" si="87"/>
        <v>Not Exists</v>
      </c>
    </row>
    <row r="1751" spans="1:16">
      <c r="A1751" s="50" t="s">
        <v>1956</v>
      </c>
      <c r="B1751" s="50" t="s">
        <v>378</v>
      </c>
      <c r="C1751" s="50" t="s">
        <v>256</v>
      </c>
      <c r="D1751" s="50">
        <v>50</v>
      </c>
      <c r="E1751" s="50" t="s">
        <v>841</v>
      </c>
      <c r="F1751" s="50" t="s">
        <v>846</v>
      </c>
      <c r="G1751" s="50" t="s">
        <v>256</v>
      </c>
      <c r="H1751" s="50">
        <v>2</v>
      </c>
      <c r="M1751" t="str">
        <f>IF(COUNTIF($A:$A,E1751)=0,"Not Exists","Exists")</f>
        <v>Exists</v>
      </c>
      <c r="N1751" t="str">
        <f t="shared" si="85"/>
        <v>Exists</v>
      </c>
      <c r="O1751" t="str">
        <f t="shared" si="86"/>
        <v>Not Exists</v>
      </c>
      <c r="P1751" t="str">
        <f t="shared" si="87"/>
        <v>Not Exists</v>
      </c>
    </row>
    <row r="1752" spans="1:16">
      <c r="A1752" s="50" t="s">
        <v>1956</v>
      </c>
      <c r="B1752" s="50" t="s">
        <v>436</v>
      </c>
      <c r="C1752" s="50" t="s">
        <v>256</v>
      </c>
      <c r="D1752" s="50">
        <v>50</v>
      </c>
      <c r="E1752" s="50" t="s">
        <v>841</v>
      </c>
      <c r="F1752" s="50" t="s">
        <v>847</v>
      </c>
      <c r="G1752" s="50" t="s">
        <v>254</v>
      </c>
      <c r="H1752" s="50">
        <v>22</v>
      </c>
      <c r="M1752" t="str">
        <f>IF(COUNTIF($A:$A,E1752)=0,"Not Exists","Exists")</f>
        <v>Exists</v>
      </c>
      <c r="N1752" t="str">
        <f t="shared" si="85"/>
        <v>Exists</v>
      </c>
      <c r="O1752" t="str">
        <f t="shared" si="86"/>
        <v>Not Exists</v>
      </c>
      <c r="P1752" t="str">
        <f t="shared" si="87"/>
        <v>Not Exists</v>
      </c>
    </row>
    <row r="1753" spans="1:16">
      <c r="A1753" s="50" t="s">
        <v>1956</v>
      </c>
      <c r="B1753" s="50" t="s">
        <v>1218</v>
      </c>
      <c r="C1753" s="50" t="s">
        <v>256</v>
      </c>
      <c r="D1753" s="50">
        <v>50</v>
      </c>
      <c r="E1753" s="50" t="s">
        <v>841</v>
      </c>
      <c r="F1753" s="50" t="s">
        <v>848</v>
      </c>
      <c r="G1753" s="50" t="s">
        <v>254</v>
      </c>
      <c r="H1753" s="50">
        <v>22</v>
      </c>
      <c r="M1753" t="str">
        <f>IF(COUNTIF($A:$A,E1753)=0,"Not Exists","Exists")</f>
        <v>Exists</v>
      </c>
      <c r="N1753" t="str">
        <f t="shared" si="85"/>
        <v>Exists</v>
      </c>
      <c r="O1753" t="str">
        <f t="shared" si="86"/>
        <v>Not Exists</v>
      </c>
      <c r="P1753" t="str">
        <f t="shared" si="87"/>
        <v>Exists</v>
      </c>
    </row>
    <row r="1754" spans="1:16">
      <c r="A1754" s="50" t="s">
        <v>1956</v>
      </c>
      <c r="B1754" s="50" t="s">
        <v>1232</v>
      </c>
      <c r="C1754" s="50" t="s">
        <v>256</v>
      </c>
      <c r="D1754" s="50">
        <v>450</v>
      </c>
      <c r="E1754" s="50" t="s">
        <v>841</v>
      </c>
      <c r="F1754" s="50" t="s">
        <v>849</v>
      </c>
      <c r="G1754" s="50" t="s">
        <v>254</v>
      </c>
      <c r="H1754" s="50">
        <v>22</v>
      </c>
      <c r="M1754" t="str">
        <f>IF(COUNTIF($A:$A,E1754)=0,"Not Exists","Exists")</f>
        <v>Exists</v>
      </c>
      <c r="N1754" t="str">
        <f t="shared" si="85"/>
        <v>Exists</v>
      </c>
      <c r="O1754" t="str">
        <f t="shared" si="86"/>
        <v>Not Exists</v>
      </c>
      <c r="P1754" t="str">
        <f t="shared" si="87"/>
        <v>Exists</v>
      </c>
    </row>
    <row r="1755" spans="1:16">
      <c r="A1755" s="50" t="s">
        <v>1956</v>
      </c>
      <c r="B1755" s="50" t="s">
        <v>478</v>
      </c>
      <c r="C1755" s="50" t="s">
        <v>256</v>
      </c>
      <c r="D1755" s="50">
        <v>50</v>
      </c>
      <c r="E1755" s="50" t="s">
        <v>1957</v>
      </c>
      <c r="F1755" s="50" t="s">
        <v>929</v>
      </c>
      <c r="G1755" s="50" t="s">
        <v>256</v>
      </c>
      <c r="H1755" s="50">
        <v>2</v>
      </c>
      <c r="M1755" t="str">
        <f>IF(COUNTIF($A:$A,E1755)=0,"Not Exists","Exists")</f>
        <v>Not Exists</v>
      </c>
      <c r="N1755" t="str">
        <f t="shared" ref="N1755:N1818" si="88">IF(COUNTIF($A:$B,F1755)=0,"Not Exists","Exists")</f>
        <v>Not Exists</v>
      </c>
      <c r="O1755" t="str">
        <f t="shared" si="86"/>
        <v>Not Exists</v>
      </c>
      <c r="P1755" t="str">
        <f t="shared" si="87"/>
        <v>Exists</v>
      </c>
    </row>
    <row r="1756" spans="1:16">
      <c r="A1756" s="50" t="s">
        <v>1958</v>
      </c>
      <c r="B1756" s="50" t="s">
        <v>378</v>
      </c>
      <c r="C1756" s="50" t="s">
        <v>256</v>
      </c>
      <c r="D1756" s="50">
        <v>50</v>
      </c>
      <c r="E1756" s="50" t="s">
        <v>1957</v>
      </c>
      <c r="F1756" s="50" t="s">
        <v>780</v>
      </c>
      <c r="G1756" s="50" t="s">
        <v>256</v>
      </c>
      <c r="H1756" s="50">
        <v>20</v>
      </c>
      <c r="M1756" t="str">
        <f>IF(COUNTIF($A:$A,E1756)=0,"Not Exists","Exists")</f>
        <v>Not Exists</v>
      </c>
      <c r="N1756" t="str">
        <f t="shared" si="88"/>
        <v>Exists</v>
      </c>
      <c r="O1756" t="str">
        <f t="shared" si="86"/>
        <v>Not Exists</v>
      </c>
      <c r="P1756" t="str">
        <f t="shared" si="87"/>
        <v>Not Exists</v>
      </c>
    </row>
    <row r="1757" spans="1:16">
      <c r="A1757" s="50" t="s">
        <v>1958</v>
      </c>
      <c r="B1757" s="50" t="s">
        <v>436</v>
      </c>
      <c r="C1757" s="50" t="s">
        <v>256</v>
      </c>
      <c r="D1757" s="50">
        <v>50</v>
      </c>
      <c r="E1757" s="50" t="s">
        <v>1957</v>
      </c>
      <c r="F1757" s="50" t="s">
        <v>794</v>
      </c>
      <c r="G1757" s="50" t="s">
        <v>256</v>
      </c>
      <c r="H1757" s="50">
        <v>20</v>
      </c>
      <c r="M1757" t="str">
        <f>IF(COUNTIF($A:$A,E1757)=0,"Not Exists","Exists")</f>
        <v>Not Exists</v>
      </c>
      <c r="N1757" t="str">
        <f t="shared" si="88"/>
        <v>Exists</v>
      </c>
      <c r="O1757" t="str">
        <f t="shared" si="86"/>
        <v>Not Exists</v>
      </c>
      <c r="P1757" t="str">
        <f t="shared" si="87"/>
        <v>Not Exists</v>
      </c>
    </row>
    <row r="1758" spans="1:16">
      <c r="A1758" s="50" t="s">
        <v>1958</v>
      </c>
      <c r="B1758" s="50" t="s">
        <v>1959</v>
      </c>
      <c r="C1758" s="50" t="s">
        <v>256</v>
      </c>
      <c r="D1758" s="50">
        <v>50</v>
      </c>
      <c r="E1758" s="50" t="s">
        <v>1957</v>
      </c>
      <c r="F1758" s="50" t="s">
        <v>796</v>
      </c>
      <c r="G1758" s="50" t="s">
        <v>254</v>
      </c>
      <c r="H1758" s="50">
        <v>22</v>
      </c>
      <c r="M1758" t="str">
        <f>IF(COUNTIF($A:$A,E1758)=0,"Not Exists","Exists")</f>
        <v>Not Exists</v>
      </c>
      <c r="N1758" t="str">
        <f t="shared" si="88"/>
        <v>Exists</v>
      </c>
      <c r="O1758" t="str">
        <f t="shared" si="86"/>
        <v>Not Exists</v>
      </c>
      <c r="P1758" t="str">
        <f t="shared" si="87"/>
        <v>Not Exists</v>
      </c>
    </row>
    <row r="1759" spans="1:16">
      <c r="A1759" s="50" t="s">
        <v>1958</v>
      </c>
      <c r="B1759" s="50" t="s">
        <v>1960</v>
      </c>
      <c r="C1759" s="50" t="s">
        <v>251</v>
      </c>
      <c r="D1759" s="50">
        <v>1</v>
      </c>
      <c r="E1759" s="50" t="s">
        <v>1957</v>
      </c>
      <c r="F1759" s="50" t="s">
        <v>1961</v>
      </c>
      <c r="G1759" s="50" t="s">
        <v>256</v>
      </c>
      <c r="H1759" s="50">
        <v>2</v>
      </c>
      <c r="M1759" t="str">
        <f>IF(COUNTIF($A:$A,E1759)=0,"Not Exists","Exists")</f>
        <v>Not Exists</v>
      </c>
      <c r="N1759" t="str">
        <f t="shared" si="88"/>
        <v>Not Exists</v>
      </c>
      <c r="O1759" t="str">
        <f t="shared" si="86"/>
        <v>Not Exists</v>
      </c>
      <c r="P1759" t="str">
        <f t="shared" si="87"/>
        <v>Not Exists</v>
      </c>
    </row>
    <row r="1760" spans="1:16">
      <c r="A1760" s="50" t="s">
        <v>1958</v>
      </c>
      <c r="B1760" s="50" t="s">
        <v>1962</v>
      </c>
      <c r="C1760" s="50" t="s">
        <v>256</v>
      </c>
      <c r="D1760" s="50">
        <v>50</v>
      </c>
      <c r="E1760" s="50" t="s">
        <v>1957</v>
      </c>
      <c r="F1760" s="50" t="s">
        <v>932</v>
      </c>
      <c r="G1760" s="50" t="s">
        <v>256</v>
      </c>
      <c r="H1760" s="50">
        <v>17</v>
      </c>
      <c r="M1760" t="str">
        <f>IF(COUNTIF($A:$A,E1760)=0,"Not Exists","Exists")</f>
        <v>Not Exists</v>
      </c>
      <c r="N1760" t="str">
        <f t="shared" si="88"/>
        <v>Not Exists</v>
      </c>
      <c r="O1760" t="str">
        <f t="shared" si="86"/>
        <v>Not Exists</v>
      </c>
      <c r="P1760" t="str">
        <f t="shared" si="87"/>
        <v>Not Exists</v>
      </c>
    </row>
    <row r="1761" spans="1:16">
      <c r="A1761" s="50" t="s">
        <v>1958</v>
      </c>
      <c r="B1761" s="50" t="s">
        <v>1285</v>
      </c>
      <c r="C1761" s="50" t="s">
        <v>254</v>
      </c>
      <c r="D1761" s="50">
        <v>22</v>
      </c>
      <c r="E1761" s="50" t="s">
        <v>1957</v>
      </c>
      <c r="F1761" s="50" t="s">
        <v>595</v>
      </c>
      <c r="G1761" s="50" t="s">
        <v>256</v>
      </c>
      <c r="H1761" s="50">
        <v>7</v>
      </c>
      <c r="M1761" t="str">
        <f>IF(COUNTIF($A:$A,E1761)=0,"Not Exists","Exists")</f>
        <v>Not Exists</v>
      </c>
      <c r="N1761" t="str">
        <f t="shared" si="88"/>
        <v>Not Exists</v>
      </c>
      <c r="O1761" t="str">
        <f t="shared" si="86"/>
        <v>Not Exists</v>
      </c>
      <c r="P1761" t="str">
        <f t="shared" si="87"/>
        <v>Exists</v>
      </c>
    </row>
    <row r="1762" spans="1:16">
      <c r="A1762" s="50" t="s">
        <v>1958</v>
      </c>
      <c r="B1762" s="50" t="s">
        <v>1289</v>
      </c>
      <c r="C1762" s="50" t="s">
        <v>256</v>
      </c>
      <c r="D1762" s="50">
        <v>20</v>
      </c>
      <c r="E1762" s="50" t="s">
        <v>1957</v>
      </c>
      <c r="F1762" s="50" t="s">
        <v>933</v>
      </c>
      <c r="G1762" s="50" t="s">
        <v>256</v>
      </c>
      <c r="H1762" s="50">
        <v>12</v>
      </c>
      <c r="M1762" t="str">
        <f>IF(COUNTIF($A:$A,E1762)=0,"Not Exists","Exists")</f>
        <v>Not Exists</v>
      </c>
      <c r="N1762" t="str">
        <f t="shared" si="88"/>
        <v>Not Exists</v>
      </c>
      <c r="O1762" t="str">
        <f t="shared" si="86"/>
        <v>Not Exists</v>
      </c>
      <c r="P1762" t="str">
        <f t="shared" si="87"/>
        <v>Exists</v>
      </c>
    </row>
    <row r="1763" spans="1:16">
      <c r="A1763" s="50" t="s">
        <v>1958</v>
      </c>
      <c r="B1763" s="50" t="s">
        <v>1291</v>
      </c>
      <c r="C1763" s="50" t="s">
        <v>256</v>
      </c>
      <c r="D1763" s="50">
        <v>50</v>
      </c>
      <c r="E1763" s="50" t="s">
        <v>1957</v>
      </c>
      <c r="F1763" s="50" t="s">
        <v>597</v>
      </c>
      <c r="G1763" s="50" t="s">
        <v>256</v>
      </c>
      <c r="H1763" s="50">
        <v>4</v>
      </c>
      <c r="M1763" t="str">
        <f>IF(COUNTIF($A:$A,E1763)=0,"Not Exists","Exists")</f>
        <v>Not Exists</v>
      </c>
      <c r="N1763" t="str">
        <f t="shared" si="88"/>
        <v>Not Exists</v>
      </c>
      <c r="O1763" t="str">
        <f t="shared" si="86"/>
        <v>Not Exists</v>
      </c>
      <c r="P1763" t="str">
        <f t="shared" si="87"/>
        <v>Exists</v>
      </c>
    </row>
    <row r="1764" spans="1:16">
      <c r="A1764" s="50" t="s">
        <v>1958</v>
      </c>
      <c r="B1764" s="50" t="s">
        <v>1293</v>
      </c>
      <c r="C1764" s="50" t="s">
        <v>254</v>
      </c>
      <c r="D1764" s="50">
        <v>22</v>
      </c>
      <c r="E1764" s="50" t="s">
        <v>1957</v>
      </c>
      <c r="F1764" s="50" t="s">
        <v>599</v>
      </c>
      <c r="G1764" s="50" t="s">
        <v>256</v>
      </c>
      <c r="H1764" s="50">
        <v>8</v>
      </c>
      <c r="M1764" t="str">
        <f>IF(COUNTIF($A:$A,E1764)=0,"Not Exists","Exists")</f>
        <v>Not Exists</v>
      </c>
      <c r="N1764" t="str">
        <f t="shared" si="88"/>
        <v>Not Exists</v>
      </c>
      <c r="O1764" t="str">
        <f t="shared" si="86"/>
        <v>Not Exists</v>
      </c>
      <c r="P1764" t="str">
        <f t="shared" si="87"/>
        <v>Exists</v>
      </c>
    </row>
    <row r="1765" spans="1:16">
      <c r="A1765" s="50" t="s">
        <v>1958</v>
      </c>
      <c r="B1765" s="50" t="s">
        <v>1295</v>
      </c>
      <c r="C1765" s="50" t="s">
        <v>251</v>
      </c>
      <c r="D1765" s="50">
        <v>1</v>
      </c>
      <c r="E1765" s="50" t="s">
        <v>1957</v>
      </c>
      <c r="F1765" s="50" t="s">
        <v>628</v>
      </c>
      <c r="G1765" s="50" t="s">
        <v>256</v>
      </c>
      <c r="H1765" s="50">
        <v>1</v>
      </c>
      <c r="M1765" t="str">
        <f>IF(COUNTIF($A:$A,E1765)=0,"Not Exists","Exists")</f>
        <v>Not Exists</v>
      </c>
      <c r="N1765" t="str">
        <f t="shared" si="88"/>
        <v>Not Exists</v>
      </c>
      <c r="O1765" t="str">
        <f t="shared" si="86"/>
        <v>Not Exists</v>
      </c>
      <c r="P1765" t="str">
        <f t="shared" si="87"/>
        <v>Exists</v>
      </c>
    </row>
    <row r="1766" spans="1:16">
      <c r="A1766" s="50" t="s">
        <v>1958</v>
      </c>
      <c r="B1766" s="50" t="s">
        <v>1297</v>
      </c>
      <c r="C1766" s="50" t="s">
        <v>256</v>
      </c>
      <c r="D1766" s="50">
        <v>450</v>
      </c>
      <c r="E1766" s="50" t="s">
        <v>1957</v>
      </c>
      <c r="F1766" s="50" t="s">
        <v>630</v>
      </c>
      <c r="G1766" s="50" t="s">
        <v>256</v>
      </c>
      <c r="H1766" s="50">
        <v>1</v>
      </c>
      <c r="M1766" t="str">
        <f>IF(COUNTIF($A:$A,E1766)=0,"Not Exists","Exists")</f>
        <v>Not Exists</v>
      </c>
      <c r="N1766" t="str">
        <f t="shared" si="88"/>
        <v>Not Exists</v>
      </c>
      <c r="O1766" t="str">
        <f t="shared" si="86"/>
        <v>Not Exists</v>
      </c>
      <c r="P1766" t="str">
        <f t="shared" si="87"/>
        <v>Exists</v>
      </c>
    </row>
    <row r="1767" spans="1:16">
      <c r="A1767" s="50" t="s">
        <v>1958</v>
      </c>
      <c r="B1767" s="50" t="s">
        <v>1299</v>
      </c>
      <c r="C1767" s="50" t="s">
        <v>254</v>
      </c>
      <c r="D1767" s="50">
        <v>22</v>
      </c>
      <c r="E1767" s="50" t="s">
        <v>1957</v>
      </c>
      <c r="F1767" s="50" t="s">
        <v>939</v>
      </c>
      <c r="G1767" s="50" t="s">
        <v>256</v>
      </c>
      <c r="H1767" s="50">
        <v>8</v>
      </c>
      <c r="M1767" t="str">
        <f>IF(COUNTIF($A:$A,E1767)=0,"Not Exists","Exists")</f>
        <v>Not Exists</v>
      </c>
      <c r="N1767" t="str">
        <f t="shared" si="88"/>
        <v>Not Exists</v>
      </c>
      <c r="O1767" t="str">
        <f t="shared" si="86"/>
        <v>Not Exists</v>
      </c>
      <c r="P1767" t="str">
        <f t="shared" si="87"/>
        <v>Exists</v>
      </c>
    </row>
    <row r="1768" spans="1:16">
      <c r="A1768" s="50" t="s">
        <v>1958</v>
      </c>
      <c r="B1768" s="50" t="s">
        <v>1301</v>
      </c>
      <c r="C1768" s="50" t="s">
        <v>256</v>
      </c>
      <c r="D1768" s="50">
        <v>3000</v>
      </c>
      <c r="E1768" s="50" t="s">
        <v>1957</v>
      </c>
      <c r="F1768" s="50" t="s">
        <v>941</v>
      </c>
      <c r="G1768" s="50" t="s">
        <v>256</v>
      </c>
      <c r="H1768" s="50">
        <v>1</v>
      </c>
      <c r="M1768" t="str">
        <f>IF(COUNTIF($A:$A,E1768)=0,"Not Exists","Exists")</f>
        <v>Not Exists</v>
      </c>
      <c r="N1768" t="str">
        <f t="shared" si="88"/>
        <v>Not Exists</v>
      </c>
      <c r="O1768" t="str">
        <f t="shared" si="86"/>
        <v>Not Exists</v>
      </c>
      <c r="P1768" t="str">
        <f t="shared" si="87"/>
        <v>Exists</v>
      </c>
    </row>
    <row r="1769" spans="1:16">
      <c r="A1769" s="50" t="s">
        <v>1958</v>
      </c>
      <c r="B1769" s="50" t="s">
        <v>1305</v>
      </c>
      <c r="C1769" s="50" t="s">
        <v>251</v>
      </c>
      <c r="D1769" s="50">
        <v>1</v>
      </c>
      <c r="E1769" s="50" t="s">
        <v>1957</v>
      </c>
      <c r="F1769" s="50" t="s">
        <v>943</v>
      </c>
      <c r="G1769" s="50" t="s">
        <v>254</v>
      </c>
      <c r="H1769" s="50">
        <v>22</v>
      </c>
      <c r="M1769" t="str">
        <f>IF(COUNTIF($A:$A,E1769)=0,"Not Exists","Exists")</f>
        <v>Not Exists</v>
      </c>
      <c r="N1769" t="str">
        <f t="shared" si="88"/>
        <v>Not Exists</v>
      </c>
      <c r="O1769" t="str">
        <f t="shared" si="86"/>
        <v>Not Exists</v>
      </c>
      <c r="P1769" t="str">
        <f t="shared" si="87"/>
        <v>Exists</v>
      </c>
    </row>
    <row r="1770" spans="1:16">
      <c r="A1770" s="50" t="s">
        <v>1958</v>
      </c>
      <c r="B1770" s="50" t="s">
        <v>1307</v>
      </c>
      <c r="C1770" s="50" t="s">
        <v>254</v>
      </c>
      <c r="D1770" s="50">
        <v>22</v>
      </c>
      <c r="E1770" s="50" t="s">
        <v>1957</v>
      </c>
      <c r="F1770" s="50" t="s">
        <v>945</v>
      </c>
      <c r="G1770" s="50" t="s">
        <v>254</v>
      </c>
      <c r="H1770" s="50">
        <v>22</v>
      </c>
      <c r="M1770" t="str">
        <f>IF(COUNTIF($A:$A,E1770)=0,"Not Exists","Exists")</f>
        <v>Not Exists</v>
      </c>
      <c r="N1770" t="str">
        <f t="shared" si="88"/>
        <v>Not Exists</v>
      </c>
      <c r="O1770" t="str">
        <f t="shared" si="86"/>
        <v>Not Exists</v>
      </c>
      <c r="P1770" t="str">
        <f t="shared" si="87"/>
        <v>Exists</v>
      </c>
    </row>
    <row r="1771" spans="1:16">
      <c r="A1771" s="50" t="s">
        <v>1958</v>
      </c>
      <c r="B1771" s="50" t="s">
        <v>1309</v>
      </c>
      <c r="C1771" s="50" t="s">
        <v>256</v>
      </c>
      <c r="D1771" s="50">
        <v>50</v>
      </c>
      <c r="E1771" s="50" t="s">
        <v>1957</v>
      </c>
      <c r="F1771" s="50" t="s">
        <v>947</v>
      </c>
      <c r="G1771" s="50" t="s">
        <v>256</v>
      </c>
      <c r="H1771" s="50">
        <v>9</v>
      </c>
      <c r="M1771" t="str">
        <f>IF(COUNTIF($A:$A,E1771)=0,"Not Exists","Exists")</f>
        <v>Not Exists</v>
      </c>
      <c r="N1771" t="str">
        <f t="shared" si="88"/>
        <v>Not Exists</v>
      </c>
      <c r="O1771" t="str">
        <f t="shared" si="86"/>
        <v>Not Exists</v>
      </c>
      <c r="P1771" t="str">
        <f t="shared" si="87"/>
        <v>Exists</v>
      </c>
    </row>
    <row r="1772" spans="1:16">
      <c r="A1772" s="50" t="s">
        <v>1958</v>
      </c>
      <c r="B1772" s="50" t="s">
        <v>1313</v>
      </c>
      <c r="C1772" s="50" t="s">
        <v>251</v>
      </c>
      <c r="D1772" s="50">
        <v>1</v>
      </c>
      <c r="E1772" s="50" t="s">
        <v>1957</v>
      </c>
      <c r="F1772" s="50" t="s">
        <v>949</v>
      </c>
      <c r="G1772" s="50" t="s">
        <v>256</v>
      </c>
      <c r="H1772" s="50">
        <v>9</v>
      </c>
      <c r="M1772" t="str">
        <f>IF(COUNTIF($A:$A,E1772)=0,"Not Exists","Exists")</f>
        <v>Not Exists</v>
      </c>
      <c r="N1772" t="str">
        <f t="shared" si="88"/>
        <v>Not Exists</v>
      </c>
      <c r="O1772" t="str">
        <f t="shared" si="86"/>
        <v>Not Exists</v>
      </c>
      <c r="P1772" t="str">
        <f t="shared" si="87"/>
        <v>Exists</v>
      </c>
    </row>
    <row r="1773" spans="1:16">
      <c r="A1773" s="50" t="s">
        <v>1958</v>
      </c>
      <c r="B1773" s="50" t="s">
        <v>1311</v>
      </c>
      <c r="C1773" s="50" t="s">
        <v>256</v>
      </c>
      <c r="D1773" s="50">
        <v>50</v>
      </c>
      <c r="E1773" s="50" t="s">
        <v>1957</v>
      </c>
      <c r="F1773" s="50" t="s">
        <v>951</v>
      </c>
      <c r="G1773" s="50" t="s">
        <v>256</v>
      </c>
      <c r="H1773" s="50">
        <v>9</v>
      </c>
      <c r="M1773" t="str">
        <f>IF(COUNTIF($A:$A,E1773)=0,"Not Exists","Exists")</f>
        <v>Not Exists</v>
      </c>
      <c r="N1773" t="str">
        <f t="shared" si="88"/>
        <v>Not Exists</v>
      </c>
      <c r="O1773" t="str">
        <f t="shared" si="86"/>
        <v>Not Exists</v>
      </c>
      <c r="P1773" t="str">
        <f t="shared" si="87"/>
        <v>Exists</v>
      </c>
    </row>
    <row r="1774" spans="1:16">
      <c r="A1774" s="50" t="s">
        <v>1958</v>
      </c>
      <c r="B1774" s="50" t="s">
        <v>1315</v>
      </c>
      <c r="C1774" s="50" t="s">
        <v>254</v>
      </c>
      <c r="D1774" s="50">
        <v>22</v>
      </c>
      <c r="E1774" s="50" t="s">
        <v>1957</v>
      </c>
      <c r="F1774" s="50" t="s">
        <v>953</v>
      </c>
      <c r="G1774" s="50" t="s">
        <v>256</v>
      </c>
      <c r="H1774" s="50">
        <v>9</v>
      </c>
      <c r="M1774" t="str">
        <f>IF(COUNTIF($A:$A,E1774)=0,"Not Exists","Exists")</f>
        <v>Not Exists</v>
      </c>
      <c r="N1774" t="str">
        <f t="shared" si="88"/>
        <v>Not Exists</v>
      </c>
      <c r="O1774" t="str">
        <f t="shared" si="86"/>
        <v>Not Exists</v>
      </c>
      <c r="P1774" t="str">
        <f t="shared" si="87"/>
        <v>Exists</v>
      </c>
    </row>
    <row r="1775" spans="1:16">
      <c r="A1775" s="50" t="s">
        <v>1958</v>
      </c>
      <c r="B1775" s="50" t="s">
        <v>1317</v>
      </c>
      <c r="C1775" s="50" t="s">
        <v>256</v>
      </c>
      <c r="D1775" s="50">
        <v>1</v>
      </c>
      <c r="E1775" s="50" t="s">
        <v>1957</v>
      </c>
      <c r="F1775" s="50" t="s">
        <v>955</v>
      </c>
      <c r="G1775" s="50" t="s">
        <v>256</v>
      </c>
      <c r="H1775" s="50">
        <v>9</v>
      </c>
      <c r="M1775" t="str">
        <f>IF(COUNTIF($A:$A,E1775)=0,"Not Exists","Exists")</f>
        <v>Not Exists</v>
      </c>
      <c r="N1775" t="str">
        <f t="shared" si="88"/>
        <v>Not Exists</v>
      </c>
      <c r="O1775" t="str">
        <f t="shared" si="86"/>
        <v>Not Exists</v>
      </c>
      <c r="P1775" t="str">
        <f t="shared" si="87"/>
        <v>Exists</v>
      </c>
    </row>
    <row r="1776" spans="1:16">
      <c r="A1776" s="50" t="s">
        <v>1958</v>
      </c>
      <c r="B1776" s="50" t="s">
        <v>1319</v>
      </c>
      <c r="C1776" s="50" t="s">
        <v>256</v>
      </c>
      <c r="D1776" s="50">
        <v>450</v>
      </c>
      <c r="E1776" s="50" t="s">
        <v>1957</v>
      </c>
      <c r="F1776" s="50" t="s">
        <v>956</v>
      </c>
      <c r="G1776" s="50" t="s">
        <v>256</v>
      </c>
      <c r="H1776" s="50">
        <v>9</v>
      </c>
      <c r="M1776" t="str">
        <f>IF(COUNTIF($A:$A,E1776)=0,"Not Exists","Exists")</f>
        <v>Not Exists</v>
      </c>
      <c r="N1776" t="str">
        <f t="shared" si="88"/>
        <v>Not Exists</v>
      </c>
      <c r="O1776" t="str">
        <f t="shared" si="86"/>
        <v>Not Exists</v>
      </c>
      <c r="P1776" t="str">
        <f t="shared" si="87"/>
        <v>Exists</v>
      </c>
    </row>
    <row r="1777" spans="1:16">
      <c r="A1777" s="50" t="s">
        <v>1958</v>
      </c>
      <c r="B1777" s="50" t="s">
        <v>1321</v>
      </c>
      <c r="C1777" s="50" t="s">
        <v>256</v>
      </c>
      <c r="D1777" s="50">
        <v>50</v>
      </c>
      <c r="E1777" s="50" t="s">
        <v>1957</v>
      </c>
      <c r="F1777" s="50" t="s">
        <v>957</v>
      </c>
      <c r="G1777" s="50" t="s">
        <v>256</v>
      </c>
      <c r="H1777" s="50">
        <v>9</v>
      </c>
      <c r="M1777" t="str">
        <f>IF(COUNTIF($A:$A,E1777)=0,"Not Exists","Exists")</f>
        <v>Not Exists</v>
      </c>
      <c r="N1777" t="str">
        <f t="shared" si="88"/>
        <v>Not Exists</v>
      </c>
      <c r="O1777" t="str">
        <f t="shared" si="86"/>
        <v>Not Exists</v>
      </c>
      <c r="P1777" t="str">
        <f t="shared" si="87"/>
        <v>Exists</v>
      </c>
    </row>
    <row r="1778" spans="1:16">
      <c r="A1778" s="50" t="s">
        <v>1958</v>
      </c>
      <c r="B1778" s="50" t="s">
        <v>1323</v>
      </c>
      <c r="C1778" s="50" t="s">
        <v>256</v>
      </c>
      <c r="D1778" s="50">
        <v>50</v>
      </c>
      <c r="E1778" s="50" t="s">
        <v>1957</v>
      </c>
      <c r="F1778" s="50" t="s">
        <v>958</v>
      </c>
      <c r="G1778" s="50" t="s">
        <v>256</v>
      </c>
      <c r="H1778" s="50">
        <v>9</v>
      </c>
      <c r="M1778" t="str">
        <f>IF(COUNTIF($A:$A,E1778)=0,"Not Exists","Exists")</f>
        <v>Not Exists</v>
      </c>
      <c r="N1778" t="str">
        <f t="shared" si="88"/>
        <v>Not Exists</v>
      </c>
      <c r="O1778" t="str">
        <f t="shared" si="86"/>
        <v>Not Exists</v>
      </c>
      <c r="P1778" t="str">
        <f t="shared" si="87"/>
        <v>Exists</v>
      </c>
    </row>
    <row r="1779" spans="1:16">
      <c r="A1779" s="50" t="s">
        <v>1958</v>
      </c>
      <c r="B1779" s="50" t="s">
        <v>1325</v>
      </c>
      <c r="C1779" s="50" t="s">
        <v>251</v>
      </c>
      <c r="D1779" s="50">
        <v>1</v>
      </c>
      <c r="E1779" s="50" t="s">
        <v>1957</v>
      </c>
      <c r="F1779" s="50" t="s">
        <v>959</v>
      </c>
      <c r="G1779" s="50" t="s">
        <v>256</v>
      </c>
      <c r="H1779" s="50">
        <v>9</v>
      </c>
      <c r="M1779" t="str">
        <f>IF(COUNTIF($A:$A,E1779)=0,"Not Exists","Exists")</f>
        <v>Not Exists</v>
      </c>
      <c r="N1779" t="str">
        <f t="shared" si="88"/>
        <v>Not Exists</v>
      </c>
      <c r="O1779" t="str">
        <f t="shared" si="86"/>
        <v>Not Exists</v>
      </c>
      <c r="P1779" t="str">
        <f t="shared" si="87"/>
        <v>Exists</v>
      </c>
    </row>
    <row r="1780" spans="1:16">
      <c r="A1780" s="50" t="s">
        <v>1958</v>
      </c>
      <c r="B1780" s="50" t="s">
        <v>1327</v>
      </c>
      <c r="C1780" s="50" t="s">
        <v>256</v>
      </c>
      <c r="D1780" s="50">
        <v>50</v>
      </c>
      <c r="E1780" s="50" t="s">
        <v>1957</v>
      </c>
      <c r="F1780" s="50" t="s">
        <v>961</v>
      </c>
      <c r="G1780" s="50" t="s">
        <v>254</v>
      </c>
      <c r="H1780" s="50">
        <v>22</v>
      </c>
      <c r="M1780" t="str">
        <f>IF(COUNTIF($A:$A,E1780)=0,"Not Exists","Exists")</f>
        <v>Not Exists</v>
      </c>
      <c r="N1780" t="str">
        <f t="shared" si="88"/>
        <v>Not Exists</v>
      </c>
      <c r="O1780" t="str">
        <f t="shared" si="86"/>
        <v>Not Exists</v>
      </c>
      <c r="P1780" t="str">
        <f t="shared" si="87"/>
        <v>Exists</v>
      </c>
    </row>
    <row r="1781" spans="1:16">
      <c r="A1781" s="50" t="s">
        <v>1958</v>
      </c>
      <c r="B1781" s="50" t="s">
        <v>1331</v>
      </c>
      <c r="C1781" s="50" t="s">
        <v>256</v>
      </c>
      <c r="D1781" s="50">
        <v>10</v>
      </c>
      <c r="E1781" s="50" t="s">
        <v>1957</v>
      </c>
      <c r="F1781" s="50" t="s">
        <v>963</v>
      </c>
      <c r="G1781" s="50" t="s">
        <v>256</v>
      </c>
      <c r="H1781" s="50">
        <v>1</v>
      </c>
      <c r="M1781" t="str">
        <f>IF(COUNTIF($A:$A,E1781)=0,"Not Exists","Exists")</f>
        <v>Not Exists</v>
      </c>
      <c r="N1781" t="str">
        <f t="shared" si="88"/>
        <v>Not Exists</v>
      </c>
      <c r="O1781" t="str">
        <f t="shared" si="86"/>
        <v>Not Exists</v>
      </c>
      <c r="P1781" t="str">
        <f t="shared" si="87"/>
        <v>Not Exists</v>
      </c>
    </row>
    <row r="1782" spans="1:16">
      <c r="A1782" s="50" t="s">
        <v>1958</v>
      </c>
      <c r="B1782" s="50" t="s">
        <v>1333</v>
      </c>
      <c r="C1782" s="50" t="s">
        <v>256</v>
      </c>
      <c r="D1782" s="50">
        <v>10</v>
      </c>
      <c r="E1782" s="50" t="s">
        <v>1957</v>
      </c>
      <c r="F1782" s="50" t="s">
        <v>965</v>
      </c>
      <c r="G1782" s="50" t="s">
        <v>256</v>
      </c>
      <c r="H1782" s="50">
        <v>8</v>
      </c>
      <c r="M1782" t="str">
        <f>IF(COUNTIF($A:$A,E1782)=0,"Not Exists","Exists")</f>
        <v>Not Exists</v>
      </c>
      <c r="N1782" t="str">
        <f t="shared" si="88"/>
        <v>Not Exists</v>
      </c>
      <c r="O1782" t="str">
        <f t="shared" si="86"/>
        <v>Not Exists</v>
      </c>
      <c r="P1782" t="str">
        <f t="shared" si="87"/>
        <v>Not Exists</v>
      </c>
    </row>
    <row r="1783" spans="1:16">
      <c r="A1783" s="50" t="s">
        <v>1958</v>
      </c>
      <c r="B1783" s="50" t="s">
        <v>1335</v>
      </c>
      <c r="C1783" s="50" t="s">
        <v>256</v>
      </c>
      <c r="D1783" s="50">
        <v>10</v>
      </c>
      <c r="E1783" s="50" t="s">
        <v>1957</v>
      </c>
      <c r="F1783" s="50" t="s">
        <v>967</v>
      </c>
      <c r="G1783" s="50" t="s">
        <v>256</v>
      </c>
      <c r="H1783" s="50">
        <v>8</v>
      </c>
      <c r="M1783" t="str">
        <f>IF(COUNTIF($A:$A,E1783)=0,"Not Exists","Exists")</f>
        <v>Not Exists</v>
      </c>
      <c r="N1783" t="str">
        <f t="shared" si="88"/>
        <v>Not Exists</v>
      </c>
      <c r="O1783" t="str">
        <f t="shared" si="86"/>
        <v>Not Exists</v>
      </c>
      <c r="P1783" t="str">
        <f t="shared" si="87"/>
        <v>Not Exists</v>
      </c>
    </row>
    <row r="1784" spans="1:16">
      <c r="A1784" s="50" t="s">
        <v>1958</v>
      </c>
      <c r="B1784" s="50" t="s">
        <v>1337</v>
      </c>
      <c r="C1784" s="50" t="s">
        <v>256</v>
      </c>
      <c r="D1784" s="50">
        <v>10</v>
      </c>
      <c r="E1784" s="50" t="s">
        <v>1957</v>
      </c>
      <c r="F1784" s="50" t="s">
        <v>969</v>
      </c>
      <c r="G1784" s="50" t="s">
        <v>256</v>
      </c>
      <c r="H1784" s="50">
        <v>14</v>
      </c>
      <c r="M1784" t="str">
        <f>IF(COUNTIF($A:$A,E1784)=0,"Not Exists","Exists")</f>
        <v>Not Exists</v>
      </c>
      <c r="N1784" t="str">
        <f t="shared" si="88"/>
        <v>Not Exists</v>
      </c>
      <c r="O1784" t="str">
        <f t="shared" si="86"/>
        <v>Not Exists</v>
      </c>
      <c r="P1784" t="str">
        <f t="shared" si="87"/>
        <v>Not Exists</v>
      </c>
    </row>
    <row r="1785" spans="1:16">
      <c r="A1785" s="50" t="s">
        <v>1958</v>
      </c>
      <c r="B1785" s="50" t="s">
        <v>1339</v>
      </c>
      <c r="C1785" s="50" t="s">
        <v>256</v>
      </c>
      <c r="D1785" s="50">
        <v>10</v>
      </c>
      <c r="E1785" s="50" t="s">
        <v>1957</v>
      </c>
      <c r="F1785" s="50" t="s">
        <v>970</v>
      </c>
      <c r="G1785" s="50" t="s">
        <v>254</v>
      </c>
      <c r="H1785" s="50">
        <v>22</v>
      </c>
      <c r="M1785" t="str">
        <f>IF(COUNTIF($A:$A,E1785)=0,"Not Exists","Exists")</f>
        <v>Not Exists</v>
      </c>
      <c r="N1785" t="str">
        <f t="shared" si="88"/>
        <v>Not Exists</v>
      </c>
      <c r="O1785" t="str">
        <f t="shared" si="86"/>
        <v>Not Exists</v>
      </c>
      <c r="P1785" t="str">
        <f t="shared" si="87"/>
        <v>Not Exists</v>
      </c>
    </row>
    <row r="1786" spans="1:16">
      <c r="A1786" s="50" t="s">
        <v>1958</v>
      </c>
      <c r="B1786" s="50" t="s">
        <v>1341</v>
      </c>
      <c r="C1786" s="50" t="s">
        <v>251</v>
      </c>
      <c r="D1786" s="50">
        <v>1</v>
      </c>
      <c r="E1786" s="50" t="s">
        <v>1957</v>
      </c>
      <c r="F1786" s="50" t="s">
        <v>971</v>
      </c>
      <c r="G1786" s="50" t="s">
        <v>256</v>
      </c>
      <c r="H1786" s="50">
        <v>39</v>
      </c>
      <c r="M1786" t="str">
        <f>IF(COUNTIF($A:$A,E1786)=0,"Not Exists","Exists")</f>
        <v>Not Exists</v>
      </c>
      <c r="N1786" t="str">
        <f t="shared" si="88"/>
        <v>Not Exists</v>
      </c>
      <c r="O1786" t="str">
        <f t="shared" si="86"/>
        <v>Not Exists</v>
      </c>
      <c r="P1786" t="str">
        <f t="shared" si="87"/>
        <v>Not Exists</v>
      </c>
    </row>
    <row r="1787" spans="1:16">
      <c r="A1787" s="50" t="s">
        <v>1958</v>
      </c>
      <c r="B1787" s="50" t="s">
        <v>1343</v>
      </c>
      <c r="C1787" s="50" t="s">
        <v>256</v>
      </c>
      <c r="D1787" s="50">
        <v>10</v>
      </c>
      <c r="E1787" s="50" t="s">
        <v>1957</v>
      </c>
      <c r="F1787" s="50" t="s">
        <v>972</v>
      </c>
      <c r="G1787" s="50" t="s">
        <v>256</v>
      </c>
      <c r="H1787" s="50">
        <v>1</v>
      </c>
      <c r="M1787" t="str">
        <f>IF(COUNTIF($A:$A,E1787)=0,"Not Exists","Exists")</f>
        <v>Not Exists</v>
      </c>
      <c r="N1787" t="str">
        <f t="shared" si="88"/>
        <v>Not Exists</v>
      </c>
      <c r="O1787" t="str">
        <f t="shared" si="86"/>
        <v>Not Exists</v>
      </c>
      <c r="P1787" t="str">
        <f t="shared" si="87"/>
        <v>Not Exists</v>
      </c>
    </row>
    <row r="1788" spans="1:16">
      <c r="A1788" s="50" t="s">
        <v>1958</v>
      </c>
      <c r="B1788" s="50" t="s">
        <v>1345</v>
      </c>
      <c r="C1788" s="50" t="s">
        <v>256</v>
      </c>
      <c r="D1788" s="50">
        <v>10</v>
      </c>
      <c r="E1788" s="50" t="s">
        <v>1957</v>
      </c>
      <c r="F1788" s="50" t="s">
        <v>973</v>
      </c>
      <c r="G1788" s="50" t="s">
        <v>256</v>
      </c>
      <c r="H1788" s="50">
        <v>3</v>
      </c>
      <c r="M1788" t="str">
        <f>IF(COUNTIF($A:$A,E1788)=0,"Not Exists","Exists")</f>
        <v>Not Exists</v>
      </c>
      <c r="N1788" t="str">
        <f t="shared" si="88"/>
        <v>Not Exists</v>
      </c>
      <c r="O1788" t="str">
        <f t="shared" si="86"/>
        <v>Not Exists</v>
      </c>
      <c r="P1788" t="str">
        <f t="shared" si="87"/>
        <v>Not Exists</v>
      </c>
    </row>
    <row r="1789" spans="1:16">
      <c r="A1789" s="50" t="s">
        <v>1958</v>
      </c>
      <c r="B1789" s="50" t="s">
        <v>1349</v>
      </c>
      <c r="C1789" s="50" t="s">
        <v>256</v>
      </c>
      <c r="D1789" s="50">
        <v>10</v>
      </c>
      <c r="E1789" s="50" t="s">
        <v>1957</v>
      </c>
      <c r="F1789" s="50" t="s">
        <v>974</v>
      </c>
      <c r="G1789" s="50" t="s">
        <v>256</v>
      </c>
      <c r="H1789" s="50">
        <v>3</v>
      </c>
      <c r="M1789" t="str">
        <f>IF(COUNTIF($A:$A,E1789)=0,"Not Exists","Exists")</f>
        <v>Not Exists</v>
      </c>
      <c r="N1789" t="str">
        <f t="shared" si="88"/>
        <v>Not Exists</v>
      </c>
      <c r="O1789" t="str">
        <f t="shared" si="86"/>
        <v>Not Exists</v>
      </c>
      <c r="P1789" t="str">
        <f t="shared" si="87"/>
        <v>Not Exists</v>
      </c>
    </row>
    <row r="1790" spans="1:16">
      <c r="A1790" s="50" t="s">
        <v>1963</v>
      </c>
      <c r="B1790" s="50" t="s">
        <v>378</v>
      </c>
      <c r="C1790" s="50" t="s">
        <v>256</v>
      </c>
      <c r="D1790" s="50">
        <v>50</v>
      </c>
      <c r="E1790" s="50" t="s">
        <v>1957</v>
      </c>
      <c r="F1790" s="50" t="s">
        <v>975</v>
      </c>
      <c r="G1790" s="50" t="s">
        <v>254</v>
      </c>
      <c r="H1790" s="50">
        <v>22</v>
      </c>
      <c r="M1790" t="str">
        <f>IF(COUNTIF($A:$A,E1790)=0,"Not Exists","Exists")</f>
        <v>Not Exists</v>
      </c>
      <c r="N1790" t="str">
        <f t="shared" si="88"/>
        <v>Not Exists</v>
      </c>
      <c r="O1790" t="str">
        <f t="shared" si="86"/>
        <v>Not Exists</v>
      </c>
      <c r="P1790" t="str">
        <f t="shared" si="87"/>
        <v>Not Exists</v>
      </c>
    </row>
    <row r="1791" spans="1:16">
      <c r="A1791" s="50" t="s">
        <v>1963</v>
      </c>
      <c r="B1791" s="50" t="s">
        <v>436</v>
      </c>
      <c r="C1791" s="50" t="s">
        <v>256</v>
      </c>
      <c r="D1791" s="50">
        <v>50</v>
      </c>
      <c r="E1791" s="50" t="s">
        <v>1957</v>
      </c>
      <c r="F1791" s="50" t="s">
        <v>976</v>
      </c>
      <c r="G1791" s="50" t="s">
        <v>256</v>
      </c>
      <c r="H1791" s="50">
        <v>1</v>
      </c>
      <c r="M1791" t="str">
        <f>IF(COUNTIF($A:$A,E1791)=0,"Not Exists","Exists")</f>
        <v>Not Exists</v>
      </c>
      <c r="N1791" t="str">
        <f t="shared" si="88"/>
        <v>Not Exists</v>
      </c>
      <c r="O1791" t="str">
        <f t="shared" si="86"/>
        <v>Not Exists</v>
      </c>
      <c r="P1791" t="str">
        <f t="shared" si="87"/>
        <v>Not Exists</v>
      </c>
    </row>
    <row r="1792" spans="1:16">
      <c r="A1792" s="50" t="s">
        <v>1963</v>
      </c>
      <c r="B1792" s="50" t="s">
        <v>1404</v>
      </c>
      <c r="C1792" s="50" t="s">
        <v>256</v>
      </c>
      <c r="D1792" s="50">
        <v>50</v>
      </c>
      <c r="E1792" s="50" t="s">
        <v>1957</v>
      </c>
      <c r="F1792" s="50" t="s">
        <v>977</v>
      </c>
      <c r="G1792" s="50" t="s">
        <v>256</v>
      </c>
      <c r="H1792" s="50">
        <v>1</v>
      </c>
      <c r="M1792" t="str">
        <f>IF(COUNTIF($A:$A,E1792)=0,"Not Exists","Exists")</f>
        <v>Not Exists</v>
      </c>
      <c r="N1792" t="str">
        <f t="shared" si="88"/>
        <v>Not Exists</v>
      </c>
      <c r="O1792" t="str">
        <f t="shared" si="86"/>
        <v>Not Exists</v>
      </c>
      <c r="P1792" t="str">
        <f t="shared" si="87"/>
        <v>Exists</v>
      </c>
    </row>
    <row r="1793" spans="1:16">
      <c r="A1793" s="50" t="s">
        <v>1963</v>
      </c>
      <c r="B1793" s="50" t="s">
        <v>389</v>
      </c>
      <c r="C1793" s="50" t="s">
        <v>256</v>
      </c>
      <c r="D1793" s="50">
        <v>50</v>
      </c>
      <c r="E1793" s="50" t="s">
        <v>1957</v>
      </c>
      <c r="F1793" s="50" t="s">
        <v>978</v>
      </c>
      <c r="G1793" s="50" t="s">
        <v>256</v>
      </c>
      <c r="H1793" s="50">
        <v>16</v>
      </c>
      <c r="M1793" t="str">
        <f>IF(COUNTIF($A:$A,E1793)=0,"Not Exists","Exists")</f>
        <v>Not Exists</v>
      </c>
      <c r="N1793" t="str">
        <f t="shared" si="88"/>
        <v>Not Exists</v>
      </c>
      <c r="O1793" t="str">
        <f t="shared" si="86"/>
        <v>Not Exists</v>
      </c>
      <c r="P1793" t="str">
        <f t="shared" si="87"/>
        <v>Exists</v>
      </c>
    </row>
    <row r="1794" spans="1:16">
      <c r="A1794" s="50" t="s">
        <v>1963</v>
      </c>
      <c r="B1794" s="50" t="s">
        <v>1964</v>
      </c>
      <c r="C1794" s="50" t="s">
        <v>256</v>
      </c>
      <c r="D1794" s="50">
        <v>3000</v>
      </c>
      <c r="E1794" s="50" t="s">
        <v>1957</v>
      </c>
      <c r="F1794" s="50" t="s">
        <v>979</v>
      </c>
      <c r="G1794" s="50" t="s">
        <v>256</v>
      </c>
      <c r="H1794" s="50">
        <v>12</v>
      </c>
      <c r="M1794" t="str">
        <f>IF(COUNTIF($A:$A,E1794)=0,"Not Exists","Exists")</f>
        <v>Not Exists</v>
      </c>
      <c r="N1794" t="str">
        <f t="shared" si="88"/>
        <v>Not Exists</v>
      </c>
      <c r="O1794" t="str">
        <f t="shared" si="86"/>
        <v>Not Exists</v>
      </c>
      <c r="P1794" t="str">
        <f t="shared" si="87"/>
        <v>Not Exists</v>
      </c>
    </row>
    <row r="1795" spans="1:16">
      <c r="A1795" s="50" t="s">
        <v>1965</v>
      </c>
      <c r="B1795" s="50" t="s">
        <v>378</v>
      </c>
      <c r="C1795" s="50" t="s">
        <v>256</v>
      </c>
      <c r="D1795" s="50">
        <v>50</v>
      </c>
      <c r="E1795" s="50" t="s">
        <v>1957</v>
      </c>
      <c r="F1795" s="50" t="s">
        <v>980</v>
      </c>
      <c r="G1795" s="50" t="s">
        <v>256</v>
      </c>
      <c r="H1795" s="50">
        <v>12</v>
      </c>
      <c r="M1795" t="str">
        <f>IF(COUNTIF($A:$A,E1795)=0,"Not Exists","Exists")</f>
        <v>Not Exists</v>
      </c>
      <c r="N1795" t="str">
        <f t="shared" si="88"/>
        <v>Not Exists</v>
      </c>
      <c r="O1795" t="str">
        <f t="shared" si="86"/>
        <v>Not Exists</v>
      </c>
      <c r="P1795" t="str">
        <f t="shared" si="87"/>
        <v>Not Exists</v>
      </c>
    </row>
    <row r="1796" spans="1:16">
      <c r="A1796" s="50" t="s">
        <v>1965</v>
      </c>
      <c r="B1796" s="50" t="s">
        <v>436</v>
      </c>
      <c r="C1796" s="50" t="s">
        <v>256</v>
      </c>
      <c r="D1796" s="50">
        <v>50</v>
      </c>
      <c r="E1796" s="50" t="s">
        <v>1957</v>
      </c>
      <c r="F1796" s="50" t="s">
        <v>981</v>
      </c>
      <c r="G1796" s="50" t="s">
        <v>256</v>
      </c>
      <c r="H1796" s="50">
        <v>16</v>
      </c>
      <c r="M1796" t="str">
        <f>IF(COUNTIF($A:$A,E1796)=0,"Not Exists","Exists")</f>
        <v>Not Exists</v>
      </c>
      <c r="N1796" t="str">
        <f t="shared" si="88"/>
        <v>Not Exists</v>
      </c>
      <c r="O1796" t="str">
        <f t="shared" ref="O1796:O1859" si="89">IF(COUNTIF($E:$E,A1796)=0,"Not Exists","Exists")</f>
        <v>Not Exists</v>
      </c>
      <c r="P1796" t="str">
        <f t="shared" ref="P1796:P1859" si="90">IF(COUNTIF($F:$F,B1796)=0,"Not Exists","Exists")</f>
        <v>Not Exists</v>
      </c>
    </row>
    <row r="1797" spans="1:16">
      <c r="A1797" s="50" t="s">
        <v>1965</v>
      </c>
      <c r="B1797" s="50" t="s">
        <v>883</v>
      </c>
      <c r="C1797" s="50" t="s">
        <v>256</v>
      </c>
      <c r="D1797" s="50">
        <v>50</v>
      </c>
      <c r="E1797" s="50" t="s">
        <v>1957</v>
      </c>
      <c r="F1797" s="50" t="s">
        <v>982</v>
      </c>
      <c r="G1797" s="50" t="s">
        <v>256</v>
      </c>
      <c r="H1797" s="50">
        <v>16</v>
      </c>
      <c r="M1797" t="str">
        <f>IF(COUNTIF($A:$A,E1797)=0,"Not Exists","Exists")</f>
        <v>Not Exists</v>
      </c>
      <c r="N1797" t="str">
        <f t="shared" si="88"/>
        <v>Not Exists</v>
      </c>
      <c r="O1797" t="str">
        <f t="shared" si="89"/>
        <v>Not Exists</v>
      </c>
      <c r="P1797" t="str">
        <f t="shared" si="90"/>
        <v>Exists</v>
      </c>
    </row>
    <row r="1798" spans="1:16">
      <c r="A1798" s="50" t="s">
        <v>1965</v>
      </c>
      <c r="B1798" s="50" t="s">
        <v>1966</v>
      </c>
      <c r="C1798" s="50" t="s">
        <v>256</v>
      </c>
      <c r="D1798" s="50">
        <v>450</v>
      </c>
      <c r="E1798" s="50" t="s">
        <v>1957</v>
      </c>
      <c r="F1798" s="50" t="s">
        <v>983</v>
      </c>
      <c r="G1798" s="50" t="s">
        <v>256</v>
      </c>
      <c r="H1798" s="50">
        <v>1</v>
      </c>
      <c r="M1798" t="str">
        <f>IF(COUNTIF($A:$A,E1798)=0,"Not Exists","Exists")</f>
        <v>Not Exists</v>
      </c>
      <c r="N1798" t="str">
        <f t="shared" si="88"/>
        <v>Not Exists</v>
      </c>
      <c r="O1798" t="str">
        <f t="shared" si="89"/>
        <v>Not Exists</v>
      </c>
      <c r="P1798" t="str">
        <f t="shared" si="90"/>
        <v>Not Exists</v>
      </c>
    </row>
    <row r="1799" spans="1:16">
      <c r="A1799" s="50" t="s">
        <v>1965</v>
      </c>
      <c r="B1799" s="50" t="s">
        <v>1967</v>
      </c>
      <c r="C1799" s="50" t="s">
        <v>256</v>
      </c>
      <c r="D1799" s="50">
        <v>450</v>
      </c>
      <c r="E1799" s="50" t="s">
        <v>1957</v>
      </c>
      <c r="F1799" s="50" t="s">
        <v>984</v>
      </c>
      <c r="G1799" s="50" t="s">
        <v>256</v>
      </c>
      <c r="H1799" s="50">
        <v>1</v>
      </c>
      <c r="M1799" t="str">
        <f>IF(COUNTIF($A:$A,E1799)=0,"Not Exists","Exists")</f>
        <v>Not Exists</v>
      </c>
      <c r="N1799" t="str">
        <f t="shared" si="88"/>
        <v>Not Exists</v>
      </c>
      <c r="O1799" t="str">
        <f t="shared" si="89"/>
        <v>Not Exists</v>
      </c>
      <c r="P1799" t="str">
        <f t="shared" si="90"/>
        <v>Not Exists</v>
      </c>
    </row>
    <row r="1800" spans="1:16">
      <c r="A1800" s="50" t="s">
        <v>1965</v>
      </c>
      <c r="B1800" s="50" t="s">
        <v>1968</v>
      </c>
      <c r="C1800" s="50" t="s">
        <v>251</v>
      </c>
      <c r="D1800" s="50">
        <v>1</v>
      </c>
      <c r="E1800" s="50" t="s">
        <v>1957</v>
      </c>
      <c r="F1800" s="50" t="s">
        <v>985</v>
      </c>
      <c r="G1800" s="50" t="s">
        <v>254</v>
      </c>
      <c r="H1800" s="50">
        <v>22</v>
      </c>
      <c r="M1800" t="str">
        <f>IF(COUNTIF($A:$A,E1800)=0,"Not Exists","Exists")</f>
        <v>Not Exists</v>
      </c>
      <c r="N1800" t="str">
        <f t="shared" si="88"/>
        <v>Not Exists</v>
      </c>
      <c r="O1800" t="str">
        <f t="shared" si="89"/>
        <v>Not Exists</v>
      </c>
      <c r="P1800" t="str">
        <f t="shared" si="90"/>
        <v>Not Exists</v>
      </c>
    </row>
    <row r="1801" spans="1:16">
      <c r="A1801" s="50" t="s">
        <v>1965</v>
      </c>
      <c r="B1801" s="50" t="s">
        <v>1969</v>
      </c>
      <c r="C1801" s="50" t="s">
        <v>256</v>
      </c>
      <c r="D1801" s="50">
        <v>450</v>
      </c>
      <c r="E1801" s="50" t="s">
        <v>1957</v>
      </c>
      <c r="F1801" s="50" t="s">
        <v>986</v>
      </c>
      <c r="G1801" s="50" t="s">
        <v>256</v>
      </c>
      <c r="H1801" s="50">
        <v>3</v>
      </c>
      <c r="M1801" t="str">
        <f>IF(COUNTIF($A:$A,E1801)=0,"Not Exists","Exists")</f>
        <v>Not Exists</v>
      </c>
      <c r="N1801" t="str">
        <f t="shared" si="88"/>
        <v>Not Exists</v>
      </c>
      <c r="O1801" t="str">
        <f t="shared" si="89"/>
        <v>Not Exists</v>
      </c>
      <c r="P1801" t="str">
        <f t="shared" si="90"/>
        <v>Not Exists</v>
      </c>
    </row>
    <row r="1802" spans="1:16">
      <c r="A1802" s="50" t="s">
        <v>1965</v>
      </c>
      <c r="B1802" s="50" t="s">
        <v>1970</v>
      </c>
      <c r="C1802" s="50" t="s">
        <v>256</v>
      </c>
      <c r="D1802" s="50">
        <v>450</v>
      </c>
      <c r="E1802" s="50" t="s">
        <v>1957</v>
      </c>
      <c r="F1802" s="50" t="s">
        <v>987</v>
      </c>
      <c r="G1802" s="50" t="s">
        <v>256</v>
      </c>
      <c r="H1802" s="50">
        <v>9</v>
      </c>
      <c r="M1802" t="str">
        <f>IF(COUNTIF($A:$A,E1802)=0,"Not Exists","Exists")</f>
        <v>Not Exists</v>
      </c>
      <c r="N1802" t="str">
        <f t="shared" si="88"/>
        <v>Not Exists</v>
      </c>
      <c r="O1802" t="str">
        <f t="shared" si="89"/>
        <v>Not Exists</v>
      </c>
      <c r="P1802" t="str">
        <f t="shared" si="90"/>
        <v>Not Exists</v>
      </c>
    </row>
    <row r="1803" spans="1:16">
      <c r="A1803" s="50" t="s">
        <v>1965</v>
      </c>
      <c r="B1803" s="50" t="s">
        <v>1971</v>
      </c>
      <c r="C1803" s="50" t="s">
        <v>256</v>
      </c>
      <c r="D1803" s="50">
        <v>450</v>
      </c>
      <c r="E1803" s="50" t="s">
        <v>1957</v>
      </c>
      <c r="F1803" s="50" t="s">
        <v>988</v>
      </c>
      <c r="G1803" s="50" t="s">
        <v>256</v>
      </c>
      <c r="H1803" s="50">
        <v>3</v>
      </c>
      <c r="M1803" t="str">
        <f>IF(COUNTIF($A:$A,E1803)=0,"Not Exists","Exists")</f>
        <v>Not Exists</v>
      </c>
      <c r="N1803" t="str">
        <f t="shared" si="88"/>
        <v>Not Exists</v>
      </c>
      <c r="O1803" t="str">
        <f t="shared" si="89"/>
        <v>Not Exists</v>
      </c>
      <c r="P1803" t="str">
        <f t="shared" si="90"/>
        <v>Not Exists</v>
      </c>
    </row>
    <row r="1804" spans="1:16">
      <c r="A1804" s="50" t="s">
        <v>1972</v>
      </c>
      <c r="B1804" s="50" t="s">
        <v>378</v>
      </c>
      <c r="C1804" s="50" t="s">
        <v>256</v>
      </c>
      <c r="D1804" s="50">
        <v>50</v>
      </c>
      <c r="E1804" s="50" t="s">
        <v>1957</v>
      </c>
      <c r="F1804" s="50" t="s">
        <v>989</v>
      </c>
      <c r="G1804" s="50" t="s">
        <v>256</v>
      </c>
      <c r="H1804" s="50">
        <v>2</v>
      </c>
      <c r="M1804" t="str">
        <f>IF(COUNTIF($A:$A,E1804)=0,"Not Exists","Exists")</f>
        <v>Not Exists</v>
      </c>
      <c r="N1804" t="str">
        <f t="shared" si="88"/>
        <v>Not Exists</v>
      </c>
      <c r="O1804" t="str">
        <f t="shared" si="89"/>
        <v>Not Exists</v>
      </c>
      <c r="P1804" t="str">
        <f t="shared" si="90"/>
        <v>Not Exists</v>
      </c>
    </row>
    <row r="1805" spans="1:16">
      <c r="A1805" s="50" t="s">
        <v>1972</v>
      </c>
      <c r="B1805" s="50" t="s">
        <v>436</v>
      </c>
      <c r="C1805" s="50" t="s">
        <v>256</v>
      </c>
      <c r="D1805" s="50">
        <v>50</v>
      </c>
      <c r="E1805" s="50" t="s">
        <v>1957</v>
      </c>
      <c r="F1805" s="50" t="s">
        <v>990</v>
      </c>
      <c r="G1805" s="50" t="s">
        <v>256</v>
      </c>
      <c r="H1805" s="50">
        <v>2</v>
      </c>
      <c r="M1805" t="str">
        <f>IF(COUNTIF($A:$A,E1805)=0,"Not Exists","Exists")</f>
        <v>Not Exists</v>
      </c>
      <c r="N1805" t="str">
        <f t="shared" si="88"/>
        <v>Not Exists</v>
      </c>
      <c r="O1805" t="str">
        <f t="shared" si="89"/>
        <v>Not Exists</v>
      </c>
      <c r="P1805" t="str">
        <f t="shared" si="90"/>
        <v>Not Exists</v>
      </c>
    </row>
    <row r="1806" spans="1:16">
      <c r="A1806" s="50" t="s">
        <v>1972</v>
      </c>
      <c r="B1806" s="50" t="s">
        <v>1973</v>
      </c>
      <c r="C1806" s="50" t="s">
        <v>256</v>
      </c>
      <c r="D1806" s="50">
        <v>50</v>
      </c>
      <c r="E1806" s="50" t="s">
        <v>1957</v>
      </c>
      <c r="F1806" s="50" t="s">
        <v>991</v>
      </c>
      <c r="G1806" s="50" t="s">
        <v>256</v>
      </c>
      <c r="H1806" s="50">
        <v>3</v>
      </c>
      <c r="M1806" t="str">
        <f>IF(COUNTIF($A:$A,E1806)=0,"Not Exists","Exists")</f>
        <v>Not Exists</v>
      </c>
      <c r="N1806" t="str">
        <f t="shared" si="88"/>
        <v>Not Exists</v>
      </c>
      <c r="O1806" t="str">
        <f t="shared" si="89"/>
        <v>Not Exists</v>
      </c>
      <c r="P1806" t="str">
        <f t="shared" si="90"/>
        <v>Not Exists</v>
      </c>
    </row>
    <row r="1807" spans="1:16">
      <c r="A1807" s="50" t="s">
        <v>1972</v>
      </c>
      <c r="B1807" s="50" t="s">
        <v>1974</v>
      </c>
      <c r="C1807" s="50" t="s">
        <v>256</v>
      </c>
      <c r="D1807" s="50">
        <v>50</v>
      </c>
      <c r="E1807" s="50" t="s">
        <v>1957</v>
      </c>
      <c r="F1807" s="50" t="s">
        <v>992</v>
      </c>
      <c r="G1807" s="50" t="s">
        <v>254</v>
      </c>
      <c r="H1807" s="50">
        <v>22</v>
      </c>
      <c r="M1807" t="str">
        <f>IF(COUNTIF($A:$A,E1807)=0,"Not Exists","Exists")</f>
        <v>Not Exists</v>
      </c>
      <c r="N1807" t="str">
        <f t="shared" si="88"/>
        <v>Not Exists</v>
      </c>
      <c r="O1807" t="str">
        <f t="shared" si="89"/>
        <v>Not Exists</v>
      </c>
      <c r="P1807" t="str">
        <f t="shared" si="90"/>
        <v>Not Exists</v>
      </c>
    </row>
    <row r="1808" spans="1:16">
      <c r="A1808" s="50" t="s">
        <v>1972</v>
      </c>
      <c r="B1808" s="50" t="s">
        <v>1459</v>
      </c>
      <c r="C1808" s="50" t="s">
        <v>256</v>
      </c>
      <c r="D1808" s="50">
        <v>3000</v>
      </c>
      <c r="E1808" s="50" t="s">
        <v>1957</v>
      </c>
      <c r="F1808" s="50" t="s">
        <v>993</v>
      </c>
      <c r="G1808" s="50" t="s">
        <v>256</v>
      </c>
      <c r="H1808" s="50">
        <v>14</v>
      </c>
      <c r="M1808" t="str">
        <f>IF(COUNTIF($A:$A,E1808)=0,"Not Exists","Exists")</f>
        <v>Not Exists</v>
      </c>
      <c r="N1808" t="str">
        <f t="shared" si="88"/>
        <v>Not Exists</v>
      </c>
      <c r="O1808" t="str">
        <f t="shared" si="89"/>
        <v>Not Exists</v>
      </c>
      <c r="P1808" t="str">
        <f t="shared" si="90"/>
        <v>Exists</v>
      </c>
    </row>
    <row r="1809" spans="1:16">
      <c r="A1809" s="50" t="s">
        <v>1972</v>
      </c>
      <c r="B1809" s="50" t="s">
        <v>1460</v>
      </c>
      <c r="C1809" s="50" t="s">
        <v>254</v>
      </c>
      <c r="D1809" s="50">
        <v>22</v>
      </c>
      <c r="E1809" s="50" t="s">
        <v>1957</v>
      </c>
      <c r="F1809" s="50" t="s">
        <v>994</v>
      </c>
      <c r="G1809" s="50" t="s">
        <v>256</v>
      </c>
      <c r="H1809" s="50">
        <v>45</v>
      </c>
      <c r="M1809" t="str">
        <f>IF(COUNTIF($A:$A,E1809)=0,"Not Exists","Exists")</f>
        <v>Not Exists</v>
      </c>
      <c r="N1809" t="str">
        <f t="shared" si="88"/>
        <v>Not Exists</v>
      </c>
      <c r="O1809" t="str">
        <f t="shared" si="89"/>
        <v>Not Exists</v>
      </c>
      <c r="P1809" t="str">
        <f t="shared" si="90"/>
        <v>Exists</v>
      </c>
    </row>
    <row r="1810" spans="1:16">
      <c r="A1810" s="50" t="s">
        <v>1972</v>
      </c>
      <c r="B1810" s="50" t="s">
        <v>1461</v>
      </c>
      <c r="C1810" s="50" t="s">
        <v>256</v>
      </c>
      <c r="D1810" s="50">
        <v>50</v>
      </c>
      <c r="E1810" s="50" t="s">
        <v>1957</v>
      </c>
      <c r="F1810" s="50" t="s">
        <v>995</v>
      </c>
      <c r="G1810" s="50" t="s">
        <v>256</v>
      </c>
      <c r="H1810" s="50">
        <v>1</v>
      </c>
      <c r="M1810" t="str">
        <f>IF(COUNTIF($A:$A,E1810)=0,"Not Exists","Exists")</f>
        <v>Not Exists</v>
      </c>
      <c r="N1810" t="str">
        <f t="shared" si="88"/>
        <v>Not Exists</v>
      </c>
      <c r="O1810" t="str">
        <f t="shared" si="89"/>
        <v>Not Exists</v>
      </c>
      <c r="P1810" t="str">
        <f t="shared" si="90"/>
        <v>Exists</v>
      </c>
    </row>
    <row r="1811" spans="1:16">
      <c r="A1811" s="50" t="s">
        <v>1972</v>
      </c>
      <c r="B1811" s="50" t="s">
        <v>1470</v>
      </c>
      <c r="C1811" s="50" t="s">
        <v>256</v>
      </c>
      <c r="D1811" s="50">
        <v>50</v>
      </c>
      <c r="E1811" s="50" t="s">
        <v>1957</v>
      </c>
      <c r="F1811" s="50" t="s">
        <v>360</v>
      </c>
      <c r="G1811" s="50" t="s">
        <v>256</v>
      </c>
      <c r="H1811" s="50">
        <v>7</v>
      </c>
      <c r="M1811" t="str">
        <f>IF(COUNTIF($A:$A,E1811)=0,"Not Exists","Exists")</f>
        <v>Not Exists</v>
      </c>
      <c r="N1811" t="str">
        <f t="shared" si="88"/>
        <v>Exists</v>
      </c>
      <c r="O1811" t="str">
        <f t="shared" si="89"/>
        <v>Not Exists</v>
      </c>
      <c r="P1811" t="str">
        <f t="shared" si="90"/>
        <v>Exists</v>
      </c>
    </row>
    <row r="1812" spans="1:16">
      <c r="A1812" s="50" t="s">
        <v>1972</v>
      </c>
      <c r="B1812" s="50" t="s">
        <v>1462</v>
      </c>
      <c r="C1812" s="50" t="s">
        <v>256</v>
      </c>
      <c r="D1812" s="50">
        <v>50</v>
      </c>
      <c r="E1812" s="50" t="s">
        <v>1957</v>
      </c>
      <c r="F1812" s="50" t="s">
        <v>996</v>
      </c>
      <c r="G1812" s="50" t="s">
        <v>256</v>
      </c>
      <c r="H1812" s="50">
        <v>2</v>
      </c>
      <c r="M1812" t="str">
        <f>IF(COUNTIF($A:$A,E1812)=0,"Not Exists","Exists")</f>
        <v>Not Exists</v>
      </c>
      <c r="N1812" t="str">
        <f t="shared" si="88"/>
        <v>Not Exists</v>
      </c>
      <c r="O1812" t="str">
        <f t="shared" si="89"/>
        <v>Not Exists</v>
      </c>
      <c r="P1812" t="str">
        <f t="shared" si="90"/>
        <v>Exists</v>
      </c>
    </row>
    <row r="1813" spans="1:16">
      <c r="A1813" s="50" t="s">
        <v>1972</v>
      </c>
      <c r="B1813" s="50" t="s">
        <v>1471</v>
      </c>
      <c r="C1813" s="50" t="s">
        <v>256</v>
      </c>
      <c r="D1813" s="50">
        <v>50</v>
      </c>
      <c r="E1813" s="50" t="s">
        <v>1957</v>
      </c>
      <c r="F1813" s="50" t="s">
        <v>998</v>
      </c>
      <c r="G1813" s="50" t="s">
        <v>256</v>
      </c>
      <c r="H1813" s="50">
        <v>4</v>
      </c>
      <c r="M1813" t="str">
        <f>IF(COUNTIF($A:$A,E1813)=0,"Not Exists","Exists")</f>
        <v>Not Exists</v>
      </c>
      <c r="N1813" t="str">
        <f t="shared" si="88"/>
        <v>Not Exists</v>
      </c>
      <c r="O1813" t="str">
        <f t="shared" si="89"/>
        <v>Not Exists</v>
      </c>
      <c r="P1813" t="str">
        <f t="shared" si="90"/>
        <v>Exists</v>
      </c>
    </row>
    <row r="1814" spans="1:16">
      <c r="A1814" s="50" t="s">
        <v>1972</v>
      </c>
      <c r="B1814" s="50" t="s">
        <v>1472</v>
      </c>
      <c r="C1814" s="50" t="s">
        <v>256</v>
      </c>
      <c r="D1814" s="50">
        <v>50</v>
      </c>
      <c r="E1814" s="50" t="s">
        <v>1957</v>
      </c>
      <c r="F1814" s="50" t="s">
        <v>1000</v>
      </c>
      <c r="G1814" s="50" t="s">
        <v>256</v>
      </c>
      <c r="H1814" s="50">
        <v>4</v>
      </c>
      <c r="M1814" t="str">
        <f>IF(COUNTIF($A:$A,E1814)=0,"Not Exists","Exists")</f>
        <v>Not Exists</v>
      </c>
      <c r="N1814" t="str">
        <f t="shared" si="88"/>
        <v>Not Exists</v>
      </c>
      <c r="O1814" t="str">
        <f t="shared" si="89"/>
        <v>Not Exists</v>
      </c>
      <c r="P1814" t="str">
        <f t="shared" si="90"/>
        <v>Exists</v>
      </c>
    </row>
    <row r="1815" spans="1:16">
      <c r="A1815" s="50" t="s">
        <v>1972</v>
      </c>
      <c r="B1815" s="50" t="s">
        <v>1975</v>
      </c>
      <c r="C1815" s="50" t="s">
        <v>256</v>
      </c>
      <c r="D1815" s="50">
        <v>50</v>
      </c>
      <c r="E1815" s="50" t="s">
        <v>1957</v>
      </c>
      <c r="F1815" s="50" t="s">
        <v>1002</v>
      </c>
      <c r="G1815" s="50" t="s">
        <v>256</v>
      </c>
      <c r="H1815" s="50">
        <v>4</v>
      </c>
      <c r="M1815" t="str">
        <f>IF(COUNTIF($A:$A,E1815)=0,"Not Exists","Exists")</f>
        <v>Not Exists</v>
      </c>
      <c r="N1815" t="str">
        <f t="shared" si="88"/>
        <v>Not Exists</v>
      </c>
      <c r="O1815" t="str">
        <f t="shared" si="89"/>
        <v>Not Exists</v>
      </c>
      <c r="P1815" t="str">
        <f t="shared" si="90"/>
        <v>Not Exists</v>
      </c>
    </row>
    <row r="1816" spans="1:16">
      <c r="A1816" s="50" t="s">
        <v>1972</v>
      </c>
      <c r="B1816" s="50" t="s">
        <v>1465</v>
      </c>
      <c r="C1816" s="50" t="s">
        <v>254</v>
      </c>
      <c r="D1816" s="50">
        <v>22</v>
      </c>
      <c r="E1816" s="50" t="s">
        <v>1957</v>
      </c>
      <c r="F1816" s="50" t="s">
        <v>1004</v>
      </c>
      <c r="G1816" s="50" t="s">
        <v>256</v>
      </c>
      <c r="H1816" s="50">
        <v>4</v>
      </c>
      <c r="M1816" t="str">
        <f>IF(COUNTIF($A:$A,E1816)=0,"Not Exists","Exists")</f>
        <v>Not Exists</v>
      </c>
      <c r="N1816" t="str">
        <f t="shared" si="88"/>
        <v>Not Exists</v>
      </c>
      <c r="O1816" t="str">
        <f t="shared" si="89"/>
        <v>Not Exists</v>
      </c>
      <c r="P1816" t="str">
        <f t="shared" si="90"/>
        <v>Exists</v>
      </c>
    </row>
    <row r="1817" spans="1:16">
      <c r="A1817" s="50" t="s">
        <v>1972</v>
      </c>
      <c r="B1817" s="50" t="s">
        <v>1466</v>
      </c>
      <c r="C1817" s="50" t="s">
        <v>256</v>
      </c>
      <c r="D1817" s="50">
        <v>3000</v>
      </c>
      <c r="E1817" s="50" t="s">
        <v>1957</v>
      </c>
      <c r="F1817" s="50" t="s">
        <v>1006</v>
      </c>
      <c r="G1817" s="50" t="s">
        <v>256</v>
      </c>
      <c r="H1817" s="50">
        <v>1</v>
      </c>
      <c r="M1817" t="str">
        <f>IF(COUNTIF($A:$A,E1817)=0,"Not Exists","Exists")</f>
        <v>Not Exists</v>
      </c>
      <c r="N1817" t="str">
        <f t="shared" si="88"/>
        <v>Not Exists</v>
      </c>
      <c r="O1817" t="str">
        <f t="shared" si="89"/>
        <v>Not Exists</v>
      </c>
      <c r="P1817" t="str">
        <f t="shared" si="90"/>
        <v>Exists</v>
      </c>
    </row>
    <row r="1818" spans="1:16">
      <c r="A1818" s="50" t="s">
        <v>1972</v>
      </c>
      <c r="B1818" s="50" t="s">
        <v>1467</v>
      </c>
      <c r="C1818" s="50" t="s">
        <v>254</v>
      </c>
      <c r="D1818" s="50">
        <v>22</v>
      </c>
      <c r="E1818" s="50" t="s">
        <v>1957</v>
      </c>
      <c r="F1818" s="50" t="s">
        <v>1008</v>
      </c>
      <c r="G1818" s="50" t="s">
        <v>256</v>
      </c>
      <c r="H1818" s="50">
        <v>8</v>
      </c>
      <c r="M1818" t="str">
        <f>IF(COUNTIF($A:$A,E1818)=0,"Not Exists","Exists")</f>
        <v>Not Exists</v>
      </c>
      <c r="N1818" t="str">
        <f t="shared" si="88"/>
        <v>Not Exists</v>
      </c>
      <c r="O1818" t="str">
        <f t="shared" si="89"/>
        <v>Not Exists</v>
      </c>
      <c r="P1818" t="str">
        <f t="shared" si="90"/>
        <v>Exists</v>
      </c>
    </row>
    <row r="1819" spans="1:16">
      <c r="A1819" s="50" t="s">
        <v>1972</v>
      </c>
      <c r="B1819" s="50" t="s">
        <v>1468</v>
      </c>
      <c r="C1819" s="50" t="s">
        <v>256</v>
      </c>
      <c r="D1819" s="50">
        <v>450</v>
      </c>
      <c r="E1819" s="50" t="s">
        <v>1957</v>
      </c>
      <c r="F1819" s="50" t="s">
        <v>1010</v>
      </c>
      <c r="G1819" s="50" t="s">
        <v>256</v>
      </c>
      <c r="H1819" s="50">
        <v>7</v>
      </c>
      <c r="M1819" t="str">
        <f>IF(COUNTIF($A:$A,E1819)=0,"Not Exists","Exists")</f>
        <v>Not Exists</v>
      </c>
      <c r="N1819" t="str">
        <f t="shared" ref="N1819:N1882" si="91">IF(COUNTIF($A:$B,F1819)=0,"Not Exists","Exists")</f>
        <v>Not Exists</v>
      </c>
      <c r="O1819" t="str">
        <f t="shared" si="89"/>
        <v>Not Exists</v>
      </c>
      <c r="P1819" t="str">
        <f t="shared" si="90"/>
        <v>Exists</v>
      </c>
    </row>
    <row r="1820" spans="1:16">
      <c r="A1820" s="50" t="s">
        <v>1972</v>
      </c>
      <c r="B1820" s="50" t="s">
        <v>1469</v>
      </c>
      <c r="C1820" s="50" t="s">
        <v>254</v>
      </c>
      <c r="D1820" s="50">
        <v>22</v>
      </c>
      <c r="E1820" s="50" t="s">
        <v>1957</v>
      </c>
      <c r="F1820" s="50" t="s">
        <v>1012</v>
      </c>
      <c r="G1820" s="50" t="s">
        <v>256</v>
      </c>
      <c r="H1820" s="50">
        <v>7</v>
      </c>
      <c r="M1820" t="str">
        <f>IF(COUNTIF($A:$A,E1820)=0,"Not Exists","Exists")</f>
        <v>Not Exists</v>
      </c>
      <c r="N1820" t="str">
        <f t="shared" si="91"/>
        <v>Not Exists</v>
      </c>
      <c r="O1820" t="str">
        <f t="shared" si="89"/>
        <v>Not Exists</v>
      </c>
      <c r="P1820" t="str">
        <f t="shared" si="90"/>
        <v>Exists</v>
      </c>
    </row>
    <row r="1821" spans="1:16">
      <c r="A1821" s="50" t="s">
        <v>1976</v>
      </c>
      <c r="B1821" s="50" t="s">
        <v>378</v>
      </c>
      <c r="C1821" s="50" t="s">
        <v>256</v>
      </c>
      <c r="D1821" s="50">
        <v>50</v>
      </c>
      <c r="E1821" s="50" t="s">
        <v>1957</v>
      </c>
      <c r="F1821" s="50" t="s">
        <v>1014</v>
      </c>
      <c r="G1821" s="50" t="s">
        <v>256</v>
      </c>
      <c r="H1821" s="50">
        <v>9</v>
      </c>
      <c r="M1821" t="str">
        <f>IF(COUNTIF($A:$A,E1821)=0,"Not Exists","Exists")</f>
        <v>Not Exists</v>
      </c>
      <c r="N1821" t="str">
        <f t="shared" si="91"/>
        <v>Exists</v>
      </c>
      <c r="O1821" t="str">
        <f t="shared" si="89"/>
        <v>Not Exists</v>
      </c>
      <c r="P1821" t="str">
        <f t="shared" si="90"/>
        <v>Not Exists</v>
      </c>
    </row>
    <row r="1822" spans="1:16">
      <c r="A1822" s="50" t="s">
        <v>1976</v>
      </c>
      <c r="B1822" s="50" t="s">
        <v>436</v>
      </c>
      <c r="C1822" s="50" t="s">
        <v>256</v>
      </c>
      <c r="D1822" s="50">
        <v>50</v>
      </c>
      <c r="E1822" s="50" t="s">
        <v>1957</v>
      </c>
      <c r="F1822" s="50" t="s">
        <v>1016</v>
      </c>
      <c r="G1822" s="50" t="s">
        <v>256</v>
      </c>
      <c r="H1822" s="50">
        <v>1</v>
      </c>
      <c r="M1822" t="str">
        <f>IF(COUNTIF($A:$A,E1822)=0,"Not Exists","Exists")</f>
        <v>Not Exists</v>
      </c>
      <c r="N1822" t="str">
        <f t="shared" si="91"/>
        <v>Not Exists</v>
      </c>
      <c r="O1822" t="str">
        <f t="shared" si="89"/>
        <v>Not Exists</v>
      </c>
      <c r="P1822" t="str">
        <f t="shared" si="90"/>
        <v>Not Exists</v>
      </c>
    </row>
    <row r="1823" spans="1:16">
      <c r="A1823" s="50" t="s">
        <v>1976</v>
      </c>
      <c r="B1823" s="50" t="s">
        <v>914</v>
      </c>
      <c r="C1823" s="50" t="s">
        <v>256</v>
      </c>
      <c r="D1823" s="50">
        <v>50</v>
      </c>
      <c r="E1823" s="50" t="s">
        <v>1957</v>
      </c>
      <c r="F1823" s="50" t="s">
        <v>1018</v>
      </c>
      <c r="G1823" s="50" t="s">
        <v>256</v>
      </c>
      <c r="H1823" s="50">
        <v>1</v>
      </c>
      <c r="M1823" t="str">
        <f>IF(COUNTIF($A:$A,E1823)=0,"Not Exists","Exists")</f>
        <v>Not Exists</v>
      </c>
      <c r="N1823" t="str">
        <f t="shared" si="91"/>
        <v>Not Exists</v>
      </c>
      <c r="O1823" t="str">
        <f t="shared" si="89"/>
        <v>Not Exists</v>
      </c>
      <c r="P1823" t="str">
        <f t="shared" si="90"/>
        <v>Exists</v>
      </c>
    </row>
    <row r="1824" spans="1:16">
      <c r="A1824" s="50" t="s">
        <v>1976</v>
      </c>
      <c r="B1824" s="50" t="s">
        <v>1973</v>
      </c>
      <c r="C1824" s="50" t="s">
        <v>256</v>
      </c>
      <c r="D1824" s="50">
        <v>50</v>
      </c>
      <c r="E1824" s="50" t="s">
        <v>1957</v>
      </c>
      <c r="F1824" s="50" t="s">
        <v>1020</v>
      </c>
      <c r="G1824" s="50" t="s">
        <v>256</v>
      </c>
      <c r="H1824" s="50">
        <v>1</v>
      </c>
      <c r="M1824" t="str">
        <f>IF(COUNTIF($A:$A,E1824)=0,"Not Exists","Exists")</f>
        <v>Not Exists</v>
      </c>
      <c r="N1824" t="str">
        <f t="shared" si="91"/>
        <v>Not Exists</v>
      </c>
      <c r="O1824" t="str">
        <f t="shared" si="89"/>
        <v>Not Exists</v>
      </c>
      <c r="P1824" t="str">
        <f t="shared" si="90"/>
        <v>Not Exists</v>
      </c>
    </row>
    <row r="1825" spans="1:16">
      <c r="A1825" s="50" t="s">
        <v>1976</v>
      </c>
      <c r="B1825" s="50" t="s">
        <v>1974</v>
      </c>
      <c r="C1825" s="50" t="s">
        <v>256</v>
      </c>
      <c r="D1825" s="50">
        <v>50</v>
      </c>
      <c r="E1825" s="50" t="s">
        <v>1957</v>
      </c>
      <c r="F1825" s="50" t="s">
        <v>1023</v>
      </c>
      <c r="G1825" s="50" t="s">
        <v>256</v>
      </c>
      <c r="H1825" s="50">
        <v>1</v>
      </c>
      <c r="M1825" t="str">
        <f>IF(COUNTIF($A:$A,E1825)=0,"Not Exists","Exists")</f>
        <v>Not Exists</v>
      </c>
      <c r="N1825" t="str">
        <f t="shared" si="91"/>
        <v>Not Exists</v>
      </c>
      <c r="O1825" t="str">
        <f t="shared" si="89"/>
        <v>Not Exists</v>
      </c>
      <c r="P1825" t="str">
        <f t="shared" si="90"/>
        <v>Not Exists</v>
      </c>
    </row>
    <row r="1826" spans="1:16">
      <c r="A1826" s="50" t="s">
        <v>1976</v>
      </c>
      <c r="B1826" s="50" t="s">
        <v>1490</v>
      </c>
      <c r="C1826" s="50" t="s">
        <v>256</v>
      </c>
      <c r="D1826" s="50">
        <v>450</v>
      </c>
      <c r="E1826" s="50" t="s">
        <v>1957</v>
      </c>
      <c r="F1826" s="50" t="s">
        <v>1025</v>
      </c>
      <c r="G1826" s="50" t="s">
        <v>256</v>
      </c>
      <c r="H1826" s="50">
        <v>1</v>
      </c>
      <c r="M1826" t="str">
        <f>IF(COUNTIF($A:$A,E1826)=0,"Not Exists","Exists")</f>
        <v>Not Exists</v>
      </c>
      <c r="N1826" t="str">
        <f t="shared" si="91"/>
        <v>Not Exists</v>
      </c>
      <c r="O1826" t="str">
        <f t="shared" si="89"/>
        <v>Not Exists</v>
      </c>
      <c r="P1826" t="str">
        <f t="shared" si="90"/>
        <v>Not Exists</v>
      </c>
    </row>
    <row r="1827" spans="1:16">
      <c r="A1827" s="50" t="s">
        <v>1976</v>
      </c>
      <c r="B1827" s="50" t="s">
        <v>1491</v>
      </c>
      <c r="C1827" s="50" t="s">
        <v>256</v>
      </c>
      <c r="D1827" s="50">
        <v>3000</v>
      </c>
      <c r="E1827" s="50" t="s">
        <v>1957</v>
      </c>
      <c r="F1827" s="50" t="s">
        <v>1027</v>
      </c>
      <c r="G1827" s="50" t="s">
        <v>256</v>
      </c>
      <c r="H1827" s="50">
        <v>1</v>
      </c>
      <c r="M1827" t="str">
        <f>IF(COUNTIF($A:$A,E1827)=0,"Not Exists","Exists")</f>
        <v>Not Exists</v>
      </c>
      <c r="N1827" t="str">
        <f t="shared" si="91"/>
        <v>Not Exists</v>
      </c>
      <c r="O1827" t="str">
        <f t="shared" si="89"/>
        <v>Not Exists</v>
      </c>
      <c r="P1827" t="str">
        <f t="shared" si="90"/>
        <v>Not Exists</v>
      </c>
    </row>
    <row r="1828" spans="1:16">
      <c r="A1828" s="50" t="s">
        <v>1976</v>
      </c>
      <c r="B1828" s="50" t="s">
        <v>1504</v>
      </c>
      <c r="C1828" s="50" t="s">
        <v>256</v>
      </c>
      <c r="D1828" s="50">
        <v>50</v>
      </c>
      <c r="E1828" s="50" t="s">
        <v>1957</v>
      </c>
      <c r="F1828" s="50" t="s">
        <v>1029</v>
      </c>
      <c r="G1828" s="50" t="s">
        <v>256</v>
      </c>
      <c r="H1828" s="50">
        <v>1</v>
      </c>
      <c r="M1828" t="str">
        <f>IF(COUNTIF($A:$A,E1828)=0,"Not Exists","Exists")</f>
        <v>Not Exists</v>
      </c>
      <c r="N1828" t="str">
        <f t="shared" si="91"/>
        <v>Not Exists</v>
      </c>
      <c r="O1828" t="str">
        <f t="shared" si="89"/>
        <v>Not Exists</v>
      </c>
      <c r="P1828" t="str">
        <f t="shared" si="90"/>
        <v>Not Exists</v>
      </c>
    </row>
    <row r="1829" spans="1:16">
      <c r="A1829" s="50" t="s">
        <v>1976</v>
      </c>
      <c r="B1829" s="50" t="s">
        <v>1505</v>
      </c>
      <c r="C1829" s="50" t="s">
        <v>256</v>
      </c>
      <c r="D1829" s="50">
        <v>50</v>
      </c>
      <c r="E1829" s="50" t="s">
        <v>1957</v>
      </c>
      <c r="F1829" s="50" t="s">
        <v>1031</v>
      </c>
      <c r="G1829" s="50" t="s">
        <v>256</v>
      </c>
      <c r="H1829" s="50">
        <v>4</v>
      </c>
      <c r="M1829" t="str">
        <f>IF(COUNTIF($A:$A,E1829)=0,"Not Exists","Exists")</f>
        <v>Not Exists</v>
      </c>
      <c r="N1829" t="str">
        <f t="shared" si="91"/>
        <v>Not Exists</v>
      </c>
      <c r="O1829" t="str">
        <f t="shared" si="89"/>
        <v>Not Exists</v>
      </c>
      <c r="P1829" t="str">
        <f t="shared" si="90"/>
        <v>Not Exists</v>
      </c>
    </row>
    <row r="1830" spans="1:16">
      <c r="A1830" s="50" t="s">
        <v>1976</v>
      </c>
      <c r="B1830" s="50" t="s">
        <v>1492</v>
      </c>
      <c r="C1830" s="50" t="s">
        <v>256</v>
      </c>
      <c r="D1830" s="50">
        <v>3000</v>
      </c>
      <c r="E1830" s="50" t="s">
        <v>1957</v>
      </c>
      <c r="F1830" s="50" t="s">
        <v>1033</v>
      </c>
      <c r="G1830" s="50" t="s">
        <v>256</v>
      </c>
      <c r="H1830" s="50">
        <v>3</v>
      </c>
      <c r="M1830" t="str">
        <f>IF(COUNTIF($A:$A,E1830)=0,"Not Exists","Exists")</f>
        <v>Not Exists</v>
      </c>
      <c r="N1830" t="str">
        <f t="shared" si="91"/>
        <v>Not Exists</v>
      </c>
      <c r="O1830" t="str">
        <f t="shared" si="89"/>
        <v>Not Exists</v>
      </c>
      <c r="P1830" t="str">
        <f t="shared" si="90"/>
        <v>Not Exists</v>
      </c>
    </row>
    <row r="1831" spans="1:16">
      <c r="A1831" s="50" t="s">
        <v>1976</v>
      </c>
      <c r="B1831" s="50" t="s">
        <v>1501</v>
      </c>
      <c r="C1831" s="50" t="s">
        <v>256</v>
      </c>
      <c r="D1831" s="50">
        <v>50</v>
      </c>
      <c r="E1831" s="50" t="s">
        <v>1957</v>
      </c>
      <c r="F1831" s="50" t="s">
        <v>1035</v>
      </c>
      <c r="G1831" s="50" t="s">
        <v>254</v>
      </c>
      <c r="H1831" s="50">
        <v>22</v>
      </c>
      <c r="M1831" t="str">
        <f>IF(COUNTIF($A:$A,E1831)=0,"Not Exists","Exists")</f>
        <v>Not Exists</v>
      </c>
      <c r="N1831" t="str">
        <f t="shared" si="91"/>
        <v>Not Exists</v>
      </c>
      <c r="O1831" t="str">
        <f t="shared" si="89"/>
        <v>Not Exists</v>
      </c>
      <c r="P1831" t="str">
        <f t="shared" si="90"/>
        <v>Not Exists</v>
      </c>
    </row>
    <row r="1832" spans="1:16">
      <c r="A1832" s="50" t="s">
        <v>1976</v>
      </c>
      <c r="B1832" s="50" t="s">
        <v>1498</v>
      </c>
      <c r="C1832" s="50" t="s">
        <v>256</v>
      </c>
      <c r="D1832" s="50">
        <v>50</v>
      </c>
      <c r="E1832" s="50" t="s">
        <v>1957</v>
      </c>
      <c r="F1832" s="50" t="s">
        <v>1037</v>
      </c>
      <c r="G1832" s="50" t="s">
        <v>256</v>
      </c>
      <c r="H1832" s="50">
        <v>3</v>
      </c>
      <c r="M1832" t="str">
        <f>IF(COUNTIF($A:$A,E1832)=0,"Not Exists","Exists")</f>
        <v>Not Exists</v>
      </c>
      <c r="N1832" t="str">
        <f t="shared" si="91"/>
        <v>Not Exists</v>
      </c>
      <c r="O1832" t="str">
        <f t="shared" si="89"/>
        <v>Not Exists</v>
      </c>
      <c r="P1832" t="str">
        <f t="shared" si="90"/>
        <v>Not Exists</v>
      </c>
    </row>
    <row r="1833" spans="1:16">
      <c r="A1833" s="50" t="s">
        <v>1976</v>
      </c>
      <c r="B1833" s="50" t="s">
        <v>1500</v>
      </c>
      <c r="C1833" s="50" t="s">
        <v>256</v>
      </c>
      <c r="D1833" s="50">
        <v>50</v>
      </c>
      <c r="E1833" s="50" t="s">
        <v>1957</v>
      </c>
      <c r="F1833" s="50" t="s">
        <v>1039</v>
      </c>
      <c r="G1833" s="50" t="s">
        <v>256</v>
      </c>
      <c r="H1833" s="50">
        <v>3</v>
      </c>
      <c r="M1833" t="str">
        <f>IF(COUNTIF($A:$A,E1833)=0,"Not Exists","Exists")</f>
        <v>Not Exists</v>
      </c>
      <c r="N1833" t="str">
        <f t="shared" si="91"/>
        <v>Not Exists</v>
      </c>
      <c r="O1833" t="str">
        <f t="shared" si="89"/>
        <v>Not Exists</v>
      </c>
      <c r="P1833" t="str">
        <f t="shared" si="90"/>
        <v>Not Exists</v>
      </c>
    </row>
    <row r="1834" spans="1:16">
      <c r="A1834" s="50" t="s">
        <v>1976</v>
      </c>
      <c r="B1834" s="50" t="s">
        <v>1499</v>
      </c>
      <c r="C1834" s="50" t="s">
        <v>256</v>
      </c>
      <c r="D1834" s="50">
        <v>50</v>
      </c>
      <c r="E1834" s="50" t="s">
        <v>1957</v>
      </c>
      <c r="F1834" s="50" t="s">
        <v>1042</v>
      </c>
      <c r="G1834" s="50" t="s">
        <v>256</v>
      </c>
      <c r="H1834" s="50">
        <v>4</v>
      </c>
      <c r="M1834" t="str">
        <f>IF(COUNTIF($A:$A,E1834)=0,"Not Exists","Exists")</f>
        <v>Not Exists</v>
      </c>
      <c r="N1834" t="str">
        <f t="shared" si="91"/>
        <v>Not Exists</v>
      </c>
      <c r="O1834" t="str">
        <f t="shared" si="89"/>
        <v>Not Exists</v>
      </c>
      <c r="P1834" t="str">
        <f t="shared" si="90"/>
        <v>Not Exists</v>
      </c>
    </row>
    <row r="1835" spans="1:16">
      <c r="A1835" s="50" t="s">
        <v>1976</v>
      </c>
      <c r="B1835" s="50" t="s">
        <v>1493</v>
      </c>
      <c r="C1835" s="50" t="s">
        <v>251</v>
      </c>
      <c r="D1835" s="50">
        <v>1</v>
      </c>
      <c r="E1835" s="50" t="s">
        <v>1957</v>
      </c>
      <c r="F1835" s="50" t="s">
        <v>1044</v>
      </c>
      <c r="G1835" s="50" t="s">
        <v>256</v>
      </c>
      <c r="H1835" s="50">
        <v>39</v>
      </c>
      <c r="M1835" t="str">
        <f>IF(COUNTIF($A:$A,E1835)=0,"Not Exists","Exists")</f>
        <v>Not Exists</v>
      </c>
      <c r="N1835" t="str">
        <f t="shared" si="91"/>
        <v>Not Exists</v>
      </c>
      <c r="O1835" t="str">
        <f t="shared" si="89"/>
        <v>Not Exists</v>
      </c>
      <c r="P1835" t="str">
        <f t="shared" si="90"/>
        <v>Not Exists</v>
      </c>
    </row>
    <row r="1836" spans="1:16">
      <c r="A1836" s="50" t="s">
        <v>1976</v>
      </c>
      <c r="B1836" s="50" t="s">
        <v>1977</v>
      </c>
      <c r="C1836" s="50" t="s">
        <v>251</v>
      </c>
      <c r="D1836" s="50">
        <v>1</v>
      </c>
      <c r="E1836" s="50" t="s">
        <v>1957</v>
      </c>
      <c r="F1836" s="50" t="s">
        <v>1046</v>
      </c>
      <c r="G1836" s="50" t="s">
        <v>256</v>
      </c>
      <c r="H1836" s="50">
        <v>2</v>
      </c>
      <c r="M1836" t="str">
        <f>IF(COUNTIF($A:$A,E1836)=0,"Not Exists","Exists")</f>
        <v>Not Exists</v>
      </c>
      <c r="N1836" t="str">
        <f t="shared" si="91"/>
        <v>Not Exists</v>
      </c>
      <c r="O1836" t="str">
        <f t="shared" si="89"/>
        <v>Not Exists</v>
      </c>
      <c r="P1836" t="str">
        <f t="shared" si="90"/>
        <v>Not Exists</v>
      </c>
    </row>
    <row r="1837" spans="1:16">
      <c r="A1837" s="50" t="s">
        <v>1976</v>
      </c>
      <c r="B1837" s="50" t="s">
        <v>1495</v>
      </c>
      <c r="C1837" s="50" t="s">
        <v>256</v>
      </c>
      <c r="D1837" s="50">
        <v>50</v>
      </c>
      <c r="E1837" s="50" t="s">
        <v>1957</v>
      </c>
      <c r="F1837" s="50" t="s">
        <v>1048</v>
      </c>
      <c r="G1837" s="50" t="s">
        <v>256</v>
      </c>
      <c r="H1837" s="50">
        <v>34</v>
      </c>
      <c r="M1837" t="str">
        <f>IF(COUNTIF($A:$A,E1837)=0,"Not Exists","Exists")</f>
        <v>Not Exists</v>
      </c>
      <c r="N1837" t="str">
        <f t="shared" si="91"/>
        <v>Not Exists</v>
      </c>
      <c r="O1837" t="str">
        <f t="shared" si="89"/>
        <v>Not Exists</v>
      </c>
      <c r="P1837" t="str">
        <f t="shared" si="90"/>
        <v>Not Exists</v>
      </c>
    </row>
    <row r="1838" spans="1:16">
      <c r="A1838" s="50" t="s">
        <v>1976</v>
      </c>
      <c r="B1838" s="50" t="s">
        <v>1497</v>
      </c>
      <c r="C1838" s="50" t="s">
        <v>256</v>
      </c>
      <c r="D1838" s="50">
        <v>50</v>
      </c>
      <c r="E1838" s="50" t="s">
        <v>1957</v>
      </c>
      <c r="F1838" s="50" t="s">
        <v>1050</v>
      </c>
      <c r="G1838" s="50" t="s">
        <v>256</v>
      </c>
      <c r="H1838" s="50">
        <v>4</v>
      </c>
      <c r="M1838" t="str">
        <f>IF(COUNTIF($A:$A,E1838)=0,"Not Exists","Exists")</f>
        <v>Not Exists</v>
      </c>
      <c r="N1838" t="str">
        <f t="shared" si="91"/>
        <v>Not Exists</v>
      </c>
      <c r="O1838" t="str">
        <f t="shared" si="89"/>
        <v>Not Exists</v>
      </c>
      <c r="P1838" t="str">
        <f t="shared" si="90"/>
        <v>Not Exists</v>
      </c>
    </row>
    <row r="1839" spans="1:16">
      <c r="A1839" s="50" t="s">
        <v>1976</v>
      </c>
      <c r="B1839" s="50" t="s">
        <v>1506</v>
      </c>
      <c r="C1839" s="50" t="s">
        <v>256</v>
      </c>
      <c r="D1839" s="50">
        <v>10</v>
      </c>
      <c r="E1839" s="50" t="s">
        <v>1957</v>
      </c>
      <c r="F1839" s="50" t="s">
        <v>1052</v>
      </c>
      <c r="G1839" s="50" t="s">
        <v>256</v>
      </c>
      <c r="H1839" s="50">
        <v>8</v>
      </c>
      <c r="M1839" t="str">
        <f>IF(COUNTIF($A:$A,E1839)=0,"Not Exists","Exists")</f>
        <v>Not Exists</v>
      </c>
      <c r="N1839" t="str">
        <f t="shared" si="91"/>
        <v>Not Exists</v>
      </c>
      <c r="O1839" t="str">
        <f t="shared" si="89"/>
        <v>Not Exists</v>
      </c>
      <c r="P1839" t="str">
        <f t="shared" si="90"/>
        <v>Not Exists</v>
      </c>
    </row>
    <row r="1840" spans="1:16">
      <c r="A1840" s="50" t="s">
        <v>1976</v>
      </c>
      <c r="B1840" s="50" t="s">
        <v>1507</v>
      </c>
      <c r="C1840" s="50" t="s">
        <v>256</v>
      </c>
      <c r="D1840" s="50">
        <v>50</v>
      </c>
      <c r="E1840" s="50" t="s">
        <v>1957</v>
      </c>
      <c r="F1840" s="50" t="s">
        <v>1054</v>
      </c>
      <c r="G1840" s="50" t="s">
        <v>256</v>
      </c>
      <c r="H1840" s="50">
        <v>7</v>
      </c>
      <c r="M1840" t="str">
        <f>IF(COUNTIF($A:$A,E1840)=0,"Not Exists","Exists")</f>
        <v>Not Exists</v>
      </c>
      <c r="N1840" t="str">
        <f t="shared" si="91"/>
        <v>Not Exists</v>
      </c>
      <c r="O1840" t="str">
        <f t="shared" si="89"/>
        <v>Not Exists</v>
      </c>
      <c r="P1840" t="str">
        <f t="shared" si="90"/>
        <v>Not Exists</v>
      </c>
    </row>
    <row r="1841" spans="1:16">
      <c r="A1841" s="50" t="s">
        <v>1976</v>
      </c>
      <c r="B1841" s="50" t="s">
        <v>1508</v>
      </c>
      <c r="C1841" s="50" t="s">
        <v>256</v>
      </c>
      <c r="D1841" s="50">
        <v>50</v>
      </c>
      <c r="E1841" s="50" t="s">
        <v>1957</v>
      </c>
      <c r="F1841" s="50" t="s">
        <v>1056</v>
      </c>
      <c r="G1841" s="50" t="s">
        <v>256</v>
      </c>
      <c r="H1841" s="50">
        <v>20</v>
      </c>
      <c r="M1841" t="str">
        <f>IF(COUNTIF($A:$A,E1841)=0,"Not Exists","Exists")</f>
        <v>Not Exists</v>
      </c>
      <c r="N1841" t="str">
        <f t="shared" si="91"/>
        <v>Not Exists</v>
      </c>
      <c r="O1841" t="str">
        <f t="shared" si="89"/>
        <v>Not Exists</v>
      </c>
      <c r="P1841" t="str">
        <f t="shared" si="90"/>
        <v>Not Exists</v>
      </c>
    </row>
    <row r="1842" spans="1:16">
      <c r="A1842" s="50" t="s">
        <v>1978</v>
      </c>
      <c r="B1842" s="50" t="s">
        <v>378</v>
      </c>
      <c r="C1842" s="50" t="s">
        <v>256</v>
      </c>
      <c r="D1842" s="50">
        <v>50</v>
      </c>
      <c r="E1842" s="50" t="s">
        <v>1957</v>
      </c>
      <c r="F1842" s="50" t="s">
        <v>1058</v>
      </c>
      <c r="G1842" s="50" t="s">
        <v>254</v>
      </c>
      <c r="H1842" s="50">
        <v>22</v>
      </c>
      <c r="M1842" t="str">
        <f>IF(COUNTIF($A:$A,E1842)=0,"Not Exists","Exists")</f>
        <v>Not Exists</v>
      </c>
      <c r="N1842" t="str">
        <f t="shared" si="91"/>
        <v>Not Exists</v>
      </c>
      <c r="O1842" t="str">
        <f t="shared" si="89"/>
        <v>Not Exists</v>
      </c>
      <c r="P1842" t="str">
        <f t="shared" si="90"/>
        <v>Not Exists</v>
      </c>
    </row>
    <row r="1843" spans="1:16">
      <c r="A1843" s="50" t="s">
        <v>1978</v>
      </c>
      <c r="B1843" s="50" t="s">
        <v>436</v>
      </c>
      <c r="C1843" s="50" t="s">
        <v>256</v>
      </c>
      <c r="D1843" s="50">
        <v>50</v>
      </c>
      <c r="E1843" s="50" t="s">
        <v>1957</v>
      </c>
      <c r="F1843" s="50" t="s">
        <v>1061</v>
      </c>
      <c r="G1843" s="50" t="s">
        <v>256</v>
      </c>
      <c r="H1843" s="50">
        <v>1</v>
      </c>
      <c r="M1843" t="str">
        <f>IF(COUNTIF($A:$A,E1843)=0,"Not Exists","Exists")</f>
        <v>Not Exists</v>
      </c>
      <c r="N1843" t="str">
        <f t="shared" si="91"/>
        <v>Not Exists</v>
      </c>
      <c r="O1843" t="str">
        <f t="shared" si="89"/>
        <v>Not Exists</v>
      </c>
      <c r="P1843" t="str">
        <f t="shared" si="90"/>
        <v>Not Exists</v>
      </c>
    </row>
    <row r="1844" spans="1:16">
      <c r="A1844" s="50" t="s">
        <v>1978</v>
      </c>
      <c r="B1844" s="50" t="s">
        <v>1979</v>
      </c>
      <c r="C1844" s="50" t="s">
        <v>256</v>
      </c>
      <c r="D1844" s="50">
        <v>70</v>
      </c>
      <c r="E1844" s="50" t="s">
        <v>1957</v>
      </c>
      <c r="F1844" s="50" t="s">
        <v>1063</v>
      </c>
      <c r="G1844" s="50" t="s">
        <v>254</v>
      </c>
      <c r="H1844" s="50">
        <v>22</v>
      </c>
      <c r="M1844" t="str">
        <f>IF(COUNTIF($A:$A,E1844)=0,"Not Exists","Exists")</f>
        <v>Not Exists</v>
      </c>
      <c r="N1844" t="str">
        <f t="shared" si="91"/>
        <v>Not Exists</v>
      </c>
      <c r="O1844" t="str">
        <f t="shared" si="89"/>
        <v>Not Exists</v>
      </c>
      <c r="P1844" t="str">
        <f t="shared" si="90"/>
        <v>Not Exists</v>
      </c>
    </row>
    <row r="1845" spans="1:16">
      <c r="A1845" s="50" t="s">
        <v>1978</v>
      </c>
      <c r="B1845" s="50" t="s">
        <v>1558</v>
      </c>
      <c r="C1845" s="50" t="s">
        <v>256</v>
      </c>
      <c r="D1845" s="50">
        <v>50</v>
      </c>
      <c r="E1845" s="50" t="s">
        <v>1957</v>
      </c>
      <c r="F1845" s="50" t="s">
        <v>1065</v>
      </c>
      <c r="G1845" s="50" t="s">
        <v>256</v>
      </c>
      <c r="H1845" s="50">
        <v>1</v>
      </c>
      <c r="M1845" t="str">
        <f>IF(COUNTIF($A:$A,E1845)=0,"Not Exists","Exists")</f>
        <v>Not Exists</v>
      </c>
      <c r="N1845" t="str">
        <f t="shared" si="91"/>
        <v>Not Exists</v>
      </c>
      <c r="O1845" t="str">
        <f t="shared" si="89"/>
        <v>Not Exists</v>
      </c>
      <c r="P1845" t="str">
        <f t="shared" si="90"/>
        <v>Exists</v>
      </c>
    </row>
    <row r="1846" spans="1:16">
      <c r="A1846" s="50" t="s">
        <v>1978</v>
      </c>
      <c r="B1846" s="50" t="s">
        <v>930</v>
      </c>
      <c r="C1846" s="50" t="s">
        <v>256</v>
      </c>
      <c r="D1846" s="50">
        <v>20</v>
      </c>
      <c r="E1846" s="50" t="s">
        <v>1957</v>
      </c>
      <c r="F1846" s="50" t="s">
        <v>1067</v>
      </c>
      <c r="G1846" s="50" t="s">
        <v>256</v>
      </c>
      <c r="H1846" s="50">
        <v>1</v>
      </c>
      <c r="M1846" t="str">
        <f>IF(COUNTIF($A:$A,E1846)=0,"Not Exists","Exists")</f>
        <v>Not Exists</v>
      </c>
      <c r="N1846" t="str">
        <f t="shared" si="91"/>
        <v>Not Exists</v>
      </c>
      <c r="O1846" t="str">
        <f t="shared" si="89"/>
        <v>Not Exists</v>
      </c>
      <c r="P1846" t="str">
        <f t="shared" si="90"/>
        <v>Exists</v>
      </c>
    </row>
    <row r="1847" spans="1:16">
      <c r="A1847" s="50" t="s">
        <v>1978</v>
      </c>
      <c r="B1847" s="50" t="s">
        <v>392</v>
      </c>
      <c r="C1847" s="50" t="s">
        <v>256</v>
      </c>
      <c r="D1847" s="50">
        <v>50</v>
      </c>
      <c r="E1847" s="50" t="s">
        <v>1957</v>
      </c>
      <c r="F1847" s="50" t="s">
        <v>1069</v>
      </c>
      <c r="G1847" s="50" t="s">
        <v>256</v>
      </c>
      <c r="H1847" s="50">
        <v>1</v>
      </c>
      <c r="M1847" t="str">
        <f>IF(COUNTIF($A:$A,E1847)=0,"Not Exists","Exists")</f>
        <v>Not Exists</v>
      </c>
      <c r="N1847" t="str">
        <f t="shared" si="91"/>
        <v>Not Exists</v>
      </c>
      <c r="O1847" t="str">
        <f t="shared" si="89"/>
        <v>Not Exists</v>
      </c>
      <c r="P1847" t="str">
        <f t="shared" si="90"/>
        <v>Exists</v>
      </c>
    </row>
    <row r="1848" spans="1:16">
      <c r="A1848" s="50" t="s">
        <v>1978</v>
      </c>
      <c r="B1848" s="50" t="s">
        <v>1980</v>
      </c>
      <c r="C1848" s="50" t="s">
        <v>256</v>
      </c>
      <c r="D1848" s="50">
        <v>50</v>
      </c>
      <c r="E1848" s="50" t="s">
        <v>1957</v>
      </c>
      <c r="F1848" s="50" t="s">
        <v>1071</v>
      </c>
      <c r="G1848" s="50" t="s">
        <v>256</v>
      </c>
      <c r="H1848" s="50">
        <v>1</v>
      </c>
      <c r="M1848" t="str">
        <f>IF(COUNTIF($A:$A,E1848)=0,"Not Exists","Exists")</f>
        <v>Not Exists</v>
      </c>
      <c r="N1848" t="str">
        <f t="shared" si="91"/>
        <v>Not Exists</v>
      </c>
      <c r="O1848" t="str">
        <f t="shared" si="89"/>
        <v>Not Exists</v>
      </c>
      <c r="P1848" t="str">
        <f t="shared" si="90"/>
        <v>Not Exists</v>
      </c>
    </row>
    <row r="1849" spans="1:16">
      <c r="A1849" s="50" t="s">
        <v>1978</v>
      </c>
      <c r="B1849" s="50" t="s">
        <v>1981</v>
      </c>
      <c r="C1849" s="50" t="s">
        <v>256</v>
      </c>
      <c r="D1849" s="50">
        <v>450</v>
      </c>
      <c r="E1849" s="50" t="s">
        <v>1957</v>
      </c>
      <c r="F1849" s="50" t="s">
        <v>1073</v>
      </c>
      <c r="G1849" s="50" t="s">
        <v>256</v>
      </c>
      <c r="H1849" s="50">
        <v>3</v>
      </c>
      <c r="M1849" t="str">
        <f>IF(COUNTIF($A:$A,E1849)=0,"Not Exists","Exists")</f>
        <v>Not Exists</v>
      </c>
      <c r="N1849" t="str">
        <f t="shared" si="91"/>
        <v>Not Exists</v>
      </c>
      <c r="O1849" t="str">
        <f t="shared" si="89"/>
        <v>Not Exists</v>
      </c>
      <c r="P1849" t="str">
        <f t="shared" si="90"/>
        <v>Not Exists</v>
      </c>
    </row>
    <row r="1850" spans="1:16">
      <c r="A1850" s="50" t="s">
        <v>1978</v>
      </c>
      <c r="B1850" s="50" t="s">
        <v>1982</v>
      </c>
      <c r="C1850" s="50" t="s">
        <v>256</v>
      </c>
      <c r="D1850" s="50">
        <v>2</v>
      </c>
      <c r="E1850" s="50" t="s">
        <v>1957</v>
      </c>
      <c r="F1850" s="50" t="s">
        <v>1075</v>
      </c>
      <c r="G1850" s="50" t="s">
        <v>256</v>
      </c>
      <c r="H1850" s="50">
        <v>12</v>
      </c>
      <c r="M1850" t="str">
        <f>IF(COUNTIF($A:$A,E1850)=0,"Not Exists","Exists")</f>
        <v>Not Exists</v>
      </c>
      <c r="N1850" t="str">
        <f t="shared" si="91"/>
        <v>Not Exists</v>
      </c>
      <c r="O1850" t="str">
        <f t="shared" si="89"/>
        <v>Not Exists</v>
      </c>
      <c r="P1850" t="str">
        <f t="shared" si="90"/>
        <v>Not Exists</v>
      </c>
    </row>
    <row r="1851" spans="1:16">
      <c r="A1851" s="50" t="s">
        <v>1978</v>
      </c>
      <c r="B1851" s="50" t="s">
        <v>1983</v>
      </c>
      <c r="C1851" s="50" t="s">
        <v>256</v>
      </c>
      <c r="D1851" s="50">
        <v>2</v>
      </c>
      <c r="E1851" s="50" t="s">
        <v>1957</v>
      </c>
      <c r="F1851" s="50" t="s">
        <v>1077</v>
      </c>
      <c r="G1851" s="50" t="s">
        <v>256</v>
      </c>
      <c r="H1851" s="50">
        <v>9</v>
      </c>
      <c r="M1851" t="str">
        <f>IF(COUNTIF($A:$A,E1851)=0,"Not Exists","Exists")</f>
        <v>Not Exists</v>
      </c>
      <c r="N1851" t="str">
        <f t="shared" si="91"/>
        <v>Not Exists</v>
      </c>
      <c r="O1851" t="str">
        <f t="shared" si="89"/>
        <v>Not Exists</v>
      </c>
      <c r="P1851" t="str">
        <f t="shared" si="90"/>
        <v>Not Exists</v>
      </c>
    </row>
    <row r="1852" spans="1:16">
      <c r="A1852" s="50" t="s">
        <v>1978</v>
      </c>
      <c r="B1852" s="50" t="s">
        <v>1984</v>
      </c>
      <c r="C1852" s="50" t="s">
        <v>256</v>
      </c>
      <c r="D1852" s="50">
        <v>3000</v>
      </c>
      <c r="E1852" s="50" t="s">
        <v>1957</v>
      </c>
      <c r="F1852" s="50" t="s">
        <v>623</v>
      </c>
      <c r="G1852" s="50" t="s">
        <v>256</v>
      </c>
      <c r="H1852" s="50">
        <v>8</v>
      </c>
      <c r="M1852" t="str">
        <f>IF(COUNTIF($A:$A,E1852)=0,"Not Exists","Exists")</f>
        <v>Not Exists</v>
      </c>
      <c r="N1852" t="str">
        <f t="shared" si="91"/>
        <v>Not Exists</v>
      </c>
      <c r="O1852" t="str">
        <f t="shared" si="89"/>
        <v>Not Exists</v>
      </c>
      <c r="P1852" t="str">
        <f t="shared" si="90"/>
        <v>Not Exists</v>
      </c>
    </row>
    <row r="1853" spans="1:16">
      <c r="A1853" s="50" t="s">
        <v>1978</v>
      </c>
      <c r="B1853" s="50" t="s">
        <v>1985</v>
      </c>
      <c r="C1853" s="50" t="s">
        <v>256</v>
      </c>
      <c r="D1853" s="50">
        <v>2</v>
      </c>
      <c r="E1853" s="50" t="s">
        <v>1957</v>
      </c>
      <c r="F1853" s="50" t="s">
        <v>1081</v>
      </c>
      <c r="G1853" s="50" t="s">
        <v>254</v>
      </c>
      <c r="H1853" s="50">
        <v>22</v>
      </c>
      <c r="M1853" t="str">
        <f>IF(COUNTIF($A:$A,E1853)=0,"Not Exists","Exists")</f>
        <v>Not Exists</v>
      </c>
      <c r="N1853" t="str">
        <f t="shared" si="91"/>
        <v>Not Exists</v>
      </c>
      <c r="O1853" t="str">
        <f t="shared" si="89"/>
        <v>Not Exists</v>
      </c>
      <c r="P1853" t="str">
        <f t="shared" si="90"/>
        <v>Not Exists</v>
      </c>
    </row>
    <row r="1854" spans="1:16">
      <c r="A1854" s="50" t="s">
        <v>1978</v>
      </c>
      <c r="B1854" s="50" t="s">
        <v>1986</v>
      </c>
      <c r="C1854" s="50" t="s">
        <v>256</v>
      </c>
      <c r="D1854" s="50">
        <v>2</v>
      </c>
      <c r="E1854" s="50" t="s">
        <v>1957</v>
      </c>
      <c r="F1854" s="50" t="s">
        <v>1083</v>
      </c>
      <c r="G1854" s="50" t="s">
        <v>254</v>
      </c>
      <c r="H1854" s="50">
        <v>22</v>
      </c>
      <c r="M1854" t="str">
        <f>IF(COUNTIF($A:$A,E1854)=0,"Not Exists","Exists")</f>
        <v>Not Exists</v>
      </c>
      <c r="N1854" t="str">
        <f t="shared" si="91"/>
        <v>Not Exists</v>
      </c>
      <c r="O1854" t="str">
        <f t="shared" si="89"/>
        <v>Not Exists</v>
      </c>
      <c r="P1854" t="str">
        <f t="shared" si="90"/>
        <v>Not Exists</v>
      </c>
    </row>
    <row r="1855" spans="1:16">
      <c r="A1855" s="50" t="s">
        <v>1978</v>
      </c>
      <c r="B1855" s="50" t="s">
        <v>1987</v>
      </c>
      <c r="C1855" s="50" t="s">
        <v>256</v>
      </c>
      <c r="D1855" s="50">
        <v>1000</v>
      </c>
      <c r="E1855" s="50" t="s">
        <v>1957</v>
      </c>
      <c r="F1855" s="50" t="s">
        <v>350</v>
      </c>
      <c r="G1855" s="50" t="s">
        <v>256</v>
      </c>
      <c r="H1855" s="50">
        <v>32</v>
      </c>
      <c r="M1855" t="str">
        <f>IF(COUNTIF($A:$A,E1855)=0,"Not Exists","Exists")</f>
        <v>Not Exists</v>
      </c>
      <c r="N1855" t="str">
        <f t="shared" si="91"/>
        <v>Exists</v>
      </c>
      <c r="O1855" t="str">
        <f t="shared" si="89"/>
        <v>Not Exists</v>
      </c>
      <c r="P1855" t="str">
        <f t="shared" si="90"/>
        <v>Not Exists</v>
      </c>
    </row>
    <row r="1856" spans="1:16">
      <c r="A1856" s="50" t="s">
        <v>1988</v>
      </c>
      <c r="B1856" s="50" t="s">
        <v>378</v>
      </c>
      <c r="C1856" s="50" t="s">
        <v>256</v>
      </c>
      <c r="D1856" s="50">
        <v>50</v>
      </c>
      <c r="E1856" s="50" t="s">
        <v>1957</v>
      </c>
      <c r="F1856" s="50" t="s">
        <v>1085</v>
      </c>
      <c r="G1856" s="50" t="s">
        <v>256</v>
      </c>
      <c r="H1856" s="50">
        <v>8</v>
      </c>
      <c r="M1856" t="str">
        <f>IF(COUNTIF($A:$A,E1856)=0,"Not Exists","Exists")</f>
        <v>Not Exists</v>
      </c>
      <c r="N1856" t="str">
        <f t="shared" si="91"/>
        <v>Not Exists</v>
      </c>
      <c r="O1856" t="str">
        <f t="shared" si="89"/>
        <v>Not Exists</v>
      </c>
      <c r="P1856" t="str">
        <f t="shared" si="90"/>
        <v>Not Exists</v>
      </c>
    </row>
    <row r="1857" spans="1:16">
      <c r="A1857" s="50" t="s">
        <v>1988</v>
      </c>
      <c r="B1857" s="50" t="s">
        <v>436</v>
      </c>
      <c r="C1857" s="50" t="s">
        <v>256</v>
      </c>
      <c r="D1857" s="50">
        <v>50</v>
      </c>
      <c r="E1857" s="50" t="s">
        <v>1957</v>
      </c>
      <c r="F1857" s="50" t="s">
        <v>1088</v>
      </c>
      <c r="G1857" s="50" t="s">
        <v>256</v>
      </c>
      <c r="H1857" s="50">
        <v>1</v>
      </c>
      <c r="M1857" t="str">
        <f>IF(COUNTIF($A:$A,E1857)=0,"Not Exists","Exists")</f>
        <v>Not Exists</v>
      </c>
      <c r="N1857" t="str">
        <f t="shared" si="91"/>
        <v>Not Exists</v>
      </c>
      <c r="O1857" t="str">
        <f t="shared" si="89"/>
        <v>Not Exists</v>
      </c>
      <c r="P1857" t="str">
        <f t="shared" si="90"/>
        <v>Not Exists</v>
      </c>
    </row>
    <row r="1858" spans="1:16">
      <c r="A1858" s="50" t="s">
        <v>1988</v>
      </c>
      <c r="B1858" s="50" t="s">
        <v>1586</v>
      </c>
      <c r="C1858" s="50" t="s">
        <v>256</v>
      </c>
      <c r="D1858" s="50">
        <v>50</v>
      </c>
      <c r="E1858" s="50" t="s">
        <v>1957</v>
      </c>
      <c r="F1858" s="50" t="s">
        <v>1090</v>
      </c>
      <c r="G1858" s="50" t="s">
        <v>256</v>
      </c>
      <c r="H1858" s="50">
        <v>100</v>
      </c>
      <c r="M1858" t="str">
        <f>IF(COUNTIF($A:$A,E1858)=0,"Not Exists","Exists")</f>
        <v>Not Exists</v>
      </c>
      <c r="N1858" t="str">
        <f t="shared" si="91"/>
        <v>Not Exists</v>
      </c>
      <c r="O1858" t="str">
        <f t="shared" si="89"/>
        <v>Not Exists</v>
      </c>
      <c r="P1858" t="str">
        <f t="shared" si="90"/>
        <v>Exists</v>
      </c>
    </row>
    <row r="1859" spans="1:16">
      <c r="A1859" s="50" t="s">
        <v>1988</v>
      </c>
      <c r="B1859" s="50" t="s">
        <v>1989</v>
      </c>
      <c r="C1859" s="50" t="s">
        <v>251</v>
      </c>
      <c r="D1859" s="50">
        <v>1</v>
      </c>
      <c r="E1859" s="50" t="s">
        <v>1957</v>
      </c>
      <c r="F1859" s="50" t="s">
        <v>1092</v>
      </c>
      <c r="G1859" s="50" t="s">
        <v>256</v>
      </c>
      <c r="H1859" s="50">
        <v>1000</v>
      </c>
      <c r="M1859" t="str">
        <f>IF(COUNTIF($A:$A,E1859)=0,"Not Exists","Exists")</f>
        <v>Not Exists</v>
      </c>
      <c r="N1859" t="str">
        <f t="shared" si="91"/>
        <v>Not Exists</v>
      </c>
      <c r="O1859" t="str">
        <f t="shared" si="89"/>
        <v>Not Exists</v>
      </c>
      <c r="P1859" t="str">
        <f t="shared" si="90"/>
        <v>Not Exists</v>
      </c>
    </row>
    <row r="1860" spans="1:16">
      <c r="A1860" s="50" t="s">
        <v>1988</v>
      </c>
      <c r="B1860" s="50" t="s">
        <v>389</v>
      </c>
      <c r="C1860" s="50" t="s">
        <v>256</v>
      </c>
      <c r="D1860" s="50">
        <v>50</v>
      </c>
      <c r="E1860" s="50" t="s">
        <v>1957</v>
      </c>
      <c r="F1860" s="50" t="s">
        <v>1094</v>
      </c>
      <c r="G1860" s="50" t="s">
        <v>256</v>
      </c>
      <c r="H1860" s="50">
        <v>1000</v>
      </c>
      <c r="M1860" t="str">
        <f>IF(COUNTIF($A:$A,E1860)=0,"Not Exists","Exists")</f>
        <v>Not Exists</v>
      </c>
      <c r="N1860" t="str">
        <f t="shared" si="91"/>
        <v>Not Exists</v>
      </c>
      <c r="O1860" t="str">
        <f t="shared" ref="O1860:O1923" si="92">IF(COUNTIF($E:$E,A1860)=0,"Not Exists","Exists")</f>
        <v>Not Exists</v>
      </c>
      <c r="P1860" t="str">
        <f t="shared" ref="P1860:P1923" si="93">IF(COUNTIF($F:$F,B1860)=0,"Not Exists","Exists")</f>
        <v>Exists</v>
      </c>
    </row>
    <row r="1861" spans="1:16">
      <c r="A1861" s="50" t="s">
        <v>1988</v>
      </c>
      <c r="B1861" s="50" t="s">
        <v>1990</v>
      </c>
      <c r="C1861" s="50" t="s">
        <v>256</v>
      </c>
      <c r="D1861" s="50">
        <v>3000</v>
      </c>
      <c r="E1861" s="50" t="s">
        <v>1957</v>
      </c>
      <c r="F1861" s="50" t="s">
        <v>1097</v>
      </c>
      <c r="G1861" s="50" t="s">
        <v>256</v>
      </c>
      <c r="H1861" s="50">
        <v>1000</v>
      </c>
      <c r="M1861" t="str">
        <f>IF(COUNTIF($A:$A,E1861)=0,"Not Exists","Exists")</f>
        <v>Not Exists</v>
      </c>
      <c r="N1861" t="str">
        <f t="shared" si="91"/>
        <v>Not Exists</v>
      </c>
      <c r="O1861" t="str">
        <f t="shared" si="92"/>
        <v>Not Exists</v>
      </c>
      <c r="P1861" t="str">
        <f t="shared" si="93"/>
        <v>Not Exists</v>
      </c>
    </row>
    <row r="1862" spans="1:16">
      <c r="A1862" s="50" t="s">
        <v>1991</v>
      </c>
      <c r="B1862" s="50" t="s">
        <v>378</v>
      </c>
      <c r="C1862" s="50" t="s">
        <v>256</v>
      </c>
      <c r="D1862" s="50">
        <v>50</v>
      </c>
      <c r="E1862" s="50" t="s">
        <v>1957</v>
      </c>
      <c r="F1862" s="50" t="s">
        <v>1099</v>
      </c>
      <c r="G1862" s="50" t="s">
        <v>256</v>
      </c>
      <c r="H1862" s="50">
        <v>1000</v>
      </c>
      <c r="M1862" t="str">
        <f>IF(COUNTIF($A:$A,E1862)=0,"Not Exists","Exists")</f>
        <v>Not Exists</v>
      </c>
      <c r="N1862" t="str">
        <f t="shared" si="91"/>
        <v>Not Exists</v>
      </c>
      <c r="O1862" t="str">
        <f t="shared" si="92"/>
        <v>Not Exists</v>
      </c>
      <c r="P1862" t="str">
        <f t="shared" si="93"/>
        <v>Not Exists</v>
      </c>
    </row>
    <row r="1863" spans="1:16">
      <c r="A1863" s="50" t="s">
        <v>1991</v>
      </c>
      <c r="B1863" s="50" t="s">
        <v>436</v>
      </c>
      <c r="C1863" s="50" t="s">
        <v>256</v>
      </c>
      <c r="D1863" s="50">
        <v>50</v>
      </c>
      <c r="E1863" s="50" t="s">
        <v>1957</v>
      </c>
      <c r="F1863" s="50" t="s">
        <v>1101</v>
      </c>
      <c r="G1863" s="50" t="s">
        <v>256</v>
      </c>
      <c r="H1863" s="50">
        <v>1000</v>
      </c>
      <c r="M1863" t="str">
        <f>IF(COUNTIF($A:$A,E1863)=0,"Not Exists","Exists")</f>
        <v>Not Exists</v>
      </c>
      <c r="N1863" t="str">
        <f t="shared" si="91"/>
        <v>Not Exists</v>
      </c>
      <c r="O1863" t="str">
        <f t="shared" si="92"/>
        <v>Not Exists</v>
      </c>
      <c r="P1863" t="str">
        <f t="shared" si="93"/>
        <v>Not Exists</v>
      </c>
    </row>
    <row r="1864" spans="1:16">
      <c r="A1864" s="50" t="s">
        <v>1991</v>
      </c>
      <c r="B1864" s="50" t="s">
        <v>1992</v>
      </c>
      <c r="C1864" s="50" t="s">
        <v>256</v>
      </c>
      <c r="D1864" s="50">
        <v>100</v>
      </c>
      <c r="E1864" s="50" t="s">
        <v>1957</v>
      </c>
      <c r="F1864" s="50" t="s">
        <v>1103</v>
      </c>
      <c r="G1864" s="50" t="s">
        <v>256</v>
      </c>
      <c r="H1864" s="50">
        <v>1000</v>
      </c>
      <c r="M1864" t="str">
        <f>IF(COUNTIF($A:$A,E1864)=0,"Not Exists","Exists")</f>
        <v>Not Exists</v>
      </c>
      <c r="N1864" t="str">
        <f t="shared" si="91"/>
        <v>Not Exists</v>
      </c>
      <c r="O1864" t="str">
        <f t="shared" si="92"/>
        <v>Not Exists</v>
      </c>
      <c r="P1864" t="str">
        <f t="shared" si="93"/>
        <v>Not Exists</v>
      </c>
    </row>
    <row r="1865" spans="1:16">
      <c r="A1865" s="50" t="s">
        <v>1991</v>
      </c>
      <c r="B1865" s="50" t="s">
        <v>1993</v>
      </c>
      <c r="C1865" s="50" t="s">
        <v>256</v>
      </c>
      <c r="D1865" s="50">
        <v>1000</v>
      </c>
      <c r="E1865" s="50" t="s">
        <v>1957</v>
      </c>
      <c r="F1865" s="50" t="s">
        <v>1105</v>
      </c>
      <c r="G1865" s="50" t="s">
        <v>256</v>
      </c>
      <c r="H1865" s="50">
        <v>1000</v>
      </c>
      <c r="M1865" t="str">
        <f>IF(COUNTIF($A:$A,E1865)=0,"Not Exists","Exists")</f>
        <v>Not Exists</v>
      </c>
      <c r="N1865" t="str">
        <f t="shared" si="91"/>
        <v>Not Exists</v>
      </c>
      <c r="O1865" t="str">
        <f t="shared" si="92"/>
        <v>Not Exists</v>
      </c>
      <c r="P1865" t="str">
        <f t="shared" si="93"/>
        <v>Not Exists</v>
      </c>
    </row>
    <row r="1866" spans="1:16">
      <c r="A1866" s="50" t="s">
        <v>1991</v>
      </c>
      <c r="B1866" s="50" t="s">
        <v>1679</v>
      </c>
      <c r="C1866" s="50" t="s">
        <v>256</v>
      </c>
      <c r="D1866" s="50">
        <v>100</v>
      </c>
      <c r="E1866" s="50" t="s">
        <v>1957</v>
      </c>
      <c r="F1866" s="50" t="s">
        <v>1107</v>
      </c>
      <c r="G1866" s="50" t="s">
        <v>256</v>
      </c>
      <c r="H1866" s="50">
        <v>1000</v>
      </c>
      <c r="M1866" t="str">
        <f>IF(COUNTIF($A:$A,E1866)=0,"Not Exists","Exists")</f>
        <v>Not Exists</v>
      </c>
      <c r="N1866" t="str">
        <f t="shared" si="91"/>
        <v>Not Exists</v>
      </c>
      <c r="O1866" t="str">
        <f t="shared" si="92"/>
        <v>Not Exists</v>
      </c>
      <c r="P1866" t="str">
        <f t="shared" si="93"/>
        <v>Exists</v>
      </c>
    </row>
    <row r="1867" spans="1:16">
      <c r="A1867" s="50" t="s">
        <v>1991</v>
      </c>
      <c r="B1867" s="50" t="s">
        <v>1994</v>
      </c>
      <c r="C1867" s="50" t="s">
        <v>256</v>
      </c>
      <c r="D1867" s="50">
        <v>2</v>
      </c>
      <c r="E1867" s="50" t="s">
        <v>1957</v>
      </c>
      <c r="F1867" s="50" t="s">
        <v>1109</v>
      </c>
      <c r="G1867" s="50" t="s">
        <v>256</v>
      </c>
      <c r="H1867" s="50">
        <v>1000</v>
      </c>
      <c r="M1867" t="str">
        <f>IF(COUNTIF($A:$A,E1867)=0,"Not Exists","Exists")</f>
        <v>Not Exists</v>
      </c>
      <c r="N1867" t="str">
        <f t="shared" si="91"/>
        <v>Not Exists</v>
      </c>
      <c r="O1867" t="str">
        <f t="shared" si="92"/>
        <v>Not Exists</v>
      </c>
      <c r="P1867" t="str">
        <f t="shared" si="93"/>
        <v>Not Exists</v>
      </c>
    </row>
    <row r="1868" spans="1:16">
      <c r="A1868" s="50" t="s">
        <v>1991</v>
      </c>
      <c r="B1868" s="50" t="s">
        <v>1995</v>
      </c>
      <c r="C1868" s="50" t="s">
        <v>256</v>
      </c>
      <c r="D1868" s="50">
        <v>1000</v>
      </c>
      <c r="E1868" s="50" t="s">
        <v>1957</v>
      </c>
      <c r="F1868" s="50" t="s">
        <v>1111</v>
      </c>
      <c r="G1868" s="50" t="s">
        <v>256</v>
      </c>
      <c r="H1868" s="50">
        <v>1000</v>
      </c>
      <c r="M1868" t="str">
        <f>IF(COUNTIF($A:$A,E1868)=0,"Not Exists","Exists")</f>
        <v>Not Exists</v>
      </c>
      <c r="N1868" t="str">
        <f t="shared" si="91"/>
        <v>Not Exists</v>
      </c>
      <c r="O1868" t="str">
        <f t="shared" si="92"/>
        <v>Not Exists</v>
      </c>
      <c r="P1868" t="str">
        <f t="shared" si="93"/>
        <v>Not Exists</v>
      </c>
    </row>
    <row r="1869" spans="1:16">
      <c r="A1869" s="50" t="s">
        <v>1991</v>
      </c>
      <c r="B1869" s="50" t="s">
        <v>1996</v>
      </c>
      <c r="C1869" s="50" t="s">
        <v>256</v>
      </c>
      <c r="D1869" s="50">
        <v>1000</v>
      </c>
      <c r="E1869" s="50" t="s">
        <v>1957</v>
      </c>
      <c r="F1869" s="50" t="s">
        <v>1113</v>
      </c>
      <c r="G1869" s="50" t="s">
        <v>256</v>
      </c>
      <c r="H1869" s="50">
        <v>1000</v>
      </c>
      <c r="M1869" t="str">
        <f>IF(COUNTIF($A:$A,E1869)=0,"Not Exists","Exists")</f>
        <v>Not Exists</v>
      </c>
      <c r="N1869" t="str">
        <f t="shared" si="91"/>
        <v>Not Exists</v>
      </c>
      <c r="O1869" t="str">
        <f t="shared" si="92"/>
        <v>Not Exists</v>
      </c>
      <c r="P1869" t="str">
        <f t="shared" si="93"/>
        <v>Not Exists</v>
      </c>
    </row>
    <row r="1870" spans="1:16">
      <c r="A1870" s="50" t="s">
        <v>1991</v>
      </c>
      <c r="B1870" s="50" t="s">
        <v>1651</v>
      </c>
      <c r="C1870" s="50" t="s">
        <v>256</v>
      </c>
      <c r="D1870" s="50">
        <v>100</v>
      </c>
      <c r="E1870" s="50" t="s">
        <v>1957</v>
      </c>
      <c r="F1870" s="50" t="s">
        <v>1115</v>
      </c>
      <c r="G1870" s="50" t="s">
        <v>256</v>
      </c>
      <c r="H1870" s="50">
        <v>1000</v>
      </c>
      <c r="M1870" t="str">
        <f>IF(COUNTIF($A:$A,E1870)=0,"Not Exists","Exists")</f>
        <v>Not Exists</v>
      </c>
      <c r="N1870" t="str">
        <f t="shared" si="91"/>
        <v>Not Exists</v>
      </c>
      <c r="O1870" t="str">
        <f t="shared" si="92"/>
        <v>Not Exists</v>
      </c>
      <c r="P1870" t="str">
        <f t="shared" si="93"/>
        <v>Exists</v>
      </c>
    </row>
    <row r="1871" spans="1:16">
      <c r="A1871" s="50" t="s">
        <v>1991</v>
      </c>
      <c r="B1871" s="50" t="s">
        <v>1997</v>
      </c>
      <c r="C1871" s="50" t="s">
        <v>256</v>
      </c>
      <c r="D1871" s="50">
        <v>2</v>
      </c>
      <c r="E1871" s="50" t="s">
        <v>1957</v>
      </c>
      <c r="F1871" s="50" t="s">
        <v>1117</v>
      </c>
      <c r="G1871" s="50" t="s">
        <v>256</v>
      </c>
      <c r="H1871" s="50">
        <v>1000</v>
      </c>
      <c r="M1871" t="str">
        <f>IF(COUNTIF($A:$A,E1871)=0,"Not Exists","Exists")</f>
        <v>Not Exists</v>
      </c>
      <c r="N1871" t="str">
        <f t="shared" si="91"/>
        <v>Not Exists</v>
      </c>
      <c r="O1871" t="str">
        <f t="shared" si="92"/>
        <v>Not Exists</v>
      </c>
      <c r="P1871" t="str">
        <f t="shared" si="93"/>
        <v>Not Exists</v>
      </c>
    </row>
    <row r="1872" spans="1:16">
      <c r="A1872" s="50" t="s">
        <v>1991</v>
      </c>
      <c r="B1872" s="50" t="s">
        <v>1998</v>
      </c>
      <c r="C1872" s="50" t="s">
        <v>256</v>
      </c>
      <c r="D1872" s="50">
        <v>100</v>
      </c>
      <c r="E1872" s="50" t="s">
        <v>1957</v>
      </c>
      <c r="F1872" s="50" t="s">
        <v>1119</v>
      </c>
      <c r="G1872" s="50" t="s">
        <v>256</v>
      </c>
      <c r="H1872" s="50">
        <v>1000</v>
      </c>
      <c r="M1872" t="str">
        <f>IF(COUNTIF($A:$A,E1872)=0,"Not Exists","Exists")</f>
        <v>Not Exists</v>
      </c>
      <c r="N1872" t="str">
        <f t="shared" si="91"/>
        <v>Not Exists</v>
      </c>
      <c r="O1872" t="str">
        <f t="shared" si="92"/>
        <v>Not Exists</v>
      </c>
      <c r="P1872" t="str">
        <f t="shared" si="93"/>
        <v>Not Exists</v>
      </c>
    </row>
    <row r="1873" spans="1:16">
      <c r="A1873" s="50" t="s">
        <v>1991</v>
      </c>
      <c r="B1873" s="50" t="s">
        <v>1999</v>
      </c>
      <c r="C1873" s="50" t="s">
        <v>256</v>
      </c>
      <c r="D1873" s="50">
        <v>1000</v>
      </c>
      <c r="E1873" s="50" t="s">
        <v>1957</v>
      </c>
      <c r="F1873" s="50" t="s">
        <v>1122</v>
      </c>
      <c r="G1873" s="50" t="s">
        <v>256</v>
      </c>
      <c r="H1873" s="50">
        <v>1000</v>
      </c>
      <c r="M1873" t="str">
        <f>IF(COUNTIF($A:$A,E1873)=0,"Not Exists","Exists")</f>
        <v>Not Exists</v>
      </c>
      <c r="N1873" t="str">
        <f t="shared" si="91"/>
        <v>Not Exists</v>
      </c>
      <c r="O1873" t="str">
        <f t="shared" si="92"/>
        <v>Not Exists</v>
      </c>
      <c r="P1873" t="str">
        <f t="shared" si="93"/>
        <v>Not Exists</v>
      </c>
    </row>
    <row r="1874" spans="1:16">
      <c r="A1874" s="50" t="s">
        <v>1991</v>
      </c>
      <c r="B1874" s="50" t="s">
        <v>2000</v>
      </c>
      <c r="C1874" s="50" t="s">
        <v>256</v>
      </c>
      <c r="D1874" s="50">
        <v>1000</v>
      </c>
      <c r="E1874" s="50" t="s">
        <v>1957</v>
      </c>
      <c r="F1874" s="50" t="s">
        <v>1124</v>
      </c>
      <c r="G1874" s="50" t="s">
        <v>256</v>
      </c>
      <c r="H1874" s="50">
        <v>1000</v>
      </c>
      <c r="M1874" t="str">
        <f>IF(COUNTIF($A:$A,E1874)=0,"Not Exists","Exists")</f>
        <v>Not Exists</v>
      </c>
      <c r="N1874" t="str">
        <f t="shared" si="91"/>
        <v>Not Exists</v>
      </c>
      <c r="O1874" t="str">
        <f t="shared" si="92"/>
        <v>Not Exists</v>
      </c>
      <c r="P1874" t="str">
        <f t="shared" si="93"/>
        <v>Not Exists</v>
      </c>
    </row>
    <row r="1875" spans="1:16">
      <c r="A1875" s="50" t="s">
        <v>1991</v>
      </c>
      <c r="B1875" s="50" t="s">
        <v>2001</v>
      </c>
      <c r="C1875" s="50" t="s">
        <v>256</v>
      </c>
      <c r="D1875" s="50">
        <v>50</v>
      </c>
      <c r="E1875" s="50" t="s">
        <v>1957</v>
      </c>
      <c r="F1875" s="50" t="s">
        <v>1126</v>
      </c>
      <c r="G1875" s="50" t="s">
        <v>256</v>
      </c>
      <c r="H1875" s="50">
        <v>1000</v>
      </c>
      <c r="M1875" t="str">
        <f>IF(COUNTIF($A:$A,E1875)=0,"Not Exists","Exists")</f>
        <v>Not Exists</v>
      </c>
      <c r="N1875" t="str">
        <f t="shared" si="91"/>
        <v>Not Exists</v>
      </c>
      <c r="O1875" t="str">
        <f t="shared" si="92"/>
        <v>Not Exists</v>
      </c>
      <c r="P1875" t="str">
        <f t="shared" si="93"/>
        <v>Not Exists</v>
      </c>
    </row>
    <row r="1876" spans="1:16">
      <c r="A1876" s="50" t="s">
        <v>1991</v>
      </c>
      <c r="B1876" s="50" t="s">
        <v>2002</v>
      </c>
      <c r="C1876" s="50" t="s">
        <v>256</v>
      </c>
      <c r="D1876" s="50">
        <v>50</v>
      </c>
      <c r="E1876" s="50" t="s">
        <v>1957</v>
      </c>
      <c r="F1876" s="50" t="s">
        <v>1128</v>
      </c>
      <c r="G1876" s="50" t="s">
        <v>256</v>
      </c>
      <c r="H1876" s="50">
        <v>1000</v>
      </c>
      <c r="M1876" t="str">
        <f>IF(COUNTIF($A:$A,E1876)=0,"Not Exists","Exists")</f>
        <v>Not Exists</v>
      </c>
      <c r="N1876" t="str">
        <f t="shared" si="91"/>
        <v>Not Exists</v>
      </c>
      <c r="O1876" t="str">
        <f t="shared" si="92"/>
        <v>Not Exists</v>
      </c>
      <c r="P1876" t="str">
        <f t="shared" si="93"/>
        <v>Not Exists</v>
      </c>
    </row>
    <row r="1877" spans="1:16">
      <c r="A1877" s="50" t="s">
        <v>2003</v>
      </c>
      <c r="B1877" s="50" t="s">
        <v>378</v>
      </c>
      <c r="C1877" s="50" t="s">
        <v>256</v>
      </c>
      <c r="D1877" s="50">
        <v>50</v>
      </c>
      <c r="E1877" s="50" t="s">
        <v>1957</v>
      </c>
      <c r="F1877" s="50" t="s">
        <v>1130</v>
      </c>
      <c r="G1877" s="50" t="s">
        <v>256</v>
      </c>
      <c r="H1877" s="50">
        <v>1000</v>
      </c>
      <c r="M1877" t="str">
        <f>IF(COUNTIF($A:$A,E1877)=0,"Not Exists","Exists")</f>
        <v>Not Exists</v>
      </c>
      <c r="N1877" t="str">
        <f t="shared" si="91"/>
        <v>Not Exists</v>
      </c>
      <c r="O1877" t="str">
        <f t="shared" si="92"/>
        <v>Not Exists</v>
      </c>
      <c r="P1877" t="str">
        <f t="shared" si="93"/>
        <v>Not Exists</v>
      </c>
    </row>
    <row r="1878" spans="1:16">
      <c r="A1878" s="50" t="s">
        <v>2003</v>
      </c>
      <c r="B1878" s="50" t="s">
        <v>436</v>
      </c>
      <c r="C1878" s="50" t="s">
        <v>256</v>
      </c>
      <c r="D1878" s="50">
        <v>50</v>
      </c>
      <c r="E1878" s="50" t="s">
        <v>1957</v>
      </c>
      <c r="F1878" s="50" t="s">
        <v>1132</v>
      </c>
      <c r="G1878" s="50" t="s">
        <v>256</v>
      </c>
      <c r="H1878" s="50">
        <v>1000</v>
      </c>
      <c r="M1878" t="str">
        <f>IF(COUNTIF($A:$A,E1878)=0,"Not Exists","Exists")</f>
        <v>Not Exists</v>
      </c>
      <c r="N1878" t="str">
        <f t="shared" si="91"/>
        <v>Not Exists</v>
      </c>
      <c r="O1878" t="str">
        <f t="shared" si="92"/>
        <v>Not Exists</v>
      </c>
      <c r="P1878" t="str">
        <f t="shared" si="93"/>
        <v>Not Exists</v>
      </c>
    </row>
    <row r="1879" spans="1:16">
      <c r="A1879" s="50" t="s">
        <v>2003</v>
      </c>
      <c r="B1879" s="50" t="s">
        <v>2004</v>
      </c>
      <c r="C1879" s="50" t="s">
        <v>256</v>
      </c>
      <c r="D1879" s="50">
        <v>120</v>
      </c>
      <c r="E1879" s="50" t="s">
        <v>1957</v>
      </c>
      <c r="F1879" s="50" t="s">
        <v>1134</v>
      </c>
      <c r="G1879" s="50" t="s">
        <v>256</v>
      </c>
      <c r="H1879" s="50">
        <v>1000</v>
      </c>
      <c r="M1879" t="str">
        <f>IF(COUNTIF($A:$A,E1879)=0,"Not Exists","Exists")</f>
        <v>Not Exists</v>
      </c>
      <c r="N1879" t="str">
        <f t="shared" si="91"/>
        <v>Not Exists</v>
      </c>
      <c r="O1879" t="str">
        <f t="shared" si="92"/>
        <v>Not Exists</v>
      </c>
      <c r="P1879" t="str">
        <f t="shared" si="93"/>
        <v>Not Exists</v>
      </c>
    </row>
    <row r="1880" spans="1:16">
      <c r="A1880" s="50" t="s">
        <v>2003</v>
      </c>
      <c r="B1880" s="50" t="s">
        <v>392</v>
      </c>
      <c r="C1880" s="50" t="s">
        <v>256</v>
      </c>
      <c r="D1880" s="50">
        <v>50</v>
      </c>
      <c r="E1880" s="50" t="s">
        <v>1957</v>
      </c>
      <c r="F1880" s="50" t="s">
        <v>1136</v>
      </c>
      <c r="G1880" s="50" t="s">
        <v>256</v>
      </c>
      <c r="H1880" s="50">
        <v>1000</v>
      </c>
      <c r="M1880" t="str">
        <f>IF(COUNTIF($A:$A,E1880)=0,"Not Exists","Exists")</f>
        <v>Not Exists</v>
      </c>
      <c r="N1880" t="str">
        <f t="shared" si="91"/>
        <v>Not Exists</v>
      </c>
      <c r="O1880" t="str">
        <f t="shared" si="92"/>
        <v>Not Exists</v>
      </c>
      <c r="P1880" t="str">
        <f t="shared" si="93"/>
        <v>Exists</v>
      </c>
    </row>
    <row r="1881" spans="1:16">
      <c r="A1881" s="50" t="s">
        <v>2003</v>
      </c>
      <c r="B1881" s="50" t="s">
        <v>930</v>
      </c>
      <c r="C1881" s="50" t="s">
        <v>256</v>
      </c>
      <c r="D1881" s="50">
        <v>20</v>
      </c>
      <c r="E1881" s="50" t="s">
        <v>1957</v>
      </c>
      <c r="F1881" s="50" t="s">
        <v>1138</v>
      </c>
      <c r="G1881" s="50" t="s">
        <v>256</v>
      </c>
      <c r="H1881" s="50">
        <v>1000</v>
      </c>
      <c r="M1881" t="str">
        <f>IF(COUNTIF($A:$A,E1881)=0,"Not Exists","Exists")</f>
        <v>Not Exists</v>
      </c>
      <c r="N1881" t="str">
        <f t="shared" si="91"/>
        <v>Not Exists</v>
      </c>
      <c r="O1881" t="str">
        <f t="shared" si="92"/>
        <v>Not Exists</v>
      </c>
      <c r="P1881" t="str">
        <f t="shared" si="93"/>
        <v>Exists</v>
      </c>
    </row>
    <row r="1882" spans="1:16">
      <c r="A1882" s="50" t="s">
        <v>2003</v>
      </c>
      <c r="B1882" s="50" t="s">
        <v>2005</v>
      </c>
      <c r="C1882" s="50" t="s">
        <v>256</v>
      </c>
      <c r="D1882" s="50">
        <v>50</v>
      </c>
      <c r="E1882" s="50" t="s">
        <v>1957</v>
      </c>
      <c r="F1882" s="50" t="s">
        <v>1140</v>
      </c>
      <c r="G1882" s="50" t="s">
        <v>256</v>
      </c>
      <c r="H1882" s="50">
        <v>1000</v>
      </c>
      <c r="M1882" t="str">
        <f>IF(COUNTIF($A:$A,E1882)=0,"Not Exists","Exists")</f>
        <v>Not Exists</v>
      </c>
      <c r="N1882" t="str">
        <f t="shared" si="91"/>
        <v>Not Exists</v>
      </c>
      <c r="O1882" t="str">
        <f t="shared" si="92"/>
        <v>Not Exists</v>
      </c>
      <c r="P1882" t="str">
        <f t="shared" si="93"/>
        <v>Not Exists</v>
      </c>
    </row>
    <row r="1883" spans="1:16">
      <c r="A1883" s="50" t="s">
        <v>2003</v>
      </c>
      <c r="B1883" s="50" t="s">
        <v>2006</v>
      </c>
      <c r="C1883" s="50" t="s">
        <v>256</v>
      </c>
      <c r="D1883" s="50">
        <v>100</v>
      </c>
      <c r="E1883" s="50" t="s">
        <v>1957</v>
      </c>
      <c r="F1883" s="50" t="s">
        <v>1142</v>
      </c>
      <c r="G1883" s="50" t="s">
        <v>256</v>
      </c>
      <c r="H1883" s="50">
        <v>1000</v>
      </c>
      <c r="M1883" t="str">
        <f>IF(COUNTIF($A:$A,E1883)=0,"Not Exists","Exists")</f>
        <v>Not Exists</v>
      </c>
      <c r="N1883" t="str">
        <f t="shared" ref="N1883:N1946" si="94">IF(COUNTIF($A:$B,F1883)=0,"Not Exists","Exists")</f>
        <v>Not Exists</v>
      </c>
      <c r="O1883" t="str">
        <f t="shared" si="92"/>
        <v>Not Exists</v>
      </c>
      <c r="P1883" t="str">
        <f t="shared" si="93"/>
        <v>Not Exists</v>
      </c>
    </row>
    <row r="1884" spans="1:16">
      <c r="A1884" s="50" t="s">
        <v>2003</v>
      </c>
      <c r="B1884" s="50" t="s">
        <v>2007</v>
      </c>
      <c r="C1884" s="50" t="s">
        <v>256</v>
      </c>
      <c r="D1884" s="50">
        <v>2</v>
      </c>
      <c r="E1884" s="50" t="s">
        <v>1957</v>
      </c>
      <c r="F1884" s="50" t="s">
        <v>1144</v>
      </c>
      <c r="G1884" s="50" t="s">
        <v>256</v>
      </c>
      <c r="H1884" s="50">
        <v>1000</v>
      </c>
      <c r="M1884" t="str">
        <f>IF(COUNTIF($A:$A,E1884)=0,"Not Exists","Exists")</f>
        <v>Not Exists</v>
      </c>
      <c r="N1884" t="str">
        <f t="shared" si="94"/>
        <v>Not Exists</v>
      </c>
      <c r="O1884" t="str">
        <f t="shared" si="92"/>
        <v>Not Exists</v>
      </c>
      <c r="P1884" t="str">
        <f t="shared" si="93"/>
        <v>Not Exists</v>
      </c>
    </row>
    <row r="1885" spans="1:16">
      <c r="A1885" s="50" t="s">
        <v>2008</v>
      </c>
      <c r="B1885" s="50" t="s">
        <v>378</v>
      </c>
      <c r="C1885" s="50" t="s">
        <v>256</v>
      </c>
      <c r="D1885" s="50">
        <v>50</v>
      </c>
      <c r="E1885" s="50" t="s">
        <v>1957</v>
      </c>
      <c r="F1885" s="50" t="s">
        <v>1147</v>
      </c>
      <c r="G1885" s="50" t="s">
        <v>256</v>
      </c>
      <c r="H1885" s="50">
        <v>1000</v>
      </c>
      <c r="M1885" t="str">
        <f>IF(COUNTIF($A:$A,E1885)=0,"Not Exists","Exists")</f>
        <v>Not Exists</v>
      </c>
      <c r="N1885" t="str">
        <f t="shared" si="94"/>
        <v>Not Exists</v>
      </c>
      <c r="O1885" t="str">
        <f t="shared" si="92"/>
        <v>Not Exists</v>
      </c>
      <c r="P1885" t="str">
        <f t="shared" si="93"/>
        <v>Not Exists</v>
      </c>
    </row>
    <row r="1886" spans="1:16">
      <c r="A1886" s="50" t="s">
        <v>2008</v>
      </c>
      <c r="B1886" s="50" t="s">
        <v>436</v>
      </c>
      <c r="C1886" s="50" t="s">
        <v>256</v>
      </c>
      <c r="D1886" s="50">
        <v>50</v>
      </c>
      <c r="E1886" s="50" t="s">
        <v>1957</v>
      </c>
      <c r="F1886" s="50" t="s">
        <v>1149</v>
      </c>
      <c r="G1886" s="50" t="s">
        <v>256</v>
      </c>
      <c r="H1886" s="50">
        <v>1000</v>
      </c>
      <c r="M1886" t="str">
        <f>IF(COUNTIF($A:$A,E1886)=0,"Not Exists","Exists")</f>
        <v>Not Exists</v>
      </c>
      <c r="N1886" t="str">
        <f t="shared" si="94"/>
        <v>Not Exists</v>
      </c>
      <c r="O1886" t="str">
        <f t="shared" si="92"/>
        <v>Not Exists</v>
      </c>
      <c r="P1886" t="str">
        <f t="shared" si="93"/>
        <v>Not Exists</v>
      </c>
    </row>
    <row r="1887" spans="1:16">
      <c r="A1887" s="50" t="s">
        <v>2008</v>
      </c>
      <c r="B1887" s="50" t="s">
        <v>430</v>
      </c>
      <c r="C1887" s="50" t="s">
        <v>256</v>
      </c>
      <c r="D1887" s="50">
        <v>50</v>
      </c>
      <c r="E1887" s="50" t="s">
        <v>1957</v>
      </c>
      <c r="F1887" s="50" t="s">
        <v>1151</v>
      </c>
      <c r="G1887" s="50" t="s">
        <v>256</v>
      </c>
      <c r="H1887" s="50">
        <v>1000</v>
      </c>
      <c r="M1887" t="str">
        <f>IF(COUNTIF($A:$A,E1887)=0,"Not Exists","Exists")</f>
        <v>Not Exists</v>
      </c>
      <c r="N1887" t="str">
        <f t="shared" si="94"/>
        <v>Not Exists</v>
      </c>
      <c r="O1887" t="str">
        <f t="shared" si="92"/>
        <v>Not Exists</v>
      </c>
      <c r="P1887" t="str">
        <f t="shared" si="93"/>
        <v>Exists</v>
      </c>
    </row>
    <row r="1888" spans="1:16">
      <c r="A1888" s="50" t="s">
        <v>2008</v>
      </c>
      <c r="B1888" s="50" t="s">
        <v>1874</v>
      </c>
      <c r="C1888" s="50" t="s">
        <v>256</v>
      </c>
      <c r="D1888" s="50">
        <v>50</v>
      </c>
      <c r="E1888" s="50" t="s">
        <v>1957</v>
      </c>
      <c r="F1888" s="50" t="s">
        <v>1153</v>
      </c>
      <c r="G1888" s="50" t="s">
        <v>256</v>
      </c>
      <c r="H1888" s="50">
        <v>1000</v>
      </c>
      <c r="M1888" t="str">
        <f>IF(COUNTIF($A:$A,E1888)=0,"Not Exists","Exists")</f>
        <v>Not Exists</v>
      </c>
      <c r="N1888" t="str">
        <f t="shared" si="94"/>
        <v>Not Exists</v>
      </c>
      <c r="O1888" t="str">
        <f t="shared" si="92"/>
        <v>Not Exists</v>
      </c>
      <c r="P1888" t="str">
        <f t="shared" si="93"/>
        <v>Exists</v>
      </c>
    </row>
    <row r="1889" spans="1:16">
      <c r="A1889" s="50" t="s">
        <v>2008</v>
      </c>
      <c r="B1889" s="50" t="s">
        <v>2009</v>
      </c>
      <c r="C1889" s="50" t="s">
        <v>256</v>
      </c>
      <c r="D1889" s="50">
        <v>3000</v>
      </c>
      <c r="E1889" s="50" t="s">
        <v>1957</v>
      </c>
      <c r="F1889" s="50" t="s">
        <v>1155</v>
      </c>
      <c r="G1889" s="50" t="s">
        <v>256</v>
      </c>
      <c r="H1889" s="50">
        <v>1000</v>
      </c>
      <c r="M1889" t="str">
        <f>IF(COUNTIF($A:$A,E1889)=0,"Not Exists","Exists")</f>
        <v>Not Exists</v>
      </c>
      <c r="N1889" t="str">
        <f t="shared" si="94"/>
        <v>Not Exists</v>
      </c>
      <c r="O1889" t="str">
        <f t="shared" si="92"/>
        <v>Not Exists</v>
      </c>
      <c r="P1889" t="str">
        <f t="shared" si="93"/>
        <v>Not Exists</v>
      </c>
    </row>
    <row r="1890" spans="1:16">
      <c r="A1890" s="50" t="s">
        <v>2008</v>
      </c>
      <c r="B1890" s="50" t="s">
        <v>2010</v>
      </c>
      <c r="C1890" s="50" t="s">
        <v>256</v>
      </c>
      <c r="D1890" s="50">
        <v>3000</v>
      </c>
      <c r="E1890" s="50" t="s">
        <v>1957</v>
      </c>
      <c r="F1890" s="50" t="s">
        <v>1157</v>
      </c>
      <c r="G1890" s="50" t="s">
        <v>256</v>
      </c>
      <c r="H1890" s="50">
        <v>1000</v>
      </c>
      <c r="M1890" t="str">
        <f>IF(COUNTIF($A:$A,E1890)=0,"Not Exists","Exists")</f>
        <v>Not Exists</v>
      </c>
      <c r="N1890" t="str">
        <f t="shared" si="94"/>
        <v>Not Exists</v>
      </c>
      <c r="O1890" t="str">
        <f t="shared" si="92"/>
        <v>Not Exists</v>
      </c>
      <c r="P1890" t="str">
        <f t="shared" si="93"/>
        <v>Not Exists</v>
      </c>
    </row>
    <row r="1891" spans="1:16">
      <c r="A1891" s="50" t="s">
        <v>2008</v>
      </c>
      <c r="B1891" s="50" t="s">
        <v>2011</v>
      </c>
      <c r="C1891" s="50" t="s">
        <v>256</v>
      </c>
      <c r="D1891" s="50">
        <v>3000</v>
      </c>
      <c r="E1891" s="50" t="s">
        <v>1957</v>
      </c>
      <c r="F1891" s="50" t="s">
        <v>1159</v>
      </c>
      <c r="G1891" s="50" t="s">
        <v>256</v>
      </c>
      <c r="H1891" s="50">
        <v>1000</v>
      </c>
      <c r="M1891" t="str">
        <f>IF(COUNTIF($A:$A,E1891)=0,"Not Exists","Exists")</f>
        <v>Not Exists</v>
      </c>
      <c r="N1891" t="str">
        <f t="shared" si="94"/>
        <v>Not Exists</v>
      </c>
      <c r="O1891" t="str">
        <f t="shared" si="92"/>
        <v>Not Exists</v>
      </c>
      <c r="P1891" t="str">
        <f t="shared" si="93"/>
        <v>Not Exists</v>
      </c>
    </row>
    <row r="1892" spans="1:16">
      <c r="A1892" s="50" t="s">
        <v>2008</v>
      </c>
      <c r="B1892" s="50" t="s">
        <v>2012</v>
      </c>
      <c r="C1892" s="50" t="s">
        <v>256</v>
      </c>
      <c r="D1892" s="50">
        <v>50</v>
      </c>
      <c r="E1892" s="50" t="s">
        <v>1957</v>
      </c>
      <c r="F1892" s="50" t="s">
        <v>1161</v>
      </c>
      <c r="G1892" s="50" t="s">
        <v>256</v>
      </c>
      <c r="H1892" s="50">
        <v>1000</v>
      </c>
      <c r="M1892" t="str">
        <f>IF(COUNTIF($A:$A,E1892)=0,"Not Exists","Exists")</f>
        <v>Not Exists</v>
      </c>
      <c r="N1892" t="str">
        <f t="shared" si="94"/>
        <v>Not Exists</v>
      </c>
      <c r="O1892" t="str">
        <f t="shared" si="92"/>
        <v>Not Exists</v>
      </c>
      <c r="P1892" t="str">
        <f t="shared" si="93"/>
        <v>Not Exists</v>
      </c>
    </row>
    <row r="1893" spans="1:16">
      <c r="A1893" s="50" t="s">
        <v>2008</v>
      </c>
      <c r="B1893" s="50" t="s">
        <v>1881</v>
      </c>
      <c r="C1893" s="50" t="s">
        <v>256</v>
      </c>
      <c r="D1893" s="50">
        <v>450</v>
      </c>
      <c r="E1893" s="50" t="s">
        <v>1957</v>
      </c>
      <c r="F1893" s="50" t="s">
        <v>1163</v>
      </c>
      <c r="G1893" s="50" t="s">
        <v>256</v>
      </c>
      <c r="H1893" s="50">
        <v>1000</v>
      </c>
      <c r="M1893" t="str">
        <f>IF(COUNTIF($A:$A,E1893)=0,"Not Exists","Exists")</f>
        <v>Not Exists</v>
      </c>
      <c r="N1893" t="str">
        <f t="shared" si="94"/>
        <v>Not Exists</v>
      </c>
      <c r="O1893" t="str">
        <f t="shared" si="92"/>
        <v>Not Exists</v>
      </c>
      <c r="P1893" t="str">
        <f t="shared" si="93"/>
        <v>Exists</v>
      </c>
    </row>
    <row r="1894" spans="1:16">
      <c r="A1894" s="50" t="s">
        <v>2008</v>
      </c>
      <c r="B1894" s="50" t="s">
        <v>818</v>
      </c>
      <c r="C1894" s="50" t="s">
        <v>256</v>
      </c>
      <c r="D1894" s="50">
        <v>450</v>
      </c>
      <c r="E1894" s="50" t="s">
        <v>1957</v>
      </c>
      <c r="F1894" s="50" t="s">
        <v>1166</v>
      </c>
      <c r="G1894" s="50" t="s">
        <v>256</v>
      </c>
      <c r="H1894" s="50">
        <v>1000</v>
      </c>
      <c r="M1894" t="str">
        <f>IF(COUNTIF($A:$A,E1894)=0,"Not Exists","Exists")</f>
        <v>Not Exists</v>
      </c>
      <c r="N1894" t="str">
        <f t="shared" si="94"/>
        <v>Not Exists</v>
      </c>
      <c r="O1894" t="str">
        <f t="shared" si="92"/>
        <v>Not Exists</v>
      </c>
      <c r="P1894" t="str">
        <f t="shared" si="93"/>
        <v>Exists</v>
      </c>
    </row>
    <row r="1895" spans="1:16">
      <c r="A1895" s="50" t="s">
        <v>2008</v>
      </c>
      <c r="B1895" s="50" t="s">
        <v>1883</v>
      </c>
      <c r="C1895" s="50" t="s">
        <v>254</v>
      </c>
      <c r="D1895" s="50">
        <v>22</v>
      </c>
      <c r="E1895" s="50" t="s">
        <v>1957</v>
      </c>
      <c r="F1895" s="50" t="s">
        <v>1168</v>
      </c>
      <c r="G1895" s="50" t="s">
        <v>256</v>
      </c>
      <c r="H1895" s="50">
        <v>1000</v>
      </c>
      <c r="M1895" t="str">
        <f>IF(COUNTIF($A:$A,E1895)=0,"Not Exists","Exists")</f>
        <v>Not Exists</v>
      </c>
      <c r="N1895" t="str">
        <f t="shared" si="94"/>
        <v>Not Exists</v>
      </c>
      <c r="O1895" t="str">
        <f t="shared" si="92"/>
        <v>Not Exists</v>
      </c>
      <c r="P1895" t="str">
        <f t="shared" si="93"/>
        <v>Exists</v>
      </c>
    </row>
    <row r="1896" spans="1:16">
      <c r="A1896" s="50" t="s">
        <v>2008</v>
      </c>
      <c r="B1896" s="50" t="s">
        <v>583</v>
      </c>
      <c r="C1896" s="50" t="s">
        <v>251</v>
      </c>
      <c r="D1896" s="50">
        <v>1</v>
      </c>
      <c r="E1896" s="50" t="s">
        <v>1957</v>
      </c>
      <c r="F1896" s="50" t="s">
        <v>1170</v>
      </c>
      <c r="G1896" s="50" t="s">
        <v>256</v>
      </c>
      <c r="H1896" s="50">
        <v>1000</v>
      </c>
      <c r="M1896" t="str">
        <f>IF(COUNTIF($A:$A,E1896)=0,"Not Exists","Exists")</f>
        <v>Not Exists</v>
      </c>
      <c r="N1896" t="str">
        <f t="shared" si="94"/>
        <v>Not Exists</v>
      </c>
      <c r="O1896" t="str">
        <f t="shared" si="92"/>
        <v>Not Exists</v>
      </c>
      <c r="P1896" t="str">
        <f t="shared" si="93"/>
        <v>Exists</v>
      </c>
    </row>
    <row r="1897" spans="1:16">
      <c r="A1897" s="50" t="s">
        <v>2008</v>
      </c>
      <c r="B1897" s="50" t="s">
        <v>584</v>
      </c>
      <c r="C1897" s="50" t="s">
        <v>251</v>
      </c>
      <c r="D1897" s="50">
        <v>1</v>
      </c>
      <c r="E1897" s="50" t="s">
        <v>1957</v>
      </c>
      <c r="F1897" s="50" t="s">
        <v>1172</v>
      </c>
      <c r="G1897" s="50" t="s">
        <v>256</v>
      </c>
      <c r="H1897" s="50">
        <v>1000</v>
      </c>
      <c r="M1897" t="str">
        <f>IF(COUNTIF($A:$A,E1897)=0,"Not Exists","Exists")</f>
        <v>Not Exists</v>
      </c>
      <c r="N1897" t="str">
        <f t="shared" si="94"/>
        <v>Not Exists</v>
      </c>
      <c r="O1897" t="str">
        <f t="shared" si="92"/>
        <v>Not Exists</v>
      </c>
      <c r="P1897" t="str">
        <f t="shared" si="93"/>
        <v>Exists</v>
      </c>
    </row>
    <row r="1898" spans="1:16">
      <c r="A1898" s="50" t="s">
        <v>2008</v>
      </c>
      <c r="B1898" s="50" t="s">
        <v>585</v>
      </c>
      <c r="C1898" s="50" t="s">
        <v>256</v>
      </c>
      <c r="D1898" s="50">
        <v>450</v>
      </c>
      <c r="E1898" s="50" t="s">
        <v>1957</v>
      </c>
      <c r="F1898" s="50" t="s">
        <v>1174</v>
      </c>
      <c r="G1898" s="50" t="s">
        <v>256</v>
      </c>
      <c r="H1898" s="50">
        <v>1000</v>
      </c>
      <c r="M1898" t="str">
        <f>IF(COUNTIF($A:$A,E1898)=0,"Not Exists","Exists")</f>
        <v>Not Exists</v>
      </c>
      <c r="N1898" t="str">
        <f t="shared" si="94"/>
        <v>Not Exists</v>
      </c>
      <c r="O1898" t="str">
        <f t="shared" si="92"/>
        <v>Not Exists</v>
      </c>
      <c r="P1898" t="str">
        <f t="shared" si="93"/>
        <v>Exists</v>
      </c>
    </row>
    <row r="1899" spans="1:16">
      <c r="A1899" s="50" t="s">
        <v>2008</v>
      </c>
      <c r="B1899" s="50" t="s">
        <v>586</v>
      </c>
      <c r="C1899" s="50" t="s">
        <v>256</v>
      </c>
      <c r="D1899" s="50">
        <v>450</v>
      </c>
      <c r="E1899" s="50" t="s">
        <v>1957</v>
      </c>
      <c r="F1899" s="50" t="s">
        <v>1176</v>
      </c>
      <c r="G1899" s="50" t="s">
        <v>256</v>
      </c>
      <c r="H1899" s="50">
        <v>1000</v>
      </c>
      <c r="M1899" t="str">
        <f>IF(COUNTIF($A:$A,E1899)=0,"Not Exists","Exists")</f>
        <v>Not Exists</v>
      </c>
      <c r="N1899" t="str">
        <f t="shared" si="94"/>
        <v>Not Exists</v>
      </c>
      <c r="O1899" t="str">
        <f t="shared" si="92"/>
        <v>Not Exists</v>
      </c>
      <c r="P1899" t="str">
        <f t="shared" si="93"/>
        <v>Exists</v>
      </c>
    </row>
    <row r="1900" spans="1:16">
      <c r="A1900" s="50" t="s">
        <v>2008</v>
      </c>
      <c r="B1900" s="50" t="s">
        <v>587</v>
      </c>
      <c r="C1900" s="50" t="s">
        <v>254</v>
      </c>
      <c r="D1900" s="50">
        <v>22</v>
      </c>
      <c r="E1900" s="50" t="s">
        <v>1957</v>
      </c>
      <c r="F1900" s="50" t="s">
        <v>1178</v>
      </c>
      <c r="G1900" s="50" t="s">
        <v>256</v>
      </c>
      <c r="H1900" s="50">
        <v>1000</v>
      </c>
      <c r="M1900" t="str">
        <f>IF(COUNTIF($A:$A,E1900)=0,"Not Exists","Exists")</f>
        <v>Not Exists</v>
      </c>
      <c r="N1900" t="str">
        <f t="shared" si="94"/>
        <v>Not Exists</v>
      </c>
      <c r="O1900" t="str">
        <f t="shared" si="92"/>
        <v>Not Exists</v>
      </c>
      <c r="P1900" t="str">
        <f t="shared" si="93"/>
        <v>Exists</v>
      </c>
    </row>
    <row r="1901" spans="1:16">
      <c r="A1901" s="50" t="s">
        <v>2008</v>
      </c>
      <c r="B1901" s="50" t="s">
        <v>2013</v>
      </c>
      <c r="C1901" s="50" t="s">
        <v>256</v>
      </c>
      <c r="D1901" s="50">
        <v>450</v>
      </c>
      <c r="E1901" s="50" t="s">
        <v>1957</v>
      </c>
      <c r="F1901" s="50" t="s">
        <v>1180</v>
      </c>
      <c r="G1901" s="50" t="s">
        <v>256</v>
      </c>
      <c r="H1901" s="50">
        <v>1000</v>
      </c>
      <c r="M1901" t="str">
        <f>IF(COUNTIF($A:$A,E1901)=0,"Not Exists","Exists")</f>
        <v>Not Exists</v>
      </c>
      <c r="N1901" t="str">
        <f t="shared" si="94"/>
        <v>Not Exists</v>
      </c>
      <c r="O1901" t="str">
        <f t="shared" si="92"/>
        <v>Not Exists</v>
      </c>
      <c r="P1901" t="str">
        <f t="shared" si="93"/>
        <v>Not Exists</v>
      </c>
    </row>
    <row r="1902" spans="1:16">
      <c r="A1902" s="50" t="s">
        <v>2008</v>
      </c>
      <c r="B1902" s="50" t="s">
        <v>2014</v>
      </c>
      <c r="C1902" s="50" t="s">
        <v>256</v>
      </c>
      <c r="D1902" s="50">
        <v>450</v>
      </c>
      <c r="E1902" s="50" t="s">
        <v>1957</v>
      </c>
      <c r="F1902" s="50" t="s">
        <v>1182</v>
      </c>
      <c r="G1902" s="50" t="s">
        <v>256</v>
      </c>
      <c r="H1902" s="50">
        <v>1000</v>
      </c>
      <c r="M1902" t="str">
        <f>IF(COUNTIF($A:$A,E1902)=0,"Not Exists","Exists")</f>
        <v>Not Exists</v>
      </c>
      <c r="N1902" t="str">
        <f t="shared" si="94"/>
        <v>Not Exists</v>
      </c>
      <c r="O1902" t="str">
        <f t="shared" si="92"/>
        <v>Not Exists</v>
      </c>
      <c r="P1902" t="str">
        <f t="shared" si="93"/>
        <v>Not Exists</v>
      </c>
    </row>
    <row r="1903" spans="1:16">
      <c r="A1903" s="50" t="s">
        <v>2008</v>
      </c>
      <c r="B1903" s="50" t="s">
        <v>1891</v>
      </c>
      <c r="C1903" s="50" t="s">
        <v>251</v>
      </c>
      <c r="D1903" s="50">
        <v>1</v>
      </c>
      <c r="E1903" s="50" t="s">
        <v>1957</v>
      </c>
      <c r="F1903" s="50" t="s">
        <v>1184</v>
      </c>
      <c r="G1903" s="50" t="s">
        <v>256</v>
      </c>
      <c r="H1903" s="50">
        <v>1000</v>
      </c>
      <c r="M1903" t="str">
        <f>IF(COUNTIF($A:$A,E1903)=0,"Not Exists","Exists")</f>
        <v>Not Exists</v>
      </c>
      <c r="N1903" t="str">
        <f t="shared" si="94"/>
        <v>Not Exists</v>
      </c>
      <c r="O1903" t="str">
        <f t="shared" si="92"/>
        <v>Not Exists</v>
      </c>
      <c r="P1903" t="str">
        <f t="shared" si="93"/>
        <v>Exists</v>
      </c>
    </row>
    <row r="1904" spans="1:16">
      <c r="A1904" s="50" t="s">
        <v>2008</v>
      </c>
      <c r="B1904" s="50" t="s">
        <v>1892</v>
      </c>
      <c r="C1904" s="50" t="s">
        <v>251</v>
      </c>
      <c r="D1904" s="50">
        <v>1</v>
      </c>
      <c r="E1904" s="50" t="s">
        <v>1957</v>
      </c>
      <c r="F1904" s="50" t="s">
        <v>1186</v>
      </c>
      <c r="G1904" s="50" t="s">
        <v>256</v>
      </c>
      <c r="H1904" s="50">
        <v>1000</v>
      </c>
      <c r="M1904" t="str">
        <f>IF(COUNTIF($A:$A,E1904)=0,"Not Exists","Exists")</f>
        <v>Not Exists</v>
      </c>
      <c r="N1904" t="str">
        <f t="shared" si="94"/>
        <v>Not Exists</v>
      </c>
      <c r="O1904" t="str">
        <f t="shared" si="92"/>
        <v>Not Exists</v>
      </c>
      <c r="P1904" t="str">
        <f t="shared" si="93"/>
        <v>Exists</v>
      </c>
    </row>
    <row r="1905" spans="1:16">
      <c r="A1905" s="50" t="s">
        <v>2008</v>
      </c>
      <c r="B1905" s="50" t="s">
        <v>1893</v>
      </c>
      <c r="C1905" s="50" t="s">
        <v>251</v>
      </c>
      <c r="D1905" s="50">
        <v>1</v>
      </c>
      <c r="E1905" s="50" t="s">
        <v>1957</v>
      </c>
      <c r="F1905" s="50" t="s">
        <v>1188</v>
      </c>
      <c r="G1905" s="50" t="s">
        <v>256</v>
      </c>
      <c r="H1905" s="50">
        <v>1000</v>
      </c>
      <c r="M1905" t="str">
        <f>IF(COUNTIF($A:$A,E1905)=0,"Not Exists","Exists")</f>
        <v>Not Exists</v>
      </c>
      <c r="N1905" t="str">
        <f t="shared" si="94"/>
        <v>Not Exists</v>
      </c>
      <c r="O1905" t="str">
        <f t="shared" si="92"/>
        <v>Not Exists</v>
      </c>
      <c r="P1905" t="str">
        <f t="shared" si="93"/>
        <v>Exists</v>
      </c>
    </row>
    <row r="1906" spans="1:16">
      <c r="A1906" s="50" t="s">
        <v>2008</v>
      </c>
      <c r="B1906" s="50" t="s">
        <v>820</v>
      </c>
      <c r="C1906" s="50" t="s">
        <v>256</v>
      </c>
      <c r="D1906" s="50">
        <v>50</v>
      </c>
      <c r="E1906" s="50" t="s">
        <v>1957</v>
      </c>
      <c r="F1906" s="50" t="s">
        <v>1190</v>
      </c>
      <c r="G1906" s="50" t="s">
        <v>256</v>
      </c>
      <c r="H1906" s="50">
        <v>1000</v>
      </c>
      <c r="M1906" t="str">
        <f>IF(COUNTIF($A:$A,E1906)=0,"Not Exists","Exists")</f>
        <v>Not Exists</v>
      </c>
      <c r="N1906" t="str">
        <f t="shared" si="94"/>
        <v>Not Exists</v>
      </c>
      <c r="O1906" t="str">
        <f t="shared" si="92"/>
        <v>Not Exists</v>
      </c>
      <c r="P1906" t="str">
        <f t="shared" si="93"/>
        <v>Not Exists</v>
      </c>
    </row>
    <row r="1907" spans="1:16">
      <c r="A1907" s="50" t="s">
        <v>2008</v>
      </c>
      <c r="B1907" s="50" t="s">
        <v>1899</v>
      </c>
      <c r="C1907" s="50" t="s">
        <v>256</v>
      </c>
      <c r="D1907" s="50">
        <v>50</v>
      </c>
      <c r="E1907" s="50" t="s">
        <v>1957</v>
      </c>
      <c r="F1907" s="50" t="s">
        <v>1192</v>
      </c>
      <c r="G1907" s="50" t="s">
        <v>256</v>
      </c>
      <c r="H1907" s="50">
        <v>1000</v>
      </c>
      <c r="M1907" t="str">
        <f>IF(COUNTIF($A:$A,E1907)=0,"Not Exists","Exists")</f>
        <v>Not Exists</v>
      </c>
      <c r="N1907" t="str">
        <f t="shared" si="94"/>
        <v>Not Exists</v>
      </c>
      <c r="O1907" t="str">
        <f t="shared" si="92"/>
        <v>Not Exists</v>
      </c>
      <c r="P1907" t="str">
        <f t="shared" si="93"/>
        <v>Exists</v>
      </c>
    </row>
    <row r="1908" spans="1:16">
      <c r="A1908" s="50" t="s">
        <v>2008</v>
      </c>
      <c r="B1908" s="50" t="s">
        <v>1901</v>
      </c>
      <c r="C1908" s="50" t="s">
        <v>256</v>
      </c>
      <c r="D1908" s="50">
        <v>50</v>
      </c>
      <c r="E1908" s="50" t="s">
        <v>1957</v>
      </c>
      <c r="F1908" s="50" t="s">
        <v>1194</v>
      </c>
      <c r="G1908" s="50" t="s">
        <v>256</v>
      </c>
      <c r="H1908" s="50">
        <v>1000</v>
      </c>
      <c r="M1908" t="str">
        <f>IF(COUNTIF($A:$A,E1908)=0,"Not Exists","Exists")</f>
        <v>Not Exists</v>
      </c>
      <c r="N1908" t="str">
        <f t="shared" si="94"/>
        <v>Not Exists</v>
      </c>
      <c r="O1908" t="str">
        <f t="shared" si="92"/>
        <v>Not Exists</v>
      </c>
      <c r="P1908" t="str">
        <f t="shared" si="93"/>
        <v>Exists</v>
      </c>
    </row>
    <row r="1909" spans="1:16">
      <c r="A1909" s="50" t="s">
        <v>2008</v>
      </c>
      <c r="B1909" s="50" t="s">
        <v>1894</v>
      </c>
      <c r="C1909" s="50" t="s">
        <v>251</v>
      </c>
      <c r="D1909" s="50">
        <v>1</v>
      </c>
      <c r="E1909" s="50" t="s">
        <v>1957</v>
      </c>
      <c r="F1909" s="50" t="s">
        <v>1196</v>
      </c>
      <c r="G1909" s="50" t="s">
        <v>256</v>
      </c>
      <c r="H1909" s="50">
        <v>1000</v>
      </c>
      <c r="M1909" t="str">
        <f>IF(COUNTIF($A:$A,E1909)=0,"Not Exists","Exists")</f>
        <v>Not Exists</v>
      </c>
      <c r="N1909" t="str">
        <f t="shared" si="94"/>
        <v>Not Exists</v>
      </c>
      <c r="O1909" t="str">
        <f t="shared" si="92"/>
        <v>Not Exists</v>
      </c>
      <c r="P1909" t="str">
        <f t="shared" si="93"/>
        <v>Exists</v>
      </c>
    </row>
    <row r="1910" spans="1:16">
      <c r="A1910" s="50" t="s">
        <v>2008</v>
      </c>
      <c r="B1910" s="50" t="s">
        <v>1895</v>
      </c>
      <c r="C1910" s="50" t="s">
        <v>251</v>
      </c>
      <c r="D1910" s="50">
        <v>1</v>
      </c>
      <c r="E1910" s="50" t="s">
        <v>1957</v>
      </c>
      <c r="F1910" s="50" t="s">
        <v>1198</v>
      </c>
      <c r="G1910" s="50" t="s">
        <v>256</v>
      </c>
      <c r="H1910" s="50">
        <v>1000</v>
      </c>
      <c r="M1910" t="str">
        <f>IF(COUNTIF($A:$A,E1910)=0,"Not Exists","Exists")</f>
        <v>Not Exists</v>
      </c>
      <c r="N1910" t="str">
        <f t="shared" si="94"/>
        <v>Not Exists</v>
      </c>
      <c r="O1910" t="str">
        <f t="shared" si="92"/>
        <v>Not Exists</v>
      </c>
      <c r="P1910" t="str">
        <f t="shared" si="93"/>
        <v>Exists</v>
      </c>
    </row>
    <row r="1911" spans="1:16">
      <c r="A1911" s="50" t="s">
        <v>2008</v>
      </c>
      <c r="B1911" s="50" t="s">
        <v>2015</v>
      </c>
      <c r="C1911" s="50" t="s">
        <v>251</v>
      </c>
      <c r="D1911" s="50">
        <v>1</v>
      </c>
      <c r="E1911" s="50" t="s">
        <v>1957</v>
      </c>
      <c r="F1911" s="50" t="s">
        <v>1200</v>
      </c>
      <c r="G1911" s="50" t="s">
        <v>256</v>
      </c>
      <c r="H1911" s="50">
        <v>1000</v>
      </c>
      <c r="M1911" t="str">
        <f>IF(COUNTIF($A:$A,E1911)=0,"Not Exists","Exists")</f>
        <v>Not Exists</v>
      </c>
      <c r="N1911" t="str">
        <f t="shared" si="94"/>
        <v>Not Exists</v>
      </c>
      <c r="O1911" t="str">
        <f t="shared" si="92"/>
        <v>Not Exists</v>
      </c>
      <c r="P1911" t="str">
        <f t="shared" si="93"/>
        <v>Not Exists</v>
      </c>
    </row>
    <row r="1912" spans="1:16">
      <c r="A1912" s="50" t="s">
        <v>2016</v>
      </c>
      <c r="B1912" s="50" t="s">
        <v>378</v>
      </c>
      <c r="C1912" s="50" t="s">
        <v>256</v>
      </c>
      <c r="D1912" s="50">
        <v>50</v>
      </c>
      <c r="E1912" s="50" t="s">
        <v>1957</v>
      </c>
      <c r="F1912" s="50" t="s">
        <v>1202</v>
      </c>
      <c r="G1912" s="50" t="s">
        <v>256</v>
      </c>
      <c r="H1912" s="50">
        <v>1000</v>
      </c>
      <c r="M1912" t="str">
        <f>IF(COUNTIF($A:$A,E1912)=0,"Not Exists","Exists")</f>
        <v>Not Exists</v>
      </c>
      <c r="N1912" t="str">
        <f t="shared" si="94"/>
        <v>Not Exists</v>
      </c>
      <c r="O1912" t="str">
        <f t="shared" si="92"/>
        <v>Not Exists</v>
      </c>
      <c r="P1912" t="str">
        <f t="shared" si="93"/>
        <v>Not Exists</v>
      </c>
    </row>
    <row r="1913" spans="1:16">
      <c r="A1913" s="50" t="s">
        <v>2016</v>
      </c>
      <c r="B1913" s="50" t="s">
        <v>436</v>
      </c>
      <c r="C1913" s="50" t="s">
        <v>256</v>
      </c>
      <c r="D1913" s="50">
        <v>50</v>
      </c>
      <c r="E1913" s="50" t="s">
        <v>1957</v>
      </c>
      <c r="F1913" s="50" t="s">
        <v>1204</v>
      </c>
      <c r="G1913" s="50" t="s">
        <v>256</v>
      </c>
      <c r="H1913" s="50">
        <v>1000</v>
      </c>
      <c r="M1913" t="str">
        <f>IF(COUNTIF($A:$A,E1913)=0,"Not Exists","Exists")</f>
        <v>Not Exists</v>
      </c>
      <c r="N1913" t="str">
        <f t="shared" si="94"/>
        <v>Not Exists</v>
      </c>
      <c r="O1913" t="str">
        <f t="shared" si="92"/>
        <v>Not Exists</v>
      </c>
      <c r="P1913" t="str">
        <f t="shared" si="93"/>
        <v>Not Exists</v>
      </c>
    </row>
    <row r="1914" spans="1:16">
      <c r="A1914" s="50" t="s">
        <v>2016</v>
      </c>
      <c r="B1914" s="50" t="s">
        <v>2017</v>
      </c>
      <c r="C1914" s="50" t="s">
        <v>256</v>
      </c>
      <c r="D1914" s="50">
        <v>120</v>
      </c>
      <c r="E1914" s="50" t="s">
        <v>1957</v>
      </c>
      <c r="F1914" s="50" t="s">
        <v>1206</v>
      </c>
      <c r="G1914" s="50" t="s">
        <v>256</v>
      </c>
      <c r="H1914" s="50">
        <v>1000</v>
      </c>
      <c r="M1914" t="str">
        <f>IF(COUNTIF($A:$A,E1914)=0,"Not Exists","Exists")</f>
        <v>Not Exists</v>
      </c>
      <c r="N1914" t="str">
        <f t="shared" si="94"/>
        <v>Not Exists</v>
      </c>
      <c r="O1914" t="str">
        <f t="shared" si="92"/>
        <v>Not Exists</v>
      </c>
      <c r="P1914" t="str">
        <f t="shared" si="93"/>
        <v>Not Exists</v>
      </c>
    </row>
    <row r="1915" spans="1:16">
      <c r="A1915" s="50" t="s">
        <v>2016</v>
      </c>
      <c r="B1915" s="50" t="s">
        <v>392</v>
      </c>
      <c r="C1915" s="50" t="s">
        <v>256</v>
      </c>
      <c r="D1915" s="50">
        <v>50</v>
      </c>
      <c r="E1915" s="50" t="s">
        <v>1957</v>
      </c>
      <c r="F1915" s="50" t="s">
        <v>1208</v>
      </c>
      <c r="G1915" s="50" t="s">
        <v>256</v>
      </c>
      <c r="H1915" s="50">
        <v>1000</v>
      </c>
      <c r="M1915" t="str">
        <f>IF(COUNTIF($A:$A,E1915)=0,"Not Exists","Exists")</f>
        <v>Not Exists</v>
      </c>
      <c r="N1915" t="str">
        <f t="shared" si="94"/>
        <v>Not Exists</v>
      </c>
      <c r="O1915" t="str">
        <f t="shared" si="92"/>
        <v>Not Exists</v>
      </c>
      <c r="P1915" t="str">
        <f t="shared" si="93"/>
        <v>Exists</v>
      </c>
    </row>
    <row r="1916" spans="1:16">
      <c r="A1916" s="50" t="s">
        <v>2016</v>
      </c>
      <c r="B1916" s="50" t="s">
        <v>930</v>
      </c>
      <c r="C1916" s="50" t="s">
        <v>256</v>
      </c>
      <c r="D1916" s="50">
        <v>20</v>
      </c>
      <c r="E1916" s="50" t="s">
        <v>1957</v>
      </c>
      <c r="F1916" s="50" t="s">
        <v>1210</v>
      </c>
      <c r="G1916" s="50" t="s">
        <v>256</v>
      </c>
      <c r="H1916" s="50">
        <v>1000</v>
      </c>
      <c r="M1916" t="str">
        <f>IF(COUNTIF($A:$A,E1916)=0,"Not Exists","Exists")</f>
        <v>Not Exists</v>
      </c>
      <c r="N1916" t="str">
        <f t="shared" si="94"/>
        <v>Not Exists</v>
      </c>
      <c r="O1916" t="str">
        <f t="shared" si="92"/>
        <v>Not Exists</v>
      </c>
      <c r="P1916" t="str">
        <f t="shared" si="93"/>
        <v>Exists</v>
      </c>
    </row>
    <row r="1917" spans="1:16">
      <c r="A1917" s="50" t="s">
        <v>2016</v>
      </c>
      <c r="B1917" s="50" t="s">
        <v>430</v>
      </c>
      <c r="C1917" s="50" t="s">
        <v>256</v>
      </c>
      <c r="D1917" s="50">
        <v>50</v>
      </c>
      <c r="E1917" s="50" t="s">
        <v>1957</v>
      </c>
      <c r="F1917" s="50" t="s">
        <v>1212</v>
      </c>
      <c r="G1917" s="50" t="s">
        <v>256</v>
      </c>
      <c r="H1917" s="50">
        <v>1000</v>
      </c>
      <c r="M1917" t="str">
        <f>IF(COUNTIF($A:$A,E1917)=0,"Not Exists","Exists")</f>
        <v>Not Exists</v>
      </c>
      <c r="N1917" t="str">
        <f t="shared" si="94"/>
        <v>Not Exists</v>
      </c>
      <c r="O1917" t="str">
        <f t="shared" si="92"/>
        <v>Not Exists</v>
      </c>
      <c r="P1917" t="str">
        <f t="shared" si="93"/>
        <v>Exists</v>
      </c>
    </row>
    <row r="1918" spans="1:16">
      <c r="A1918" s="50" t="s">
        <v>2016</v>
      </c>
      <c r="B1918" s="50" t="s">
        <v>2018</v>
      </c>
      <c r="C1918" s="50" t="s">
        <v>256</v>
      </c>
      <c r="D1918" s="50">
        <v>2</v>
      </c>
      <c r="E1918" s="50" t="s">
        <v>1957</v>
      </c>
      <c r="F1918" s="50" t="s">
        <v>1214</v>
      </c>
      <c r="G1918" s="50" t="s">
        <v>256</v>
      </c>
      <c r="H1918" s="50">
        <v>1000</v>
      </c>
      <c r="M1918" t="str">
        <f>IF(COUNTIF($A:$A,E1918)=0,"Not Exists","Exists")</f>
        <v>Not Exists</v>
      </c>
      <c r="N1918" t="str">
        <f t="shared" si="94"/>
        <v>Not Exists</v>
      </c>
      <c r="O1918" t="str">
        <f t="shared" si="92"/>
        <v>Not Exists</v>
      </c>
      <c r="P1918" t="str">
        <f t="shared" si="93"/>
        <v>Not Exists</v>
      </c>
    </row>
    <row r="1919" spans="1:16">
      <c r="A1919" s="50" t="s">
        <v>2019</v>
      </c>
      <c r="B1919" s="50" t="s">
        <v>378</v>
      </c>
      <c r="C1919" s="50" t="s">
        <v>256</v>
      </c>
      <c r="D1919" s="50">
        <v>50</v>
      </c>
      <c r="E1919" s="50" t="s">
        <v>1957</v>
      </c>
      <c r="F1919" s="50" t="s">
        <v>1216</v>
      </c>
      <c r="G1919" s="50" t="s">
        <v>256</v>
      </c>
      <c r="H1919" s="50">
        <v>1000</v>
      </c>
      <c r="M1919" t="str">
        <f>IF(COUNTIF($A:$A,E1919)=0,"Not Exists","Exists")</f>
        <v>Not Exists</v>
      </c>
      <c r="N1919" t="str">
        <f t="shared" si="94"/>
        <v>Not Exists</v>
      </c>
      <c r="O1919" t="str">
        <f t="shared" si="92"/>
        <v>Not Exists</v>
      </c>
      <c r="P1919" t="str">
        <f t="shared" si="93"/>
        <v>Not Exists</v>
      </c>
    </row>
    <row r="1920" spans="1:16">
      <c r="A1920" s="50" t="s">
        <v>2019</v>
      </c>
      <c r="B1920" s="50" t="s">
        <v>436</v>
      </c>
      <c r="C1920" s="50" t="s">
        <v>256</v>
      </c>
      <c r="D1920" s="50">
        <v>50</v>
      </c>
      <c r="E1920" s="50" t="s">
        <v>1957</v>
      </c>
      <c r="F1920" s="50" t="s">
        <v>1219</v>
      </c>
      <c r="G1920" s="50" t="s">
        <v>256</v>
      </c>
      <c r="H1920" s="50">
        <v>1000</v>
      </c>
      <c r="M1920" t="str">
        <f>IF(COUNTIF($A:$A,E1920)=0,"Not Exists","Exists")</f>
        <v>Not Exists</v>
      </c>
      <c r="N1920" t="str">
        <f t="shared" si="94"/>
        <v>Not Exists</v>
      </c>
      <c r="O1920" t="str">
        <f t="shared" si="92"/>
        <v>Not Exists</v>
      </c>
      <c r="P1920" t="str">
        <f t="shared" si="93"/>
        <v>Not Exists</v>
      </c>
    </row>
    <row r="1921" spans="1:16">
      <c r="A1921" s="50" t="s">
        <v>2019</v>
      </c>
      <c r="B1921" s="50" t="s">
        <v>430</v>
      </c>
      <c r="C1921" s="50" t="s">
        <v>256</v>
      </c>
      <c r="D1921" s="50">
        <v>50</v>
      </c>
      <c r="E1921" s="50" t="s">
        <v>1957</v>
      </c>
      <c r="F1921" s="50" t="s">
        <v>1221</v>
      </c>
      <c r="G1921" s="50" t="s">
        <v>256</v>
      </c>
      <c r="H1921" s="50">
        <v>1000</v>
      </c>
      <c r="M1921" t="str">
        <f>IF(COUNTIF($A:$A,E1921)=0,"Not Exists","Exists")</f>
        <v>Not Exists</v>
      </c>
      <c r="N1921" t="str">
        <f t="shared" si="94"/>
        <v>Not Exists</v>
      </c>
      <c r="O1921" t="str">
        <f t="shared" si="92"/>
        <v>Not Exists</v>
      </c>
      <c r="P1921" t="str">
        <f t="shared" si="93"/>
        <v>Exists</v>
      </c>
    </row>
    <row r="1922" spans="1:16">
      <c r="A1922" s="50" t="s">
        <v>2019</v>
      </c>
      <c r="B1922" s="50" t="s">
        <v>2020</v>
      </c>
      <c r="C1922" s="50" t="s">
        <v>256</v>
      </c>
      <c r="D1922" s="50">
        <v>50</v>
      </c>
      <c r="E1922" s="50" t="s">
        <v>1957</v>
      </c>
      <c r="F1922" s="50" t="s">
        <v>1223</v>
      </c>
      <c r="G1922" s="50" t="s">
        <v>256</v>
      </c>
      <c r="H1922" s="50">
        <v>1000</v>
      </c>
      <c r="M1922" t="str">
        <f>IF(COUNTIF($A:$A,E1922)=0,"Not Exists","Exists")</f>
        <v>Not Exists</v>
      </c>
      <c r="N1922" t="str">
        <f t="shared" si="94"/>
        <v>Not Exists</v>
      </c>
      <c r="O1922" t="str">
        <f t="shared" si="92"/>
        <v>Not Exists</v>
      </c>
      <c r="P1922" t="str">
        <f t="shared" si="93"/>
        <v>Not Exists</v>
      </c>
    </row>
    <row r="1923" spans="1:16">
      <c r="A1923" s="50" t="s">
        <v>2019</v>
      </c>
      <c r="B1923" s="50" t="s">
        <v>2021</v>
      </c>
      <c r="C1923" s="50" t="s">
        <v>256</v>
      </c>
      <c r="D1923" s="50">
        <v>3000</v>
      </c>
      <c r="E1923" s="50" t="s">
        <v>1957</v>
      </c>
      <c r="F1923" s="50" t="s">
        <v>1225</v>
      </c>
      <c r="G1923" s="50" t="s">
        <v>256</v>
      </c>
      <c r="H1923" s="50">
        <v>1000</v>
      </c>
      <c r="M1923" t="str">
        <f>IF(COUNTIF($A:$A,E1923)=0,"Not Exists","Exists")</f>
        <v>Not Exists</v>
      </c>
      <c r="N1923" t="str">
        <f t="shared" si="94"/>
        <v>Not Exists</v>
      </c>
      <c r="O1923" t="str">
        <f t="shared" si="92"/>
        <v>Not Exists</v>
      </c>
      <c r="P1923" t="str">
        <f t="shared" si="93"/>
        <v>Not Exists</v>
      </c>
    </row>
    <row r="1924" spans="1:16">
      <c r="A1924" s="50" t="s">
        <v>2022</v>
      </c>
      <c r="B1924" s="50" t="s">
        <v>378</v>
      </c>
      <c r="C1924" s="50" t="s">
        <v>256</v>
      </c>
      <c r="D1924" s="50">
        <v>50</v>
      </c>
      <c r="E1924" s="50" t="s">
        <v>1957</v>
      </c>
      <c r="F1924" s="50" t="s">
        <v>1227</v>
      </c>
      <c r="G1924" s="50" t="s">
        <v>256</v>
      </c>
      <c r="H1924" s="50">
        <v>1000</v>
      </c>
      <c r="M1924" t="str">
        <f>IF(COUNTIF($A:$A,E1924)=0,"Not Exists","Exists")</f>
        <v>Not Exists</v>
      </c>
      <c r="N1924" t="str">
        <f t="shared" si="94"/>
        <v>Not Exists</v>
      </c>
      <c r="O1924" t="str">
        <f t="shared" ref="O1924:O1987" si="95">IF(COUNTIF($E:$E,A1924)=0,"Not Exists","Exists")</f>
        <v>Not Exists</v>
      </c>
      <c r="P1924" t="str">
        <f t="shared" ref="P1924:P1987" si="96">IF(COUNTIF($F:$F,B1924)=0,"Not Exists","Exists")</f>
        <v>Not Exists</v>
      </c>
    </row>
    <row r="1925" spans="1:16">
      <c r="A1925" s="50" t="s">
        <v>2022</v>
      </c>
      <c r="B1925" s="50" t="s">
        <v>436</v>
      </c>
      <c r="C1925" s="50" t="s">
        <v>256</v>
      </c>
      <c r="D1925" s="50">
        <v>50</v>
      </c>
      <c r="E1925" s="50" t="s">
        <v>1957</v>
      </c>
      <c r="F1925" s="50" t="s">
        <v>1229</v>
      </c>
      <c r="G1925" s="50" t="s">
        <v>256</v>
      </c>
      <c r="H1925" s="50">
        <v>1000</v>
      </c>
      <c r="M1925" t="str">
        <f>IF(COUNTIF($A:$A,E1925)=0,"Not Exists","Exists")</f>
        <v>Not Exists</v>
      </c>
      <c r="N1925" t="str">
        <f t="shared" si="94"/>
        <v>Not Exists</v>
      </c>
      <c r="O1925" t="str">
        <f t="shared" si="95"/>
        <v>Not Exists</v>
      </c>
      <c r="P1925" t="str">
        <f t="shared" si="96"/>
        <v>Not Exists</v>
      </c>
    </row>
    <row r="1926" spans="1:16">
      <c r="A1926" s="50" t="s">
        <v>2022</v>
      </c>
      <c r="B1926" s="50" t="s">
        <v>2023</v>
      </c>
      <c r="C1926" s="50" t="s">
        <v>256</v>
      </c>
      <c r="D1926" s="50">
        <v>70</v>
      </c>
      <c r="E1926" s="50" t="s">
        <v>1957</v>
      </c>
      <c r="F1926" s="50" t="s">
        <v>1231</v>
      </c>
      <c r="G1926" s="50" t="s">
        <v>256</v>
      </c>
      <c r="H1926" s="50">
        <v>1000</v>
      </c>
      <c r="M1926" t="str">
        <f>IF(COUNTIF($A:$A,E1926)=0,"Not Exists","Exists")</f>
        <v>Not Exists</v>
      </c>
      <c r="N1926" t="str">
        <f t="shared" si="94"/>
        <v>Not Exists</v>
      </c>
      <c r="O1926" t="str">
        <f t="shared" si="95"/>
        <v>Not Exists</v>
      </c>
      <c r="P1926" t="str">
        <f t="shared" si="96"/>
        <v>Not Exists</v>
      </c>
    </row>
    <row r="1927" spans="1:16">
      <c r="A1927" s="50" t="s">
        <v>2022</v>
      </c>
      <c r="B1927" s="50" t="s">
        <v>2024</v>
      </c>
      <c r="C1927" s="50" t="s">
        <v>256</v>
      </c>
      <c r="D1927" s="50">
        <v>50</v>
      </c>
      <c r="E1927" s="50" t="s">
        <v>1957</v>
      </c>
      <c r="F1927" s="50" t="s">
        <v>1233</v>
      </c>
      <c r="G1927" s="50" t="s">
        <v>256</v>
      </c>
      <c r="H1927" s="50">
        <v>1000</v>
      </c>
      <c r="M1927" t="str">
        <f>IF(COUNTIF($A:$A,E1927)=0,"Not Exists","Exists")</f>
        <v>Not Exists</v>
      </c>
      <c r="N1927" t="str">
        <f t="shared" si="94"/>
        <v>Not Exists</v>
      </c>
      <c r="O1927" t="str">
        <f t="shared" si="95"/>
        <v>Not Exists</v>
      </c>
      <c r="P1927" t="str">
        <f t="shared" si="96"/>
        <v>Not Exists</v>
      </c>
    </row>
    <row r="1928" spans="1:16">
      <c r="A1928" s="50" t="s">
        <v>2022</v>
      </c>
      <c r="B1928" s="50" t="s">
        <v>430</v>
      </c>
      <c r="C1928" s="50" t="s">
        <v>256</v>
      </c>
      <c r="D1928" s="50">
        <v>100</v>
      </c>
      <c r="E1928" s="50" t="s">
        <v>1957</v>
      </c>
      <c r="F1928" s="50" t="s">
        <v>1236</v>
      </c>
      <c r="G1928" s="50" t="s">
        <v>256</v>
      </c>
      <c r="H1928" s="50">
        <v>1000</v>
      </c>
      <c r="M1928" t="str">
        <f>IF(COUNTIF($A:$A,E1928)=0,"Not Exists","Exists")</f>
        <v>Not Exists</v>
      </c>
      <c r="N1928" t="str">
        <f t="shared" si="94"/>
        <v>Not Exists</v>
      </c>
      <c r="O1928" t="str">
        <f t="shared" si="95"/>
        <v>Not Exists</v>
      </c>
      <c r="P1928" t="str">
        <f t="shared" si="96"/>
        <v>Exists</v>
      </c>
    </row>
    <row r="1929" spans="1:16">
      <c r="A1929" s="50" t="s">
        <v>2022</v>
      </c>
      <c r="B1929" s="50" t="s">
        <v>2025</v>
      </c>
      <c r="C1929" s="50" t="s">
        <v>256</v>
      </c>
      <c r="D1929" s="50">
        <v>2</v>
      </c>
      <c r="E1929" s="50" t="s">
        <v>1957</v>
      </c>
      <c r="F1929" s="50" t="s">
        <v>1238</v>
      </c>
      <c r="G1929" s="50" t="s">
        <v>256</v>
      </c>
      <c r="H1929" s="50">
        <v>1000</v>
      </c>
      <c r="M1929" t="str">
        <f>IF(COUNTIF($A:$A,E1929)=0,"Not Exists","Exists")</f>
        <v>Not Exists</v>
      </c>
      <c r="N1929" t="str">
        <f t="shared" si="94"/>
        <v>Not Exists</v>
      </c>
      <c r="O1929" t="str">
        <f t="shared" si="95"/>
        <v>Not Exists</v>
      </c>
      <c r="P1929" t="str">
        <f t="shared" si="96"/>
        <v>Not Exists</v>
      </c>
    </row>
    <row r="1930" spans="1:16">
      <c r="A1930" s="50" t="s">
        <v>2022</v>
      </c>
      <c r="B1930" s="50" t="s">
        <v>2026</v>
      </c>
      <c r="C1930" s="50" t="s">
        <v>256</v>
      </c>
      <c r="D1930" s="50">
        <v>2</v>
      </c>
      <c r="E1930" s="50" t="s">
        <v>1957</v>
      </c>
      <c r="F1930" s="50" t="s">
        <v>1240</v>
      </c>
      <c r="G1930" s="50" t="s">
        <v>256</v>
      </c>
      <c r="H1930" s="50">
        <v>1000</v>
      </c>
      <c r="M1930" t="str">
        <f>IF(COUNTIF($A:$A,E1930)=0,"Not Exists","Exists")</f>
        <v>Not Exists</v>
      </c>
      <c r="N1930" t="str">
        <f t="shared" si="94"/>
        <v>Not Exists</v>
      </c>
      <c r="O1930" t="str">
        <f t="shared" si="95"/>
        <v>Not Exists</v>
      </c>
      <c r="P1930" t="str">
        <f t="shared" si="96"/>
        <v>Not Exists</v>
      </c>
    </row>
    <row r="1931" spans="1:16">
      <c r="A1931" s="50" t="s">
        <v>2022</v>
      </c>
      <c r="B1931" s="50" t="s">
        <v>2027</v>
      </c>
      <c r="C1931" s="50" t="s">
        <v>256</v>
      </c>
      <c r="D1931" s="50">
        <v>450</v>
      </c>
      <c r="E1931" s="50" t="s">
        <v>1957</v>
      </c>
      <c r="F1931" s="50" t="s">
        <v>1242</v>
      </c>
      <c r="G1931" s="50" t="s">
        <v>256</v>
      </c>
      <c r="H1931" s="50">
        <v>1000</v>
      </c>
      <c r="M1931" t="str">
        <f>IF(COUNTIF($A:$A,E1931)=0,"Not Exists","Exists")</f>
        <v>Not Exists</v>
      </c>
      <c r="N1931" t="str">
        <f t="shared" si="94"/>
        <v>Not Exists</v>
      </c>
      <c r="O1931" t="str">
        <f t="shared" si="95"/>
        <v>Not Exists</v>
      </c>
      <c r="P1931" t="str">
        <f t="shared" si="96"/>
        <v>Not Exists</v>
      </c>
    </row>
    <row r="1932" spans="1:16">
      <c r="A1932" s="50" t="s">
        <v>2022</v>
      </c>
      <c r="B1932" s="50" t="s">
        <v>2028</v>
      </c>
      <c r="C1932" s="50" t="s">
        <v>256</v>
      </c>
      <c r="D1932" s="50">
        <v>450</v>
      </c>
      <c r="E1932" s="50" t="s">
        <v>1957</v>
      </c>
      <c r="F1932" s="50" t="s">
        <v>1244</v>
      </c>
      <c r="G1932" s="50" t="s">
        <v>256</v>
      </c>
      <c r="H1932" s="50">
        <v>1000</v>
      </c>
      <c r="M1932" t="str">
        <f>IF(COUNTIF($A:$A,E1932)=0,"Not Exists","Exists")</f>
        <v>Not Exists</v>
      </c>
      <c r="N1932" t="str">
        <f t="shared" si="94"/>
        <v>Not Exists</v>
      </c>
      <c r="O1932" t="str">
        <f t="shared" si="95"/>
        <v>Not Exists</v>
      </c>
      <c r="P1932" t="str">
        <f t="shared" si="96"/>
        <v>Not Exists</v>
      </c>
    </row>
    <row r="1933" spans="1:16">
      <c r="A1933" s="50" t="s">
        <v>2022</v>
      </c>
      <c r="B1933" s="50" t="s">
        <v>2029</v>
      </c>
      <c r="C1933" s="50" t="s">
        <v>256</v>
      </c>
      <c r="D1933" s="50">
        <v>1000</v>
      </c>
      <c r="E1933" s="50" t="s">
        <v>1957</v>
      </c>
      <c r="F1933" s="50" t="s">
        <v>1246</v>
      </c>
      <c r="G1933" s="50" t="s">
        <v>256</v>
      </c>
      <c r="H1933" s="50">
        <v>1000</v>
      </c>
      <c r="M1933" t="str">
        <f>IF(COUNTIF($A:$A,E1933)=0,"Not Exists","Exists")</f>
        <v>Not Exists</v>
      </c>
      <c r="N1933" t="str">
        <f t="shared" si="94"/>
        <v>Not Exists</v>
      </c>
      <c r="O1933" t="str">
        <f t="shared" si="95"/>
        <v>Not Exists</v>
      </c>
      <c r="P1933" t="str">
        <f t="shared" si="96"/>
        <v>Not Exists</v>
      </c>
    </row>
    <row r="1934" spans="1:16">
      <c r="A1934" s="50" t="s">
        <v>2022</v>
      </c>
      <c r="B1934" s="50" t="s">
        <v>2030</v>
      </c>
      <c r="C1934" s="50" t="s">
        <v>256</v>
      </c>
      <c r="D1934" s="50">
        <v>450</v>
      </c>
      <c r="E1934" s="50" t="s">
        <v>1957</v>
      </c>
      <c r="F1934" s="50" t="s">
        <v>1248</v>
      </c>
      <c r="G1934" s="50" t="s">
        <v>256</v>
      </c>
      <c r="H1934" s="50">
        <v>1000</v>
      </c>
      <c r="M1934" t="str">
        <f>IF(COUNTIF($A:$A,E1934)=0,"Not Exists","Exists")</f>
        <v>Not Exists</v>
      </c>
      <c r="N1934" t="str">
        <f t="shared" si="94"/>
        <v>Not Exists</v>
      </c>
      <c r="O1934" t="str">
        <f t="shared" si="95"/>
        <v>Not Exists</v>
      </c>
      <c r="P1934" t="str">
        <f t="shared" si="96"/>
        <v>Not Exists</v>
      </c>
    </row>
    <row r="1935" spans="1:16">
      <c r="A1935" s="50" t="s">
        <v>2022</v>
      </c>
      <c r="B1935" s="50" t="s">
        <v>2031</v>
      </c>
      <c r="C1935" s="50" t="s">
        <v>256</v>
      </c>
      <c r="D1935" s="50">
        <v>8</v>
      </c>
      <c r="E1935" s="50" t="s">
        <v>1957</v>
      </c>
      <c r="F1935" s="50" t="s">
        <v>1250</v>
      </c>
      <c r="G1935" s="50" t="s">
        <v>256</v>
      </c>
      <c r="H1935" s="50">
        <v>1000</v>
      </c>
      <c r="M1935" t="str">
        <f>IF(COUNTIF($A:$A,E1935)=0,"Not Exists","Exists")</f>
        <v>Not Exists</v>
      </c>
      <c r="N1935" t="str">
        <f t="shared" si="94"/>
        <v>Not Exists</v>
      </c>
      <c r="O1935" t="str">
        <f t="shared" si="95"/>
        <v>Not Exists</v>
      </c>
      <c r="P1935" t="str">
        <f t="shared" si="96"/>
        <v>Not Exists</v>
      </c>
    </row>
    <row r="1936" spans="1:16">
      <c r="A1936" s="50" t="s">
        <v>2022</v>
      </c>
      <c r="B1936" s="50" t="s">
        <v>2032</v>
      </c>
      <c r="C1936" s="50" t="s">
        <v>256</v>
      </c>
      <c r="D1936" s="50">
        <v>8</v>
      </c>
      <c r="E1936" s="50" t="s">
        <v>1957</v>
      </c>
      <c r="F1936" s="50" t="s">
        <v>1253</v>
      </c>
      <c r="G1936" s="50" t="s">
        <v>256</v>
      </c>
      <c r="H1936" s="50">
        <v>1000</v>
      </c>
      <c r="M1936" t="str">
        <f>IF(COUNTIF($A:$A,E1936)=0,"Not Exists","Exists")</f>
        <v>Not Exists</v>
      </c>
      <c r="N1936" t="str">
        <f t="shared" si="94"/>
        <v>Not Exists</v>
      </c>
      <c r="O1936" t="str">
        <f t="shared" si="95"/>
        <v>Not Exists</v>
      </c>
      <c r="P1936" t="str">
        <f t="shared" si="96"/>
        <v>Not Exists</v>
      </c>
    </row>
    <row r="1937" spans="1:16">
      <c r="A1937" s="50" t="s">
        <v>2022</v>
      </c>
      <c r="B1937" s="50" t="s">
        <v>460</v>
      </c>
      <c r="C1937" s="50" t="s">
        <v>256</v>
      </c>
      <c r="D1937" s="50">
        <v>4</v>
      </c>
      <c r="E1937" s="50" t="s">
        <v>1957</v>
      </c>
      <c r="F1937" s="50" t="s">
        <v>1255</v>
      </c>
      <c r="G1937" s="50" t="s">
        <v>256</v>
      </c>
      <c r="H1937" s="50">
        <v>1000</v>
      </c>
      <c r="M1937" t="str">
        <f>IF(COUNTIF($A:$A,E1937)=0,"Not Exists","Exists")</f>
        <v>Not Exists</v>
      </c>
      <c r="N1937" t="str">
        <f t="shared" si="94"/>
        <v>Not Exists</v>
      </c>
      <c r="O1937" t="str">
        <f t="shared" si="95"/>
        <v>Not Exists</v>
      </c>
      <c r="P1937" t="str">
        <f t="shared" si="96"/>
        <v>Exists</v>
      </c>
    </row>
    <row r="1938" spans="1:16">
      <c r="A1938" s="50" t="s">
        <v>2022</v>
      </c>
      <c r="B1938" s="50" t="s">
        <v>480</v>
      </c>
      <c r="C1938" s="50" t="s">
        <v>256</v>
      </c>
      <c r="D1938" s="50">
        <v>4</v>
      </c>
      <c r="E1938" s="50" t="s">
        <v>1957</v>
      </c>
      <c r="F1938" s="50" t="s">
        <v>1257</v>
      </c>
      <c r="G1938" s="50" t="s">
        <v>256</v>
      </c>
      <c r="H1938" s="50">
        <v>1000</v>
      </c>
      <c r="M1938" t="str">
        <f>IF(COUNTIF($A:$A,E1938)=0,"Not Exists","Exists")</f>
        <v>Not Exists</v>
      </c>
      <c r="N1938" t="str">
        <f t="shared" si="94"/>
        <v>Not Exists</v>
      </c>
      <c r="O1938" t="str">
        <f t="shared" si="95"/>
        <v>Not Exists</v>
      </c>
      <c r="P1938" t="str">
        <f t="shared" si="96"/>
        <v>Exists</v>
      </c>
    </row>
    <row r="1939" spans="1:16">
      <c r="A1939" s="50" t="s">
        <v>2022</v>
      </c>
      <c r="B1939" s="50" t="s">
        <v>930</v>
      </c>
      <c r="C1939" s="50" t="s">
        <v>256</v>
      </c>
      <c r="D1939" s="50">
        <v>50</v>
      </c>
      <c r="E1939" s="50" t="s">
        <v>1957</v>
      </c>
      <c r="F1939" s="50" t="s">
        <v>1259</v>
      </c>
      <c r="G1939" s="50" t="s">
        <v>256</v>
      </c>
      <c r="H1939" s="50">
        <v>1000</v>
      </c>
      <c r="M1939" t="str">
        <f>IF(COUNTIF($A:$A,E1939)=0,"Not Exists","Exists")</f>
        <v>Not Exists</v>
      </c>
      <c r="N1939" t="str">
        <f t="shared" si="94"/>
        <v>Not Exists</v>
      </c>
      <c r="O1939" t="str">
        <f t="shared" si="95"/>
        <v>Not Exists</v>
      </c>
      <c r="P1939" t="str">
        <f t="shared" si="96"/>
        <v>Exists</v>
      </c>
    </row>
    <row r="1940" spans="1:16">
      <c r="A1940" s="50" t="s">
        <v>2033</v>
      </c>
      <c r="B1940" s="50" t="s">
        <v>378</v>
      </c>
      <c r="C1940" s="50" t="s">
        <v>256</v>
      </c>
      <c r="D1940" s="50">
        <v>50</v>
      </c>
      <c r="E1940" s="50" t="s">
        <v>1957</v>
      </c>
      <c r="F1940" s="50" t="s">
        <v>1261</v>
      </c>
      <c r="G1940" s="50" t="s">
        <v>256</v>
      </c>
      <c r="H1940" s="50">
        <v>1000</v>
      </c>
      <c r="M1940" t="str">
        <f>IF(COUNTIF($A:$A,E1940)=0,"Not Exists","Exists")</f>
        <v>Not Exists</v>
      </c>
      <c r="N1940" t="str">
        <f t="shared" si="94"/>
        <v>Not Exists</v>
      </c>
      <c r="O1940" t="str">
        <f t="shared" si="95"/>
        <v>Not Exists</v>
      </c>
      <c r="P1940" t="str">
        <f t="shared" si="96"/>
        <v>Not Exists</v>
      </c>
    </row>
    <row r="1941" spans="1:16">
      <c r="A1941" s="50" t="s">
        <v>2033</v>
      </c>
      <c r="B1941" s="50" t="s">
        <v>436</v>
      </c>
      <c r="C1941" s="50" t="s">
        <v>256</v>
      </c>
      <c r="D1941" s="50">
        <v>50</v>
      </c>
      <c r="E1941" s="50" t="s">
        <v>1957</v>
      </c>
      <c r="F1941" s="50" t="s">
        <v>1263</v>
      </c>
      <c r="G1941" s="50" t="s">
        <v>256</v>
      </c>
      <c r="H1941" s="50">
        <v>1000</v>
      </c>
      <c r="M1941" t="str">
        <f>IF(COUNTIF($A:$A,E1941)=0,"Not Exists","Exists")</f>
        <v>Not Exists</v>
      </c>
      <c r="N1941" t="str">
        <f t="shared" si="94"/>
        <v>Not Exists</v>
      </c>
      <c r="O1941" t="str">
        <f t="shared" si="95"/>
        <v>Not Exists</v>
      </c>
      <c r="P1941" t="str">
        <f t="shared" si="96"/>
        <v>Not Exists</v>
      </c>
    </row>
    <row r="1942" spans="1:16">
      <c r="A1942" s="50" t="s">
        <v>2033</v>
      </c>
      <c r="B1942" s="50" t="s">
        <v>430</v>
      </c>
      <c r="C1942" s="50" t="s">
        <v>256</v>
      </c>
      <c r="D1942" s="50">
        <v>50</v>
      </c>
      <c r="E1942" s="50" t="s">
        <v>1957</v>
      </c>
      <c r="F1942" s="50" t="s">
        <v>1265</v>
      </c>
      <c r="G1942" s="50" t="s">
        <v>256</v>
      </c>
      <c r="H1942" s="50">
        <v>1000</v>
      </c>
      <c r="M1942" t="str">
        <f>IF(COUNTIF($A:$A,E1942)=0,"Not Exists","Exists")</f>
        <v>Not Exists</v>
      </c>
      <c r="N1942" t="str">
        <f t="shared" si="94"/>
        <v>Not Exists</v>
      </c>
      <c r="O1942" t="str">
        <f t="shared" si="95"/>
        <v>Not Exists</v>
      </c>
      <c r="P1942" t="str">
        <f t="shared" si="96"/>
        <v>Exists</v>
      </c>
    </row>
    <row r="1943" spans="1:16">
      <c r="A1943" s="50" t="s">
        <v>2033</v>
      </c>
      <c r="B1943" s="50" t="s">
        <v>2020</v>
      </c>
      <c r="C1943" s="50" t="s">
        <v>256</v>
      </c>
      <c r="D1943" s="50">
        <v>50</v>
      </c>
      <c r="E1943" s="50" t="s">
        <v>1957</v>
      </c>
      <c r="F1943" s="50" t="s">
        <v>1267</v>
      </c>
      <c r="G1943" s="50" t="s">
        <v>256</v>
      </c>
      <c r="H1943" s="50">
        <v>1000</v>
      </c>
      <c r="M1943" t="str">
        <f>IF(COUNTIF($A:$A,E1943)=0,"Not Exists","Exists")</f>
        <v>Not Exists</v>
      </c>
      <c r="N1943" t="str">
        <f t="shared" si="94"/>
        <v>Not Exists</v>
      </c>
      <c r="O1943" t="str">
        <f t="shared" si="95"/>
        <v>Not Exists</v>
      </c>
      <c r="P1943" t="str">
        <f t="shared" si="96"/>
        <v>Not Exists</v>
      </c>
    </row>
    <row r="1944" spans="1:16">
      <c r="A1944" s="50" t="s">
        <v>2033</v>
      </c>
      <c r="B1944" s="50" t="s">
        <v>2021</v>
      </c>
      <c r="C1944" s="50" t="s">
        <v>256</v>
      </c>
      <c r="D1944" s="50">
        <v>3000</v>
      </c>
      <c r="E1944" s="50" t="s">
        <v>1957</v>
      </c>
      <c r="F1944" s="50" t="s">
        <v>1269</v>
      </c>
      <c r="G1944" s="50" t="s">
        <v>256</v>
      </c>
      <c r="H1944" s="50">
        <v>1000</v>
      </c>
      <c r="M1944" t="str">
        <f>IF(COUNTIF($A:$A,E1944)=0,"Not Exists","Exists")</f>
        <v>Not Exists</v>
      </c>
      <c r="N1944" t="str">
        <f t="shared" si="94"/>
        <v>Not Exists</v>
      </c>
      <c r="O1944" t="str">
        <f t="shared" si="95"/>
        <v>Not Exists</v>
      </c>
      <c r="P1944" t="str">
        <f t="shared" si="96"/>
        <v>Not Exists</v>
      </c>
    </row>
    <row r="1945" spans="1:16">
      <c r="A1945" s="50" t="s">
        <v>2034</v>
      </c>
      <c r="B1945" s="50" t="s">
        <v>378</v>
      </c>
      <c r="C1945" s="50" t="s">
        <v>256</v>
      </c>
      <c r="D1945" s="50">
        <v>50</v>
      </c>
      <c r="E1945" s="50" t="s">
        <v>1957</v>
      </c>
      <c r="F1945" s="50" t="s">
        <v>1271</v>
      </c>
      <c r="G1945" s="50" t="s">
        <v>256</v>
      </c>
      <c r="H1945" s="50">
        <v>1000</v>
      </c>
      <c r="M1945" t="str">
        <f>IF(COUNTIF($A:$A,E1945)=0,"Not Exists","Exists")</f>
        <v>Not Exists</v>
      </c>
      <c r="N1945" t="str">
        <f t="shared" si="94"/>
        <v>Not Exists</v>
      </c>
      <c r="O1945" t="str">
        <f t="shared" si="95"/>
        <v>Not Exists</v>
      </c>
      <c r="P1945" t="str">
        <f t="shared" si="96"/>
        <v>Not Exists</v>
      </c>
    </row>
    <row r="1946" spans="1:16">
      <c r="A1946" s="50" t="s">
        <v>2034</v>
      </c>
      <c r="B1946" s="50" t="s">
        <v>436</v>
      </c>
      <c r="C1946" s="50" t="s">
        <v>256</v>
      </c>
      <c r="D1946" s="50">
        <v>50</v>
      </c>
      <c r="E1946" s="50" t="s">
        <v>1957</v>
      </c>
      <c r="F1946" s="50" t="s">
        <v>1274</v>
      </c>
      <c r="G1946" s="50" t="s">
        <v>256</v>
      </c>
      <c r="H1946" s="50">
        <v>1000</v>
      </c>
      <c r="M1946" t="str">
        <f>IF(COUNTIF($A:$A,E1946)=0,"Not Exists","Exists")</f>
        <v>Not Exists</v>
      </c>
      <c r="N1946" t="str">
        <f t="shared" si="94"/>
        <v>Not Exists</v>
      </c>
      <c r="O1946" t="str">
        <f t="shared" si="95"/>
        <v>Not Exists</v>
      </c>
      <c r="P1946" t="str">
        <f t="shared" si="96"/>
        <v>Not Exists</v>
      </c>
    </row>
    <row r="1947" spans="1:16">
      <c r="A1947" s="50" t="s">
        <v>2034</v>
      </c>
      <c r="B1947" s="50" t="s">
        <v>1794</v>
      </c>
      <c r="C1947" s="50" t="s">
        <v>256</v>
      </c>
      <c r="D1947" s="50">
        <v>50</v>
      </c>
      <c r="E1947" s="50" t="s">
        <v>1957</v>
      </c>
      <c r="F1947" s="50" t="s">
        <v>1276</v>
      </c>
      <c r="G1947" s="50" t="s">
        <v>256</v>
      </c>
      <c r="H1947" s="50">
        <v>1000</v>
      </c>
      <c r="M1947" t="str">
        <f>IF(COUNTIF($A:$A,E1947)=0,"Not Exists","Exists")</f>
        <v>Not Exists</v>
      </c>
      <c r="N1947" t="str">
        <f t="shared" ref="N1947:N2010" si="97">IF(COUNTIF($A:$B,F1947)=0,"Not Exists","Exists")</f>
        <v>Not Exists</v>
      </c>
      <c r="O1947" t="str">
        <f t="shared" si="95"/>
        <v>Not Exists</v>
      </c>
      <c r="P1947" t="str">
        <f t="shared" si="96"/>
        <v>Exists</v>
      </c>
    </row>
    <row r="1948" spans="1:16">
      <c r="A1948" s="50" t="s">
        <v>2034</v>
      </c>
      <c r="B1948" s="50" t="s">
        <v>1801</v>
      </c>
      <c r="C1948" s="50" t="s">
        <v>256</v>
      </c>
      <c r="D1948" s="50">
        <v>50</v>
      </c>
      <c r="E1948" s="50" t="s">
        <v>1957</v>
      </c>
      <c r="F1948" s="50" t="s">
        <v>1278</v>
      </c>
      <c r="G1948" s="50" t="s">
        <v>256</v>
      </c>
      <c r="H1948" s="50">
        <v>1000</v>
      </c>
      <c r="M1948" t="str">
        <f>IF(COUNTIF($A:$A,E1948)=0,"Not Exists","Exists")</f>
        <v>Not Exists</v>
      </c>
      <c r="N1948" t="str">
        <f t="shared" si="97"/>
        <v>Not Exists</v>
      </c>
      <c r="O1948" t="str">
        <f t="shared" si="95"/>
        <v>Not Exists</v>
      </c>
      <c r="P1948" t="str">
        <f t="shared" si="96"/>
        <v>Exists</v>
      </c>
    </row>
    <row r="1949" spans="1:16">
      <c r="A1949" s="50" t="s">
        <v>2034</v>
      </c>
      <c r="B1949" s="50" t="s">
        <v>1803</v>
      </c>
      <c r="C1949" s="50" t="s">
        <v>251</v>
      </c>
      <c r="D1949" s="50">
        <v>1</v>
      </c>
      <c r="E1949" s="50" t="s">
        <v>1957</v>
      </c>
      <c r="F1949" s="50" t="s">
        <v>1280</v>
      </c>
      <c r="G1949" s="50" t="s">
        <v>256</v>
      </c>
      <c r="H1949" s="50">
        <v>1000</v>
      </c>
      <c r="M1949" t="str">
        <f>IF(COUNTIF($A:$A,E1949)=0,"Not Exists","Exists")</f>
        <v>Not Exists</v>
      </c>
      <c r="N1949" t="str">
        <f t="shared" si="97"/>
        <v>Not Exists</v>
      </c>
      <c r="O1949" t="str">
        <f t="shared" si="95"/>
        <v>Not Exists</v>
      </c>
      <c r="P1949" t="str">
        <f t="shared" si="96"/>
        <v>Exists</v>
      </c>
    </row>
    <row r="1950" spans="1:16">
      <c r="A1950" s="50" t="s">
        <v>2034</v>
      </c>
      <c r="B1950" s="50" t="s">
        <v>1804</v>
      </c>
      <c r="C1950" s="50" t="s">
        <v>251</v>
      </c>
      <c r="D1950" s="50">
        <v>1</v>
      </c>
      <c r="E1950" s="50" t="s">
        <v>1957</v>
      </c>
      <c r="F1950" s="50" t="s">
        <v>1282</v>
      </c>
      <c r="G1950" s="50" t="s">
        <v>256</v>
      </c>
      <c r="H1950" s="50">
        <v>1000</v>
      </c>
      <c r="M1950" t="str">
        <f>IF(COUNTIF($A:$A,E1950)=0,"Not Exists","Exists")</f>
        <v>Not Exists</v>
      </c>
      <c r="N1950" t="str">
        <f t="shared" si="97"/>
        <v>Not Exists</v>
      </c>
      <c r="O1950" t="str">
        <f t="shared" si="95"/>
        <v>Not Exists</v>
      </c>
      <c r="P1950" t="str">
        <f t="shared" si="96"/>
        <v>Exists</v>
      </c>
    </row>
    <row r="1951" spans="1:16">
      <c r="A1951" s="50" t="s">
        <v>2034</v>
      </c>
      <c r="B1951" s="50" t="s">
        <v>1805</v>
      </c>
      <c r="C1951" s="50" t="s">
        <v>251</v>
      </c>
      <c r="D1951" s="50">
        <v>1</v>
      </c>
      <c r="E1951" s="50" t="s">
        <v>1957</v>
      </c>
      <c r="F1951" s="50" t="s">
        <v>1284</v>
      </c>
      <c r="G1951" s="50" t="s">
        <v>256</v>
      </c>
      <c r="H1951" s="50">
        <v>1000</v>
      </c>
      <c r="M1951" t="str">
        <f>IF(COUNTIF($A:$A,E1951)=0,"Not Exists","Exists")</f>
        <v>Not Exists</v>
      </c>
      <c r="N1951" t="str">
        <f t="shared" si="97"/>
        <v>Not Exists</v>
      </c>
      <c r="O1951" t="str">
        <f t="shared" si="95"/>
        <v>Not Exists</v>
      </c>
      <c r="P1951" t="str">
        <f t="shared" si="96"/>
        <v>Exists</v>
      </c>
    </row>
    <row r="1952" spans="1:16">
      <c r="A1952" s="50" t="s">
        <v>2034</v>
      </c>
      <c r="B1952" s="50" t="s">
        <v>1808</v>
      </c>
      <c r="C1952" s="50" t="s">
        <v>251</v>
      </c>
      <c r="D1952" s="50">
        <v>1</v>
      </c>
      <c r="E1952" s="50" t="s">
        <v>1957</v>
      </c>
      <c r="F1952" s="50" t="s">
        <v>1286</v>
      </c>
      <c r="G1952" s="50" t="s">
        <v>256</v>
      </c>
      <c r="H1952" s="50">
        <v>1000</v>
      </c>
      <c r="M1952" t="str">
        <f>IF(COUNTIF($A:$A,E1952)=0,"Not Exists","Exists")</f>
        <v>Not Exists</v>
      </c>
      <c r="N1952" t="str">
        <f t="shared" si="97"/>
        <v>Not Exists</v>
      </c>
      <c r="O1952" t="str">
        <f t="shared" si="95"/>
        <v>Not Exists</v>
      </c>
      <c r="P1952" t="str">
        <f t="shared" si="96"/>
        <v>Exists</v>
      </c>
    </row>
    <row r="1953" spans="1:16">
      <c r="A1953" s="50" t="s">
        <v>2034</v>
      </c>
      <c r="B1953" s="50" t="s">
        <v>1806</v>
      </c>
      <c r="C1953" s="50" t="s">
        <v>256</v>
      </c>
      <c r="D1953" s="50">
        <v>50</v>
      </c>
      <c r="E1953" s="50" t="s">
        <v>1957</v>
      </c>
      <c r="F1953" s="50" t="s">
        <v>1288</v>
      </c>
      <c r="G1953" s="50" t="s">
        <v>256</v>
      </c>
      <c r="H1953" s="50">
        <v>1000</v>
      </c>
      <c r="M1953" t="str">
        <f>IF(COUNTIF($A:$A,E1953)=0,"Not Exists","Exists")</f>
        <v>Not Exists</v>
      </c>
      <c r="N1953" t="str">
        <f t="shared" si="97"/>
        <v>Not Exists</v>
      </c>
      <c r="O1953" t="str">
        <f t="shared" si="95"/>
        <v>Not Exists</v>
      </c>
      <c r="P1953" t="str">
        <f t="shared" si="96"/>
        <v>Exists</v>
      </c>
    </row>
    <row r="1954" spans="1:16">
      <c r="A1954" s="50" t="s">
        <v>2034</v>
      </c>
      <c r="B1954" s="50" t="s">
        <v>1807</v>
      </c>
      <c r="C1954" s="50" t="s">
        <v>256</v>
      </c>
      <c r="D1954" s="50">
        <v>50</v>
      </c>
      <c r="E1954" s="50" t="s">
        <v>1957</v>
      </c>
      <c r="F1954" s="50" t="s">
        <v>1290</v>
      </c>
      <c r="G1954" s="50" t="s">
        <v>256</v>
      </c>
      <c r="H1954" s="50">
        <v>1000</v>
      </c>
      <c r="M1954" t="str">
        <f>IF(COUNTIF($A:$A,E1954)=0,"Not Exists","Exists")</f>
        <v>Not Exists</v>
      </c>
      <c r="N1954" t="str">
        <f t="shared" si="97"/>
        <v>Not Exists</v>
      </c>
      <c r="O1954" t="str">
        <f t="shared" si="95"/>
        <v>Not Exists</v>
      </c>
      <c r="P1954" t="str">
        <f t="shared" si="96"/>
        <v>Exists</v>
      </c>
    </row>
    <row r="1955" spans="1:16">
      <c r="A1955" s="50" t="s">
        <v>2035</v>
      </c>
      <c r="B1955" s="50" t="s">
        <v>378</v>
      </c>
      <c r="C1955" s="50" t="s">
        <v>256</v>
      </c>
      <c r="D1955" s="50">
        <v>50</v>
      </c>
      <c r="E1955" s="50" t="s">
        <v>1957</v>
      </c>
      <c r="F1955" s="50" t="s">
        <v>1292</v>
      </c>
      <c r="G1955" s="50" t="s">
        <v>256</v>
      </c>
      <c r="H1955" s="50">
        <v>1000</v>
      </c>
      <c r="M1955" t="str">
        <f>IF(COUNTIF($A:$A,E1955)=0,"Not Exists","Exists")</f>
        <v>Not Exists</v>
      </c>
      <c r="N1955" t="str">
        <f t="shared" si="97"/>
        <v>Not Exists</v>
      </c>
      <c r="O1955" t="str">
        <f t="shared" si="95"/>
        <v>Not Exists</v>
      </c>
      <c r="P1955" t="str">
        <f t="shared" si="96"/>
        <v>Not Exists</v>
      </c>
    </row>
    <row r="1956" spans="1:16">
      <c r="A1956" s="50" t="s">
        <v>2035</v>
      </c>
      <c r="B1956" s="50" t="s">
        <v>436</v>
      </c>
      <c r="C1956" s="50" t="s">
        <v>256</v>
      </c>
      <c r="D1956" s="50">
        <v>50</v>
      </c>
      <c r="E1956" s="50" t="s">
        <v>1957</v>
      </c>
      <c r="F1956" s="50" t="s">
        <v>1294</v>
      </c>
      <c r="G1956" s="50" t="s">
        <v>256</v>
      </c>
      <c r="H1956" s="50">
        <v>1000</v>
      </c>
      <c r="M1956" t="str">
        <f>IF(COUNTIF($A:$A,E1956)=0,"Not Exists","Exists")</f>
        <v>Not Exists</v>
      </c>
      <c r="N1956" t="str">
        <f t="shared" si="97"/>
        <v>Not Exists</v>
      </c>
      <c r="O1956" t="str">
        <f t="shared" si="95"/>
        <v>Not Exists</v>
      </c>
      <c r="P1956" t="str">
        <f t="shared" si="96"/>
        <v>Not Exists</v>
      </c>
    </row>
    <row r="1957" spans="1:16">
      <c r="A1957" s="50" t="s">
        <v>2035</v>
      </c>
      <c r="B1957" s="50" t="s">
        <v>430</v>
      </c>
      <c r="C1957" s="50" t="s">
        <v>256</v>
      </c>
      <c r="D1957" s="50">
        <v>50</v>
      </c>
      <c r="E1957" s="50" t="s">
        <v>1957</v>
      </c>
      <c r="F1957" s="50" t="s">
        <v>1296</v>
      </c>
      <c r="G1957" s="50" t="s">
        <v>256</v>
      </c>
      <c r="H1957" s="50">
        <v>1000</v>
      </c>
      <c r="M1957" t="str">
        <f>IF(COUNTIF($A:$A,E1957)=0,"Not Exists","Exists")</f>
        <v>Not Exists</v>
      </c>
      <c r="N1957" t="str">
        <f t="shared" si="97"/>
        <v>Not Exists</v>
      </c>
      <c r="O1957" t="str">
        <f t="shared" si="95"/>
        <v>Not Exists</v>
      </c>
      <c r="P1957" t="str">
        <f t="shared" si="96"/>
        <v>Exists</v>
      </c>
    </row>
    <row r="1958" spans="1:16">
      <c r="A1958" s="50" t="s">
        <v>2035</v>
      </c>
      <c r="B1958" s="50" t="s">
        <v>1828</v>
      </c>
      <c r="C1958" s="50" t="s">
        <v>256</v>
      </c>
      <c r="D1958" s="50">
        <v>50</v>
      </c>
      <c r="E1958" s="50" t="s">
        <v>1957</v>
      </c>
      <c r="F1958" s="50" t="s">
        <v>1298</v>
      </c>
      <c r="G1958" s="50" t="s">
        <v>256</v>
      </c>
      <c r="H1958" s="50">
        <v>1000</v>
      </c>
      <c r="M1958" t="str">
        <f>IF(COUNTIF($A:$A,E1958)=0,"Not Exists","Exists")</f>
        <v>Not Exists</v>
      </c>
      <c r="N1958" t="str">
        <f t="shared" si="97"/>
        <v>Not Exists</v>
      </c>
      <c r="O1958" t="str">
        <f t="shared" si="95"/>
        <v>Not Exists</v>
      </c>
      <c r="P1958" t="str">
        <f t="shared" si="96"/>
        <v>Exists</v>
      </c>
    </row>
    <row r="1959" spans="1:16">
      <c r="A1959" s="50" t="s">
        <v>2035</v>
      </c>
      <c r="B1959" s="50" t="s">
        <v>1858</v>
      </c>
      <c r="C1959" s="50" t="s">
        <v>256</v>
      </c>
      <c r="D1959" s="50">
        <v>50</v>
      </c>
      <c r="E1959" s="50" t="s">
        <v>1957</v>
      </c>
      <c r="F1959" s="50" t="s">
        <v>1300</v>
      </c>
      <c r="G1959" s="50" t="s">
        <v>256</v>
      </c>
      <c r="H1959" s="50">
        <v>20</v>
      </c>
      <c r="M1959" t="str">
        <f>IF(COUNTIF($A:$A,E1959)=0,"Not Exists","Exists")</f>
        <v>Not Exists</v>
      </c>
      <c r="N1959" t="str">
        <f t="shared" si="97"/>
        <v>Not Exists</v>
      </c>
      <c r="O1959" t="str">
        <f t="shared" si="95"/>
        <v>Not Exists</v>
      </c>
      <c r="P1959" t="str">
        <f t="shared" si="96"/>
        <v>Exists</v>
      </c>
    </row>
    <row r="1960" spans="1:16">
      <c r="A1960" s="50" t="s">
        <v>2035</v>
      </c>
      <c r="B1960" s="50" t="s">
        <v>2036</v>
      </c>
      <c r="C1960" s="50" t="s">
        <v>256</v>
      </c>
      <c r="D1960" s="50">
        <v>3000</v>
      </c>
      <c r="E1960" s="50" t="s">
        <v>1957</v>
      </c>
      <c r="F1960" s="50" t="s">
        <v>1302</v>
      </c>
      <c r="G1960" s="50" t="s">
        <v>256</v>
      </c>
      <c r="H1960" s="50">
        <v>200</v>
      </c>
      <c r="M1960" t="str">
        <f>IF(COUNTIF($A:$A,E1960)=0,"Not Exists","Exists")</f>
        <v>Not Exists</v>
      </c>
      <c r="N1960" t="str">
        <f t="shared" si="97"/>
        <v>Not Exists</v>
      </c>
      <c r="O1960" t="str">
        <f t="shared" si="95"/>
        <v>Not Exists</v>
      </c>
      <c r="P1960" t="str">
        <f t="shared" si="96"/>
        <v>Not Exists</v>
      </c>
    </row>
    <row r="1961" spans="1:16">
      <c r="A1961" s="50" t="s">
        <v>2035</v>
      </c>
      <c r="B1961" s="50" t="s">
        <v>2037</v>
      </c>
      <c r="C1961" s="50" t="s">
        <v>251</v>
      </c>
      <c r="D1961" s="50">
        <v>1</v>
      </c>
      <c r="E1961" s="50" t="s">
        <v>1957</v>
      </c>
      <c r="F1961" s="50" t="s">
        <v>1304</v>
      </c>
      <c r="G1961" s="50" t="s">
        <v>254</v>
      </c>
      <c r="H1961" s="50">
        <v>22</v>
      </c>
      <c r="M1961" t="str">
        <f>IF(COUNTIF($A:$A,E1961)=0,"Not Exists","Exists")</f>
        <v>Not Exists</v>
      </c>
      <c r="N1961" t="str">
        <f t="shared" si="97"/>
        <v>Not Exists</v>
      </c>
      <c r="O1961" t="str">
        <f t="shared" si="95"/>
        <v>Not Exists</v>
      </c>
      <c r="P1961" t="str">
        <f t="shared" si="96"/>
        <v>Not Exists</v>
      </c>
    </row>
    <row r="1962" spans="1:16">
      <c r="A1962" s="50" t="s">
        <v>2035</v>
      </c>
      <c r="B1962" s="50" t="s">
        <v>2038</v>
      </c>
      <c r="C1962" s="50" t="s">
        <v>254</v>
      </c>
      <c r="D1962" s="50">
        <v>22</v>
      </c>
      <c r="E1962" s="50" t="s">
        <v>1957</v>
      </c>
      <c r="F1962" s="50" t="s">
        <v>1306</v>
      </c>
      <c r="G1962" s="50" t="s">
        <v>256</v>
      </c>
      <c r="H1962" s="50">
        <v>9</v>
      </c>
      <c r="M1962" t="str">
        <f>IF(COUNTIF($A:$A,E1962)=0,"Not Exists","Exists")</f>
        <v>Not Exists</v>
      </c>
      <c r="N1962" t="str">
        <f t="shared" si="97"/>
        <v>Not Exists</v>
      </c>
      <c r="O1962" t="str">
        <f t="shared" si="95"/>
        <v>Not Exists</v>
      </c>
      <c r="P1962" t="str">
        <f t="shared" si="96"/>
        <v>Not Exists</v>
      </c>
    </row>
    <row r="1963" spans="1:16">
      <c r="A1963" s="50" t="s">
        <v>2039</v>
      </c>
      <c r="B1963" s="50" t="s">
        <v>378</v>
      </c>
      <c r="C1963" s="50" t="s">
        <v>256</v>
      </c>
      <c r="D1963" s="50">
        <v>50</v>
      </c>
      <c r="E1963" s="50" t="s">
        <v>1957</v>
      </c>
      <c r="F1963" s="50" t="s">
        <v>1308</v>
      </c>
      <c r="G1963" s="50" t="s">
        <v>256</v>
      </c>
      <c r="H1963" s="50">
        <v>200</v>
      </c>
      <c r="M1963" t="str">
        <f>IF(COUNTIF($A:$A,E1963)=0,"Not Exists","Exists")</f>
        <v>Not Exists</v>
      </c>
      <c r="N1963" t="str">
        <f t="shared" si="97"/>
        <v>Not Exists</v>
      </c>
      <c r="O1963" t="str">
        <f t="shared" si="95"/>
        <v>Not Exists</v>
      </c>
      <c r="P1963" t="str">
        <f t="shared" si="96"/>
        <v>Not Exists</v>
      </c>
    </row>
    <row r="1964" spans="1:16">
      <c r="A1964" s="50" t="s">
        <v>2039</v>
      </c>
      <c r="B1964" s="50" t="s">
        <v>436</v>
      </c>
      <c r="C1964" s="50" t="s">
        <v>256</v>
      </c>
      <c r="D1964" s="50">
        <v>50</v>
      </c>
      <c r="E1964" s="50" t="s">
        <v>1957</v>
      </c>
      <c r="F1964" s="50" t="s">
        <v>1310</v>
      </c>
      <c r="G1964" s="50" t="s">
        <v>254</v>
      </c>
      <c r="H1964" s="50">
        <v>22</v>
      </c>
      <c r="M1964" t="str">
        <f>IF(COUNTIF($A:$A,E1964)=0,"Not Exists","Exists")</f>
        <v>Not Exists</v>
      </c>
      <c r="N1964" t="str">
        <f t="shared" si="97"/>
        <v>Not Exists</v>
      </c>
      <c r="O1964" t="str">
        <f t="shared" si="95"/>
        <v>Not Exists</v>
      </c>
      <c r="P1964" t="str">
        <f t="shared" si="96"/>
        <v>Not Exists</v>
      </c>
    </row>
    <row r="1965" spans="1:16">
      <c r="A1965" s="50" t="s">
        <v>2039</v>
      </c>
      <c r="B1965" s="50" t="s">
        <v>430</v>
      </c>
      <c r="C1965" s="50" t="s">
        <v>256</v>
      </c>
      <c r="D1965" s="50">
        <v>50</v>
      </c>
      <c r="E1965" s="50" t="s">
        <v>1957</v>
      </c>
      <c r="F1965" s="50" t="s">
        <v>1312</v>
      </c>
      <c r="G1965" s="50" t="s">
        <v>256</v>
      </c>
      <c r="H1965" s="50">
        <v>9</v>
      </c>
      <c r="M1965" t="str">
        <f>IF(COUNTIF($A:$A,E1965)=0,"Not Exists","Exists")</f>
        <v>Not Exists</v>
      </c>
      <c r="N1965" t="str">
        <f t="shared" si="97"/>
        <v>Not Exists</v>
      </c>
      <c r="O1965" t="str">
        <f t="shared" si="95"/>
        <v>Not Exists</v>
      </c>
      <c r="P1965" t="str">
        <f t="shared" si="96"/>
        <v>Exists</v>
      </c>
    </row>
    <row r="1966" spans="1:16">
      <c r="A1966" s="50" t="s">
        <v>2039</v>
      </c>
      <c r="B1966" s="50" t="s">
        <v>2012</v>
      </c>
      <c r="C1966" s="50" t="s">
        <v>256</v>
      </c>
      <c r="D1966" s="50">
        <v>50</v>
      </c>
      <c r="E1966" s="50" t="s">
        <v>1957</v>
      </c>
      <c r="F1966" s="50" t="s">
        <v>1314</v>
      </c>
      <c r="G1966" s="50" t="s">
        <v>256</v>
      </c>
      <c r="H1966" s="50">
        <v>200</v>
      </c>
      <c r="M1966" t="str">
        <f>IF(COUNTIF($A:$A,E1966)=0,"Not Exists","Exists")</f>
        <v>Not Exists</v>
      </c>
      <c r="N1966" t="str">
        <f t="shared" si="97"/>
        <v>Not Exists</v>
      </c>
      <c r="O1966" t="str">
        <f t="shared" si="95"/>
        <v>Not Exists</v>
      </c>
      <c r="P1966" t="str">
        <f t="shared" si="96"/>
        <v>Not Exists</v>
      </c>
    </row>
    <row r="1967" spans="1:16">
      <c r="A1967" s="50" t="s">
        <v>2039</v>
      </c>
      <c r="B1967" s="50" t="s">
        <v>2040</v>
      </c>
      <c r="C1967" s="50" t="s">
        <v>254</v>
      </c>
      <c r="D1967" s="50">
        <v>22</v>
      </c>
      <c r="E1967" s="50" t="s">
        <v>1957</v>
      </c>
      <c r="F1967" s="50" t="s">
        <v>1316</v>
      </c>
      <c r="G1967" s="50" t="s">
        <v>254</v>
      </c>
      <c r="H1967" s="50">
        <v>22</v>
      </c>
      <c r="M1967" t="str">
        <f>IF(COUNTIF($A:$A,E1967)=0,"Not Exists","Exists")</f>
        <v>Not Exists</v>
      </c>
      <c r="N1967" t="str">
        <f t="shared" si="97"/>
        <v>Not Exists</v>
      </c>
      <c r="O1967" t="str">
        <f t="shared" si="95"/>
        <v>Not Exists</v>
      </c>
      <c r="P1967" t="str">
        <f t="shared" si="96"/>
        <v>Not Exists</v>
      </c>
    </row>
    <row r="1968" spans="1:16">
      <c r="A1968" s="50" t="s">
        <v>2039</v>
      </c>
      <c r="B1968" s="50" t="s">
        <v>2041</v>
      </c>
      <c r="C1968" s="50" t="s">
        <v>256</v>
      </c>
      <c r="D1968" s="50">
        <v>50</v>
      </c>
      <c r="E1968" s="50" t="s">
        <v>1957</v>
      </c>
      <c r="F1968" s="50" t="s">
        <v>1318</v>
      </c>
      <c r="G1968" s="50" t="s">
        <v>256</v>
      </c>
      <c r="H1968" s="50">
        <v>9</v>
      </c>
      <c r="M1968" t="str">
        <f>IF(COUNTIF($A:$A,E1968)=0,"Not Exists","Exists")</f>
        <v>Not Exists</v>
      </c>
      <c r="N1968" t="str">
        <f t="shared" si="97"/>
        <v>Not Exists</v>
      </c>
      <c r="O1968" t="str">
        <f t="shared" si="95"/>
        <v>Not Exists</v>
      </c>
      <c r="P1968" t="str">
        <f t="shared" si="96"/>
        <v>Not Exists</v>
      </c>
    </row>
    <row r="1969" spans="1:16">
      <c r="A1969" s="50" t="s">
        <v>2039</v>
      </c>
      <c r="B1969" s="50" t="s">
        <v>2042</v>
      </c>
      <c r="C1969" s="50" t="s">
        <v>256</v>
      </c>
      <c r="D1969" s="50">
        <v>450</v>
      </c>
      <c r="E1969" s="50" t="s">
        <v>1957</v>
      </c>
      <c r="F1969" s="50" t="s">
        <v>1320</v>
      </c>
      <c r="G1969" s="50" t="s">
        <v>256</v>
      </c>
      <c r="H1969" s="50">
        <v>200</v>
      </c>
      <c r="M1969" t="str">
        <f>IF(COUNTIF($A:$A,E1969)=0,"Not Exists","Exists")</f>
        <v>Not Exists</v>
      </c>
      <c r="N1969" t="str">
        <f t="shared" si="97"/>
        <v>Not Exists</v>
      </c>
      <c r="O1969" t="str">
        <f t="shared" si="95"/>
        <v>Not Exists</v>
      </c>
      <c r="P1969" t="str">
        <f t="shared" si="96"/>
        <v>Not Exists</v>
      </c>
    </row>
    <row r="1970" spans="1:16">
      <c r="A1970" s="50" t="s">
        <v>2039</v>
      </c>
      <c r="B1970" s="50" t="s">
        <v>2043</v>
      </c>
      <c r="C1970" s="50" t="s">
        <v>256</v>
      </c>
      <c r="D1970" s="50">
        <v>50</v>
      </c>
      <c r="E1970" s="50" t="s">
        <v>1957</v>
      </c>
      <c r="F1970" s="50" t="s">
        <v>1322</v>
      </c>
      <c r="G1970" s="50" t="s">
        <v>254</v>
      </c>
      <c r="H1970" s="50">
        <v>22</v>
      </c>
      <c r="M1970" t="str">
        <f>IF(COUNTIF($A:$A,E1970)=0,"Not Exists","Exists")</f>
        <v>Not Exists</v>
      </c>
      <c r="N1970" t="str">
        <f t="shared" si="97"/>
        <v>Not Exists</v>
      </c>
      <c r="O1970" t="str">
        <f t="shared" si="95"/>
        <v>Not Exists</v>
      </c>
      <c r="P1970" t="str">
        <f t="shared" si="96"/>
        <v>Not Exists</v>
      </c>
    </row>
    <row r="1971" spans="1:16">
      <c r="A1971" s="50" t="s">
        <v>2039</v>
      </c>
      <c r="B1971" s="50" t="s">
        <v>2044</v>
      </c>
      <c r="C1971" s="50" t="s">
        <v>256</v>
      </c>
      <c r="D1971" s="50">
        <v>50</v>
      </c>
      <c r="E1971" s="50" t="s">
        <v>1957</v>
      </c>
      <c r="F1971" s="50" t="s">
        <v>1324</v>
      </c>
      <c r="G1971" s="50" t="s">
        <v>256</v>
      </c>
      <c r="H1971" s="50">
        <v>9</v>
      </c>
      <c r="M1971" t="str">
        <f>IF(COUNTIF($A:$A,E1971)=0,"Not Exists","Exists")</f>
        <v>Not Exists</v>
      </c>
      <c r="N1971" t="str">
        <f t="shared" si="97"/>
        <v>Not Exists</v>
      </c>
      <c r="O1971" t="str">
        <f t="shared" si="95"/>
        <v>Not Exists</v>
      </c>
      <c r="P1971" t="str">
        <f t="shared" si="96"/>
        <v>Not Exists</v>
      </c>
    </row>
    <row r="1972" spans="1:16">
      <c r="A1972" s="50" t="s">
        <v>2039</v>
      </c>
      <c r="B1972" s="50" t="s">
        <v>2045</v>
      </c>
      <c r="C1972" s="50" t="s">
        <v>256</v>
      </c>
      <c r="D1972" s="50">
        <v>50</v>
      </c>
      <c r="E1972" s="50" t="s">
        <v>1957</v>
      </c>
      <c r="F1972" s="50" t="s">
        <v>1326</v>
      </c>
      <c r="G1972" s="50" t="s">
        <v>256</v>
      </c>
      <c r="H1972" s="50">
        <v>200</v>
      </c>
      <c r="M1972" t="str">
        <f>IF(COUNTIF($A:$A,E1972)=0,"Not Exists","Exists")</f>
        <v>Not Exists</v>
      </c>
      <c r="N1972" t="str">
        <f t="shared" si="97"/>
        <v>Not Exists</v>
      </c>
      <c r="O1972" t="str">
        <f t="shared" si="95"/>
        <v>Not Exists</v>
      </c>
      <c r="P1972" t="str">
        <f t="shared" si="96"/>
        <v>Not Exists</v>
      </c>
    </row>
    <row r="1973" spans="1:16">
      <c r="A1973" s="50" t="s">
        <v>2039</v>
      </c>
      <c r="B1973" s="50" t="s">
        <v>1824</v>
      </c>
      <c r="C1973" s="50" t="s">
        <v>256</v>
      </c>
      <c r="D1973" s="50">
        <v>450</v>
      </c>
      <c r="E1973" s="50" t="s">
        <v>1957</v>
      </c>
      <c r="F1973" s="50" t="s">
        <v>1328</v>
      </c>
      <c r="G1973" s="50" t="s">
        <v>254</v>
      </c>
      <c r="H1973" s="50">
        <v>22</v>
      </c>
      <c r="M1973" t="str">
        <f>IF(COUNTIF($A:$A,E1973)=0,"Not Exists","Exists")</f>
        <v>Not Exists</v>
      </c>
      <c r="N1973" t="str">
        <f t="shared" si="97"/>
        <v>Not Exists</v>
      </c>
      <c r="O1973" t="str">
        <f t="shared" si="95"/>
        <v>Not Exists</v>
      </c>
      <c r="P1973" t="str">
        <f t="shared" si="96"/>
        <v>Exists</v>
      </c>
    </row>
    <row r="1974" spans="1:16">
      <c r="A1974" s="50" t="s">
        <v>2039</v>
      </c>
      <c r="B1974" s="50" t="s">
        <v>1825</v>
      </c>
      <c r="C1974" s="50" t="s">
        <v>256</v>
      </c>
      <c r="D1974" s="50">
        <v>450</v>
      </c>
      <c r="E1974" s="50" t="s">
        <v>1957</v>
      </c>
      <c r="F1974" s="50" t="s">
        <v>1330</v>
      </c>
      <c r="G1974" s="50" t="s">
        <v>256</v>
      </c>
      <c r="H1974" s="50">
        <v>9</v>
      </c>
      <c r="M1974" t="str">
        <f>IF(COUNTIF($A:$A,E1974)=0,"Not Exists","Exists")</f>
        <v>Not Exists</v>
      </c>
      <c r="N1974" t="str">
        <f t="shared" si="97"/>
        <v>Not Exists</v>
      </c>
      <c r="O1974" t="str">
        <f t="shared" si="95"/>
        <v>Not Exists</v>
      </c>
      <c r="P1974" t="str">
        <f t="shared" si="96"/>
        <v>Exists</v>
      </c>
    </row>
    <row r="1975" spans="1:16">
      <c r="A1975">
        <v>1</v>
      </c>
      <c r="B1975">
        <v>1</v>
      </c>
      <c r="C1975">
        <v>1</v>
      </c>
      <c r="D1975">
        <v>1</v>
      </c>
      <c r="E1975" s="50" t="s">
        <v>1957</v>
      </c>
      <c r="F1975" s="50" t="s">
        <v>1332</v>
      </c>
      <c r="G1975" s="50" t="s">
        <v>256</v>
      </c>
      <c r="H1975" s="50">
        <v>200</v>
      </c>
      <c r="M1975" t="str">
        <f>IF(COUNTIF($A:$A,E1975)=0,"Not Exists","Exists")</f>
        <v>Not Exists</v>
      </c>
      <c r="N1975" t="str">
        <f t="shared" si="97"/>
        <v>Not Exists</v>
      </c>
      <c r="O1975" t="str">
        <f t="shared" si="95"/>
        <v>Not Exists</v>
      </c>
      <c r="P1975" t="str">
        <f t="shared" si="96"/>
        <v>Not Exists</v>
      </c>
    </row>
    <row r="1976" spans="1:16">
      <c r="A1976">
        <v>1</v>
      </c>
      <c r="B1976">
        <v>1</v>
      </c>
      <c r="C1976">
        <v>1</v>
      </c>
      <c r="D1976">
        <v>1</v>
      </c>
      <c r="E1976" s="50" t="s">
        <v>1957</v>
      </c>
      <c r="F1976" s="50" t="s">
        <v>1334</v>
      </c>
      <c r="G1976" s="50" t="s">
        <v>254</v>
      </c>
      <c r="H1976" s="50">
        <v>22</v>
      </c>
      <c r="M1976" t="str">
        <f>IF(COUNTIF($A:$A,E1976)=0,"Not Exists","Exists")</f>
        <v>Not Exists</v>
      </c>
      <c r="N1976" t="str">
        <f t="shared" si="97"/>
        <v>Not Exists</v>
      </c>
      <c r="O1976" t="str">
        <f t="shared" si="95"/>
        <v>Not Exists</v>
      </c>
      <c r="P1976" t="str">
        <f t="shared" si="96"/>
        <v>Not Exists</v>
      </c>
    </row>
    <row r="1977" spans="1:16">
      <c r="A1977">
        <v>1</v>
      </c>
      <c r="B1977">
        <v>1</v>
      </c>
      <c r="C1977">
        <v>1</v>
      </c>
      <c r="D1977">
        <v>1</v>
      </c>
      <c r="E1977" s="50" t="s">
        <v>1957</v>
      </c>
      <c r="F1977" s="50" t="s">
        <v>1336</v>
      </c>
      <c r="G1977" s="50" t="s">
        <v>256</v>
      </c>
      <c r="H1977" s="50">
        <v>9</v>
      </c>
      <c r="M1977" t="str">
        <f>IF(COUNTIF($A:$A,E1977)=0,"Not Exists","Exists")</f>
        <v>Not Exists</v>
      </c>
      <c r="N1977" t="str">
        <f t="shared" si="97"/>
        <v>Not Exists</v>
      </c>
      <c r="O1977" t="str">
        <f t="shared" si="95"/>
        <v>Not Exists</v>
      </c>
      <c r="P1977" t="str">
        <f t="shared" si="96"/>
        <v>Not Exists</v>
      </c>
    </row>
    <row r="1978" spans="1:16">
      <c r="A1978">
        <v>1</v>
      </c>
      <c r="B1978">
        <v>1</v>
      </c>
      <c r="C1978">
        <v>1</v>
      </c>
      <c r="D1978">
        <v>1</v>
      </c>
      <c r="E1978" s="50" t="s">
        <v>1957</v>
      </c>
      <c r="F1978" s="50" t="s">
        <v>1338</v>
      </c>
      <c r="G1978" s="50" t="s">
        <v>256</v>
      </c>
      <c r="H1978" s="50">
        <v>200</v>
      </c>
      <c r="M1978" t="str">
        <f>IF(COUNTIF($A:$A,E1978)=0,"Not Exists","Exists")</f>
        <v>Not Exists</v>
      </c>
      <c r="N1978" t="str">
        <f t="shared" si="97"/>
        <v>Not Exists</v>
      </c>
      <c r="O1978" t="str">
        <f t="shared" si="95"/>
        <v>Not Exists</v>
      </c>
      <c r="P1978" t="str">
        <f t="shared" si="96"/>
        <v>Not Exists</v>
      </c>
    </row>
    <row r="1979" spans="1:16">
      <c r="A1979">
        <v>1</v>
      </c>
      <c r="B1979">
        <v>1</v>
      </c>
      <c r="C1979">
        <v>1</v>
      </c>
      <c r="D1979">
        <v>1</v>
      </c>
      <c r="E1979" s="50" t="s">
        <v>1957</v>
      </c>
      <c r="F1979" s="50" t="s">
        <v>1340</v>
      </c>
      <c r="G1979" s="50" t="s">
        <v>254</v>
      </c>
      <c r="H1979" s="50">
        <v>22</v>
      </c>
      <c r="M1979" t="str">
        <f>IF(COUNTIF($A:$A,E1979)=0,"Not Exists","Exists")</f>
        <v>Not Exists</v>
      </c>
      <c r="N1979" t="str">
        <f t="shared" si="97"/>
        <v>Not Exists</v>
      </c>
      <c r="O1979" t="str">
        <f t="shared" si="95"/>
        <v>Not Exists</v>
      </c>
      <c r="P1979" t="str">
        <f t="shared" si="96"/>
        <v>Not Exists</v>
      </c>
    </row>
    <row r="1980" spans="1:16">
      <c r="A1980">
        <v>1</v>
      </c>
      <c r="B1980">
        <v>1</v>
      </c>
      <c r="C1980">
        <v>1</v>
      </c>
      <c r="D1980">
        <v>1</v>
      </c>
      <c r="E1980" s="50" t="s">
        <v>1957</v>
      </c>
      <c r="F1980" s="50" t="s">
        <v>1342</v>
      </c>
      <c r="G1980" s="50" t="s">
        <v>256</v>
      </c>
      <c r="H1980" s="50">
        <v>9</v>
      </c>
      <c r="M1980" t="str">
        <f>IF(COUNTIF($A:$A,E1980)=0,"Not Exists","Exists")</f>
        <v>Not Exists</v>
      </c>
      <c r="N1980" t="str">
        <f t="shared" si="97"/>
        <v>Not Exists</v>
      </c>
      <c r="O1980" t="str">
        <f t="shared" si="95"/>
        <v>Not Exists</v>
      </c>
      <c r="P1980" t="str">
        <f t="shared" si="96"/>
        <v>Not Exists</v>
      </c>
    </row>
    <row r="1981" spans="1:16">
      <c r="A1981">
        <v>1</v>
      </c>
      <c r="B1981">
        <v>1</v>
      </c>
      <c r="C1981">
        <v>1</v>
      </c>
      <c r="D1981">
        <v>1</v>
      </c>
      <c r="E1981" s="50" t="s">
        <v>1957</v>
      </c>
      <c r="F1981" s="50" t="s">
        <v>1344</v>
      </c>
      <c r="G1981" s="50" t="s">
        <v>256</v>
      </c>
      <c r="H1981" s="50">
        <v>200</v>
      </c>
      <c r="M1981" t="str">
        <f>IF(COUNTIF($A:$A,E1981)=0,"Not Exists","Exists")</f>
        <v>Not Exists</v>
      </c>
      <c r="N1981" t="str">
        <f t="shared" si="97"/>
        <v>Not Exists</v>
      </c>
      <c r="O1981" t="str">
        <f t="shared" si="95"/>
        <v>Not Exists</v>
      </c>
      <c r="P1981" t="str">
        <f t="shared" si="96"/>
        <v>Not Exists</v>
      </c>
    </row>
    <row r="1982" spans="1:16">
      <c r="A1982">
        <v>1</v>
      </c>
      <c r="B1982">
        <v>1</v>
      </c>
      <c r="C1982">
        <v>1</v>
      </c>
      <c r="D1982">
        <v>1</v>
      </c>
      <c r="E1982" s="50" t="s">
        <v>1957</v>
      </c>
      <c r="F1982" s="50" t="s">
        <v>1346</v>
      </c>
      <c r="G1982" s="50" t="s">
        <v>254</v>
      </c>
      <c r="H1982" s="50">
        <v>22</v>
      </c>
      <c r="M1982" t="str">
        <f>IF(COUNTIF($A:$A,E1982)=0,"Not Exists","Exists")</f>
        <v>Not Exists</v>
      </c>
      <c r="N1982" t="str">
        <f t="shared" si="97"/>
        <v>Not Exists</v>
      </c>
      <c r="O1982" t="str">
        <f t="shared" si="95"/>
        <v>Not Exists</v>
      </c>
      <c r="P1982" t="str">
        <f t="shared" si="96"/>
        <v>Not Exists</v>
      </c>
    </row>
    <row r="1983" spans="1:16">
      <c r="A1983">
        <v>1</v>
      </c>
      <c r="B1983">
        <v>1</v>
      </c>
      <c r="C1983">
        <v>1</v>
      </c>
      <c r="D1983">
        <v>1</v>
      </c>
      <c r="E1983" s="50" t="s">
        <v>1957</v>
      </c>
      <c r="F1983" s="50" t="s">
        <v>1348</v>
      </c>
      <c r="G1983" s="50" t="s">
        <v>256</v>
      </c>
      <c r="H1983" s="50">
        <v>9</v>
      </c>
      <c r="M1983" t="str">
        <f>IF(COUNTIF($A:$A,E1983)=0,"Not Exists","Exists")</f>
        <v>Not Exists</v>
      </c>
      <c r="N1983" t="str">
        <f t="shared" si="97"/>
        <v>Not Exists</v>
      </c>
      <c r="O1983" t="str">
        <f t="shared" si="95"/>
        <v>Not Exists</v>
      </c>
      <c r="P1983" t="str">
        <f t="shared" si="96"/>
        <v>Not Exists</v>
      </c>
    </row>
    <row r="1984" spans="1:16">
      <c r="A1984">
        <v>1</v>
      </c>
      <c r="B1984">
        <v>1</v>
      </c>
      <c r="C1984">
        <v>1</v>
      </c>
      <c r="D1984">
        <v>1</v>
      </c>
      <c r="E1984" s="50" t="s">
        <v>1957</v>
      </c>
      <c r="F1984" s="50" t="s">
        <v>1350</v>
      </c>
      <c r="G1984" s="50" t="s">
        <v>256</v>
      </c>
      <c r="H1984" s="50">
        <v>200</v>
      </c>
      <c r="M1984" t="str">
        <f>IF(COUNTIF($A:$A,E1984)=0,"Not Exists","Exists")</f>
        <v>Not Exists</v>
      </c>
      <c r="N1984" t="str">
        <f t="shared" si="97"/>
        <v>Not Exists</v>
      </c>
      <c r="O1984" t="str">
        <f t="shared" si="95"/>
        <v>Not Exists</v>
      </c>
      <c r="P1984" t="str">
        <f t="shared" si="96"/>
        <v>Not Exists</v>
      </c>
    </row>
    <row r="1985" spans="1:16">
      <c r="A1985">
        <v>1</v>
      </c>
      <c r="B1985">
        <v>1</v>
      </c>
      <c r="C1985">
        <v>1</v>
      </c>
      <c r="D1985">
        <v>1</v>
      </c>
      <c r="E1985" s="50" t="s">
        <v>1957</v>
      </c>
      <c r="F1985" s="50" t="s">
        <v>1353</v>
      </c>
      <c r="G1985" s="50" t="s">
        <v>254</v>
      </c>
      <c r="H1985" s="50">
        <v>22</v>
      </c>
      <c r="M1985" t="str">
        <f>IF(COUNTIF($A:$A,E1985)=0,"Not Exists","Exists")</f>
        <v>Not Exists</v>
      </c>
      <c r="N1985" t="str">
        <f t="shared" si="97"/>
        <v>Not Exists</v>
      </c>
      <c r="O1985" t="str">
        <f t="shared" si="95"/>
        <v>Not Exists</v>
      </c>
      <c r="P1985" t="str">
        <f t="shared" si="96"/>
        <v>Not Exists</v>
      </c>
    </row>
    <row r="1986" spans="1:16">
      <c r="A1986">
        <v>1</v>
      </c>
      <c r="B1986">
        <v>1</v>
      </c>
      <c r="C1986">
        <v>1</v>
      </c>
      <c r="D1986">
        <v>1</v>
      </c>
      <c r="E1986" s="50" t="s">
        <v>1957</v>
      </c>
      <c r="F1986" s="50" t="s">
        <v>1355</v>
      </c>
      <c r="G1986" s="50" t="s">
        <v>256</v>
      </c>
      <c r="H1986" s="50">
        <v>9</v>
      </c>
      <c r="M1986" t="str">
        <f>IF(COUNTIF($A:$A,E1986)=0,"Not Exists","Exists")</f>
        <v>Not Exists</v>
      </c>
      <c r="N1986" t="str">
        <f t="shared" si="97"/>
        <v>Not Exists</v>
      </c>
      <c r="O1986" t="str">
        <f t="shared" si="95"/>
        <v>Not Exists</v>
      </c>
      <c r="P1986" t="str">
        <f t="shared" si="96"/>
        <v>Not Exists</v>
      </c>
    </row>
    <row r="1987" spans="1:16">
      <c r="A1987">
        <v>1</v>
      </c>
      <c r="B1987">
        <v>1</v>
      </c>
      <c r="C1987">
        <v>1</v>
      </c>
      <c r="D1987">
        <v>1</v>
      </c>
      <c r="E1987" s="50" t="s">
        <v>1957</v>
      </c>
      <c r="F1987" s="50" t="s">
        <v>1357</v>
      </c>
      <c r="G1987" s="50" t="s">
        <v>256</v>
      </c>
      <c r="H1987" s="50">
        <v>200</v>
      </c>
      <c r="M1987" t="str">
        <f>IF(COUNTIF($A:$A,E1987)=0,"Not Exists","Exists")</f>
        <v>Not Exists</v>
      </c>
      <c r="N1987" t="str">
        <f t="shared" si="97"/>
        <v>Not Exists</v>
      </c>
      <c r="O1987" t="str">
        <f t="shared" si="95"/>
        <v>Not Exists</v>
      </c>
      <c r="P1987" t="str">
        <f t="shared" si="96"/>
        <v>Not Exists</v>
      </c>
    </row>
    <row r="1988" spans="1:16">
      <c r="A1988">
        <v>1</v>
      </c>
      <c r="B1988">
        <v>1</v>
      </c>
      <c r="C1988">
        <v>1</v>
      </c>
      <c r="D1988">
        <v>1</v>
      </c>
      <c r="E1988" s="50" t="s">
        <v>1957</v>
      </c>
      <c r="F1988" s="50" t="s">
        <v>1359</v>
      </c>
      <c r="G1988" s="50" t="s">
        <v>254</v>
      </c>
      <c r="H1988" s="50">
        <v>22</v>
      </c>
      <c r="M1988" t="str">
        <f>IF(COUNTIF($A:$A,E1988)=0,"Not Exists","Exists")</f>
        <v>Not Exists</v>
      </c>
      <c r="N1988" t="str">
        <f t="shared" si="97"/>
        <v>Not Exists</v>
      </c>
      <c r="O1988" t="str">
        <f t="shared" ref="O1988:O2051" si="98">IF(COUNTIF($E:$E,A1988)=0,"Not Exists","Exists")</f>
        <v>Not Exists</v>
      </c>
      <c r="P1988" t="str">
        <f t="shared" ref="P1988:P2051" si="99">IF(COUNTIF($F:$F,B1988)=0,"Not Exists","Exists")</f>
        <v>Not Exists</v>
      </c>
    </row>
    <row r="1989" spans="1:16">
      <c r="A1989">
        <v>1</v>
      </c>
      <c r="B1989">
        <v>1</v>
      </c>
      <c r="C1989">
        <v>1</v>
      </c>
      <c r="D1989">
        <v>1</v>
      </c>
      <c r="E1989" s="50" t="s">
        <v>1957</v>
      </c>
      <c r="F1989" s="50" t="s">
        <v>1361</v>
      </c>
      <c r="G1989" s="50" t="s">
        <v>256</v>
      </c>
      <c r="H1989" s="50">
        <v>9</v>
      </c>
      <c r="M1989" t="str">
        <f>IF(COUNTIF($A:$A,E1989)=0,"Not Exists","Exists")</f>
        <v>Not Exists</v>
      </c>
      <c r="N1989" t="str">
        <f t="shared" si="97"/>
        <v>Not Exists</v>
      </c>
      <c r="O1989" t="str">
        <f t="shared" si="98"/>
        <v>Not Exists</v>
      </c>
      <c r="P1989" t="str">
        <f t="shared" si="99"/>
        <v>Not Exists</v>
      </c>
    </row>
    <row r="1990" spans="1:16">
      <c r="A1990">
        <v>1</v>
      </c>
      <c r="B1990">
        <v>1</v>
      </c>
      <c r="C1990">
        <v>1</v>
      </c>
      <c r="D1990">
        <v>1</v>
      </c>
      <c r="E1990" s="50" t="s">
        <v>1957</v>
      </c>
      <c r="F1990" s="50" t="s">
        <v>1363</v>
      </c>
      <c r="G1990" s="50" t="s">
        <v>256</v>
      </c>
      <c r="H1990" s="50">
        <v>200</v>
      </c>
      <c r="M1990" t="str">
        <f>IF(COUNTIF($A:$A,E1990)=0,"Not Exists","Exists")</f>
        <v>Not Exists</v>
      </c>
      <c r="N1990" t="str">
        <f t="shared" si="97"/>
        <v>Not Exists</v>
      </c>
      <c r="O1990" t="str">
        <f t="shared" si="98"/>
        <v>Not Exists</v>
      </c>
      <c r="P1990" t="str">
        <f t="shared" si="99"/>
        <v>Not Exists</v>
      </c>
    </row>
    <row r="1991" spans="1:16">
      <c r="A1991">
        <v>1</v>
      </c>
      <c r="B1991">
        <v>1</v>
      </c>
      <c r="C1991">
        <v>1</v>
      </c>
      <c r="D1991">
        <v>1</v>
      </c>
      <c r="E1991" s="50" t="s">
        <v>1957</v>
      </c>
      <c r="F1991" s="50" t="s">
        <v>1365</v>
      </c>
      <c r="G1991" s="50" t="s">
        <v>254</v>
      </c>
      <c r="H1991" s="50">
        <v>22</v>
      </c>
      <c r="M1991" t="str">
        <f>IF(COUNTIF($A:$A,E1991)=0,"Not Exists","Exists")</f>
        <v>Not Exists</v>
      </c>
      <c r="N1991" t="str">
        <f t="shared" si="97"/>
        <v>Not Exists</v>
      </c>
      <c r="O1991" t="str">
        <f t="shared" si="98"/>
        <v>Not Exists</v>
      </c>
      <c r="P1991" t="str">
        <f t="shared" si="99"/>
        <v>Not Exists</v>
      </c>
    </row>
    <row r="1992" spans="1:16">
      <c r="A1992">
        <v>1</v>
      </c>
      <c r="B1992">
        <v>1</v>
      </c>
      <c r="C1992">
        <v>1</v>
      </c>
      <c r="D1992">
        <v>1</v>
      </c>
      <c r="E1992" s="50" t="s">
        <v>1957</v>
      </c>
      <c r="F1992" s="50" t="s">
        <v>1367</v>
      </c>
      <c r="G1992" s="50" t="s">
        <v>256</v>
      </c>
      <c r="H1992" s="50">
        <v>9</v>
      </c>
      <c r="M1992" t="str">
        <f>IF(COUNTIF($A:$A,E1992)=0,"Not Exists","Exists")</f>
        <v>Not Exists</v>
      </c>
      <c r="N1992" t="str">
        <f t="shared" si="97"/>
        <v>Not Exists</v>
      </c>
      <c r="O1992" t="str">
        <f t="shared" si="98"/>
        <v>Not Exists</v>
      </c>
      <c r="P1992" t="str">
        <f t="shared" si="99"/>
        <v>Not Exists</v>
      </c>
    </row>
    <row r="1993" spans="1:16">
      <c r="A1993">
        <v>1</v>
      </c>
      <c r="B1993">
        <v>1</v>
      </c>
      <c r="C1993">
        <v>1</v>
      </c>
      <c r="D1993">
        <v>1</v>
      </c>
      <c r="E1993" s="50" t="s">
        <v>1957</v>
      </c>
      <c r="F1993" s="50" t="s">
        <v>1369</v>
      </c>
      <c r="G1993" s="50" t="s">
        <v>256</v>
      </c>
      <c r="H1993" s="50">
        <v>200</v>
      </c>
      <c r="M1993" t="str">
        <f>IF(COUNTIF($A:$A,E1993)=0,"Not Exists","Exists")</f>
        <v>Not Exists</v>
      </c>
      <c r="N1993" t="str">
        <f t="shared" si="97"/>
        <v>Not Exists</v>
      </c>
      <c r="O1993" t="str">
        <f t="shared" si="98"/>
        <v>Not Exists</v>
      </c>
      <c r="P1993" t="str">
        <f t="shared" si="99"/>
        <v>Not Exists</v>
      </c>
    </row>
    <row r="1994" spans="1:16">
      <c r="A1994">
        <v>1</v>
      </c>
      <c r="B1994">
        <v>1</v>
      </c>
      <c r="C1994">
        <v>1</v>
      </c>
      <c r="D1994">
        <v>1</v>
      </c>
      <c r="E1994" s="50" t="s">
        <v>1957</v>
      </c>
      <c r="F1994" s="50" t="s">
        <v>1371</v>
      </c>
      <c r="G1994" s="50" t="s">
        <v>254</v>
      </c>
      <c r="H1994" s="50">
        <v>22</v>
      </c>
      <c r="M1994" t="str">
        <f>IF(COUNTIF($A:$A,E1994)=0,"Not Exists","Exists")</f>
        <v>Not Exists</v>
      </c>
      <c r="N1994" t="str">
        <f t="shared" si="97"/>
        <v>Not Exists</v>
      </c>
      <c r="O1994" t="str">
        <f t="shared" si="98"/>
        <v>Not Exists</v>
      </c>
      <c r="P1994" t="str">
        <f t="shared" si="99"/>
        <v>Not Exists</v>
      </c>
    </row>
    <row r="1995" spans="1:16">
      <c r="A1995">
        <v>1</v>
      </c>
      <c r="B1995">
        <v>1</v>
      </c>
      <c r="C1995">
        <v>1</v>
      </c>
      <c r="D1995">
        <v>1</v>
      </c>
      <c r="E1995" s="50" t="s">
        <v>1957</v>
      </c>
      <c r="F1995" s="50" t="s">
        <v>1373</v>
      </c>
      <c r="G1995" s="50" t="s">
        <v>256</v>
      </c>
      <c r="H1995" s="50">
        <v>9</v>
      </c>
      <c r="M1995" t="str">
        <f>IF(COUNTIF($A:$A,E1995)=0,"Not Exists","Exists")</f>
        <v>Not Exists</v>
      </c>
      <c r="N1995" t="str">
        <f t="shared" si="97"/>
        <v>Not Exists</v>
      </c>
      <c r="O1995" t="str">
        <f t="shared" si="98"/>
        <v>Not Exists</v>
      </c>
      <c r="P1995" t="str">
        <f t="shared" si="99"/>
        <v>Not Exists</v>
      </c>
    </row>
    <row r="1996" spans="1:16">
      <c r="A1996">
        <v>1</v>
      </c>
      <c r="B1996">
        <v>1</v>
      </c>
      <c r="C1996">
        <v>1</v>
      </c>
      <c r="D1996">
        <v>1</v>
      </c>
      <c r="E1996" s="50" t="s">
        <v>1957</v>
      </c>
      <c r="F1996" s="50" t="s">
        <v>1375</v>
      </c>
      <c r="G1996" s="50" t="s">
        <v>256</v>
      </c>
      <c r="H1996" s="50">
        <v>200</v>
      </c>
      <c r="M1996" t="str">
        <f>IF(COUNTIF($A:$A,E1996)=0,"Not Exists","Exists")</f>
        <v>Not Exists</v>
      </c>
      <c r="N1996" t="str">
        <f t="shared" si="97"/>
        <v>Not Exists</v>
      </c>
      <c r="O1996" t="str">
        <f t="shared" si="98"/>
        <v>Not Exists</v>
      </c>
      <c r="P1996" t="str">
        <f t="shared" si="99"/>
        <v>Not Exists</v>
      </c>
    </row>
    <row r="1997" spans="1:16">
      <c r="A1997">
        <v>1</v>
      </c>
      <c r="B1997">
        <v>1</v>
      </c>
      <c r="C1997">
        <v>1</v>
      </c>
      <c r="D1997">
        <v>1</v>
      </c>
      <c r="E1997" s="50" t="s">
        <v>1957</v>
      </c>
      <c r="F1997" s="50" t="s">
        <v>1377</v>
      </c>
      <c r="G1997" s="50" t="s">
        <v>254</v>
      </c>
      <c r="H1997" s="50">
        <v>22</v>
      </c>
      <c r="M1997" t="str">
        <f>IF(COUNTIF($A:$A,E1997)=0,"Not Exists","Exists")</f>
        <v>Not Exists</v>
      </c>
      <c r="N1997" t="str">
        <f t="shared" si="97"/>
        <v>Not Exists</v>
      </c>
      <c r="O1997" t="str">
        <f t="shared" si="98"/>
        <v>Not Exists</v>
      </c>
      <c r="P1997" t="str">
        <f t="shared" si="99"/>
        <v>Not Exists</v>
      </c>
    </row>
    <row r="1998" spans="1:16">
      <c r="A1998">
        <v>1</v>
      </c>
      <c r="B1998">
        <v>1</v>
      </c>
      <c r="C1998">
        <v>1</v>
      </c>
      <c r="D1998">
        <v>1</v>
      </c>
      <c r="E1998" s="50" t="s">
        <v>1957</v>
      </c>
      <c r="F1998" s="50" t="s">
        <v>1379</v>
      </c>
      <c r="G1998" s="50" t="s">
        <v>256</v>
      </c>
      <c r="H1998" s="50">
        <v>9</v>
      </c>
      <c r="M1998" t="str">
        <f>IF(COUNTIF($A:$A,E1998)=0,"Not Exists","Exists")</f>
        <v>Not Exists</v>
      </c>
      <c r="N1998" t="str">
        <f t="shared" si="97"/>
        <v>Not Exists</v>
      </c>
      <c r="O1998" t="str">
        <f t="shared" si="98"/>
        <v>Not Exists</v>
      </c>
      <c r="P1998" t="str">
        <f t="shared" si="99"/>
        <v>Not Exists</v>
      </c>
    </row>
    <row r="1999" spans="1:16">
      <c r="A1999">
        <v>1</v>
      </c>
      <c r="B1999">
        <v>1</v>
      </c>
      <c r="C1999">
        <v>1</v>
      </c>
      <c r="D1999">
        <v>1</v>
      </c>
      <c r="E1999" s="50" t="s">
        <v>1957</v>
      </c>
      <c r="F1999" s="50" t="s">
        <v>1381</v>
      </c>
      <c r="G1999" s="50" t="s">
        <v>256</v>
      </c>
      <c r="H1999" s="50">
        <v>200</v>
      </c>
      <c r="M1999" t="str">
        <f>IF(COUNTIF($A:$A,E1999)=0,"Not Exists","Exists")</f>
        <v>Not Exists</v>
      </c>
      <c r="N1999" t="str">
        <f t="shared" si="97"/>
        <v>Not Exists</v>
      </c>
      <c r="O1999" t="str">
        <f t="shared" si="98"/>
        <v>Not Exists</v>
      </c>
      <c r="P1999" t="str">
        <f t="shared" si="99"/>
        <v>Not Exists</v>
      </c>
    </row>
    <row r="2000" spans="1:16">
      <c r="A2000">
        <v>1</v>
      </c>
      <c r="B2000">
        <v>1</v>
      </c>
      <c r="C2000">
        <v>1</v>
      </c>
      <c r="D2000">
        <v>1</v>
      </c>
      <c r="E2000" s="50" t="s">
        <v>1957</v>
      </c>
      <c r="F2000" s="50" t="s">
        <v>1383</v>
      </c>
      <c r="G2000" s="50" t="s">
        <v>254</v>
      </c>
      <c r="H2000" s="50">
        <v>22</v>
      </c>
      <c r="M2000" t="str">
        <f>IF(COUNTIF($A:$A,E2000)=0,"Not Exists","Exists")</f>
        <v>Not Exists</v>
      </c>
      <c r="N2000" t="str">
        <f t="shared" si="97"/>
        <v>Not Exists</v>
      </c>
      <c r="O2000" t="str">
        <f t="shared" si="98"/>
        <v>Not Exists</v>
      </c>
      <c r="P2000" t="str">
        <f t="shared" si="99"/>
        <v>Not Exists</v>
      </c>
    </row>
    <row r="2001" spans="1:16">
      <c r="A2001">
        <v>1</v>
      </c>
      <c r="B2001">
        <v>1</v>
      </c>
      <c r="C2001">
        <v>1</v>
      </c>
      <c r="D2001">
        <v>1</v>
      </c>
      <c r="E2001" s="50" t="s">
        <v>1957</v>
      </c>
      <c r="F2001" s="50" t="s">
        <v>1385</v>
      </c>
      <c r="G2001" s="50" t="s">
        <v>256</v>
      </c>
      <c r="H2001" s="50">
        <v>9</v>
      </c>
      <c r="M2001" t="str">
        <f>IF(COUNTIF($A:$A,E2001)=0,"Not Exists","Exists")</f>
        <v>Not Exists</v>
      </c>
      <c r="N2001" t="str">
        <f t="shared" si="97"/>
        <v>Not Exists</v>
      </c>
      <c r="O2001" t="str">
        <f t="shared" si="98"/>
        <v>Not Exists</v>
      </c>
      <c r="P2001" t="str">
        <f t="shared" si="99"/>
        <v>Not Exists</v>
      </c>
    </row>
    <row r="2002" spans="1:16">
      <c r="A2002">
        <v>1</v>
      </c>
      <c r="B2002">
        <v>1</v>
      </c>
      <c r="C2002">
        <v>1</v>
      </c>
      <c r="D2002">
        <v>1</v>
      </c>
      <c r="E2002" s="50" t="s">
        <v>1957</v>
      </c>
      <c r="F2002" s="50" t="s">
        <v>1387</v>
      </c>
      <c r="G2002" s="50" t="s">
        <v>256</v>
      </c>
      <c r="H2002" s="50">
        <v>200</v>
      </c>
      <c r="M2002" t="str">
        <f>IF(COUNTIF($A:$A,E2002)=0,"Not Exists","Exists")</f>
        <v>Not Exists</v>
      </c>
      <c r="N2002" t="str">
        <f t="shared" si="97"/>
        <v>Not Exists</v>
      </c>
      <c r="O2002" t="str">
        <f t="shared" si="98"/>
        <v>Not Exists</v>
      </c>
      <c r="P2002" t="str">
        <f t="shared" si="99"/>
        <v>Not Exists</v>
      </c>
    </row>
    <row r="2003" spans="1:16">
      <c r="A2003">
        <v>1</v>
      </c>
      <c r="B2003">
        <v>1</v>
      </c>
      <c r="C2003">
        <v>1</v>
      </c>
      <c r="D2003">
        <v>1</v>
      </c>
      <c r="E2003" s="50" t="s">
        <v>1957</v>
      </c>
      <c r="F2003" s="50" t="s">
        <v>1390</v>
      </c>
      <c r="G2003" s="50" t="s">
        <v>254</v>
      </c>
      <c r="H2003" s="50">
        <v>22</v>
      </c>
      <c r="M2003" t="str">
        <f>IF(COUNTIF($A:$A,E2003)=0,"Not Exists","Exists")</f>
        <v>Not Exists</v>
      </c>
      <c r="N2003" t="str">
        <f t="shared" si="97"/>
        <v>Not Exists</v>
      </c>
      <c r="O2003" t="str">
        <f t="shared" si="98"/>
        <v>Not Exists</v>
      </c>
      <c r="P2003" t="str">
        <f t="shared" si="99"/>
        <v>Not Exists</v>
      </c>
    </row>
    <row r="2004" spans="1:16">
      <c r="A2004">
        <v>1</v>
      </c>
      <c r="B2004">
        <v>1</v>
      </c>
      <c r="C2004">
        <v>1</v>
      </c>
      <c r="D2004">
        <v>1</v>
      </c>
      <c r="E2004" s="50" t="s">
        <v>2046</v>
      </c>
      <c r="F2004" s="50" t="s">
        <v>2047</v>
      </c>
      <c r="G2004" s="50" t="s">
        <v>256</v>
      </c>
      <c r="H2004" s="50">
        <v>200</v>
      </c>
      <c r="M2004" t="str">
        <f>IF(COUNTIF($A:$A,E2004)=0,"Not Exists","Exists")</f>
        <v>Not Exists</v>
      </c>
      <c r="N2004" t="str">
        <f t="shared" si="97"/>
        <v>Not Exists</v>
      </c>
      <c r="O2004" t="str">
        <f t="shared" si="98"/>
        <v>Not Exists</v>
      </c>
      <c r="P2004" t="str">
        <f t="shared" si="99"/>
        <v>Not Exists</v>
      </c>
    </row>
    <row r="2005" spans="1:16">
      <c r="A2005">
        <v>1</v>
      </c>
      <c r="B2005">
        <v>1</v>
      </c>
      <c r="C2005">
        <v>1</v>
      </c>
      <c r="D2005">
        <v>1</v>
      </c>
      <c r="E2005" s="50" t="s">
        <v>2046</v>
      </c>
      <c r="F2005" s="50" t="s">
        <v>2048</v>
      </c>
      <c r="G2005" s="50" t="s">
        <v>256</v>
      </c>
      <c r="H2005" s="50">
        <v>20</v>
      </c>
      <c r="M2005" t="str">
        <f>IF(COUNTIF($A:$A,E2005)=0,"Not Exists","Exists")</f>
        <v>Not Exists</v>
      </c>
      <c r="N2005" t="str">
        <f t="shared" si="97"/>
        <v>Not Exists</v>
      </c>
      <c r="O2005" t="str">
        <f t="shared" si="98"/>
        <v>Not Exists</v>
      </c>
      <c r="P2005" t="str">
        <f t="shared" si="99"/>
        <v>Not Exists</v>
      </c>
    </row>
    <row r="2006" spans="1:16">
      <c r="A2006">
        <v>1</v>
      </c>
      <c r="B2006">
        <v>1</v>
      </c>
      <c r="C2006">
        <v>1</v>
      </c>
      <c r="D2006">
        <v>1</v>
      </c>
      <c r="E2006" s="50" t="s">
        <v>2046</v>
      </c>
      <c r="F2006" s="50" t="s">
        <v>2049</v>
      </c>
      <c r="G2006" s="50" t="s">
        <v>256</v>
      </c>
      <c r="H2006" s="50">
        <v>20</v>
      </c>
      <c r="M2006" t="str">
        <f>IF(COUNTIF($A:$A,E2006)=0,"Not Exists","Exists")</f>
        <v>Not Exists</v>
      </c>
      <c r="N2006" t="str">
        <f t="shared" si="97"/>
        <v>Not Exists</v>
      </c>
      <c r="O2006" t="str">
        <f t="shared" si="98"/>
        <v>Not Exists</v>
      </c>
      <c r="P2006" t="str">
        <f t="shared" si="99"/>
        <v>Not Exists</v>
      </c>
    </row>
    <row r="2007" spans="1:16">
      <c r="A2007">
        <v>1</v>
      </c>
      <c r="B2007">
        <v>1</v>
      </c>
      <c r="C2007">
        <v>1</v>
      </c>
      <c r="D2007">
        <v>1</v>
      </c>
      <c r="E2007" s="50" t="s">
        <v>2046</v>
      </c>
      <c r="F2007" s="50" t="s">
        <v>2050</v>
      </c>
      <c r="G2007" s="50" t="s">
        <v>256</v>
      </c>
      <c r="H2007" s="50">
        <v>200</v>
      </c>
      <c r="M2007" t="str">
        <f>IF(COUNTIF($A:$A,E2007)=0,"Not Exists","Exists")</f>
        <v>Not Exists</v>
      </c>
      <c r="N2007" t="str">
        <f t="shared" si="97"/>
        <v>Not Exists</v>
      </c>
      <c r="O2007" t="str">
        <f t="shared" si="98"/>
        <v>Not Exists</v>
      </c>
      <c r="P2007" t="str">
        <f t="shared" si="99"/>
        <v>Not Exists</v>
      </c>
    </row>
    <row r="2008" spans="1:16">
      <c r="A2008">
        <v>1</v>
      </c>
      <c r="B2008">
        <v>1</v>
      </c>
      <c r="C2008">
        <v>1</v>
      </c>
      <c r="D2008">
        <v>1</v>
      </c>
      <c r="E2008" s="50" t="s">
        <v>2046</v>
      </c>
      <c r="F2008" s="50" t="s">
        <v>2051</v>
      </c>
      <c r="G2008" s="50" t="s">
        <v>256</v>
      </c>
      <c r="H2008" s="50">
        <v>3000</v>
      </c>
      <c r="M2008" t="str">
        <f>IF(COUNTIF($A:$A,E2008)=0,"Not Exists","Exists")</f>
        <v>Not Exists</v>
      </c>
      <c r="N2008" t="str">
        <f t="shared" si="97"/>
        <v>Not Exists</v>
      </c>
      <c r="O2008" t="str">
        <f t="shared" si="98"/>
        <v>Not Exists</v>
      </c>
      <c r="P2008" t="str">
        <f t="shared" si="99"/>
        <v>Not Exists</v>
      </c>
    </row>
    <row r="2009" spans="1:16">
      <c r="A2009">
        <v>1</v>
      </c>
      <c r="B2009">
        <v>1</v>
      </c>
      <c r="C2009">
        <v>1</v>
      </c>
      <c r="D2009">
        <v>1</v>
      </c>
      <c r="E2009" s="50" t="s">
        <v>2046</v>
      </c>
      <c r="F2009" s="50" t="s">
        <v>315</v>
      </c>
      <c r="G2009" s="50" t="s">
        <v>251</v>
      </c>
      <c r="H2009" s="50">
        <v>17</v>
      </c>
      <c r="M2009" t="str">
        <f>IF(COUNTIF($A:$A,E2009)=0,"Not Exists","Exists")</f>
        <v>Not Exists</v>
      </c>
      <c r="N2009" t="str">
        <f t="shared" si="97"/>
        <v>Exists</v>
      </c>
      <c r="O2009" t="str">
        <f t="shared" si="98"/>
        <v>Not Exists</v>
      </c>
      <c r="P2009" t="str">
        <f t="shared" si="99"/>
        <v>Not Exists</v>
      </c>
    </row>
    <row r="2010" spans="1:16">
      <c r="A2010">
        <v>1</v>
      </c>
      <c r="B2010">
        <v>1</v>
      </c>
      <c r="C2010">
        <v>1</v>
      </c>
      <c r="D2010">
        <v>1</v>
      </c>
      <c r="E2010" s="50" t="s">
        <v>2046</v>
      </c>
      <c r="F2010" s="50" t="s">
        <v>859</v>
      </c>
      <c r="G2010" s="50" t="s">
        <v>256</v>
      </c>
      <c r="H2010" s="50">
        <v>50</v>
      </c>
      <c r="M2010" t="str">
        <f>IF(COUNTIF($A:$A,E2010)=0,"Not Exists","Exists")</f>
        <v>Not Exists</v>
      </c>
      <c r="N2010" t="str">
        <f t="shared" si="97"/>
        <v>Exists</v>
      </c>
      <c r="O2010" t="str">
        <f t="shared" si="98"/>
        <v>Not Exists</v>
      </c>
      <c r="P2010" t="str">
        <f t="shared" si="99"/>
        <v>Not Exists</v>
      </c>
    </row>
    <row r="2011" spans="1:16">
      <c r="A2011">
        <v>1</v>
      </c>
      <c r="B2011">
        <v>1</v>
      </c>
      <c r="C2011">
        <v>1</v>
      </c>
      <c r="D2011">
        <v>1</v>
      </c>
      <c r="E2011" s="50" t="s">
        <v>2046</v>
      </c>
      <c r="F2011" s="50" t="s">
        <v>317</v>
      </c>
      <c r="G2011" s="50" t="s">
        <v>251</v>
      </c>
      <c r="H2011" s="50">
        <v>17</v>
      </c>
      <c r="M2011" t="str">
        <f>IF(COUNTIF($A:$A,E2011)=0,"Not Exists","Exists")</f>
        <v>Not Exists</v>
      </c>
      <c r="N2011" t="str">
        <f t="shared" ref="N2011:N2074" si="100">IF(COUNTIF($A:$B,F2011)=0,"Not Exists","Exists")</f>
        <v>Exists</v>
      </c>
      <c r="O2011" t="str">
        <f t="shared" si="98"/>
        <v>Not Exists</v>
      </c>
      <c r="P2011" t="str">
        <f t="shared" si="99"/>
        <v>Not Exists</v>
      </c>
    </row>
    <row r="2012" spans="1:16">
      <c r="A2012">
        <v>1</v>
      </c>
      <c r="B2012">
        <v>1</v>
      </c>
      <c r="C2012">
        <v>1</v>
      </c>
      <c r="D2012">
        <v>1</v>
      </c>
      <c r="E2012" s="50" t="s">
        <v>2046</v>
      </c>
      <c r="F2012" s="50" t="s">
        <v>861</v>
      </c>
      <c r="G2012" s="50" t="s">
        <v>256</v>
      </c>
      <c r="H2012" s="50">
        <v>50</v>
      </c>
      <c r="M2012" t="str">
        <f>IF(COUNTIF($A:$A,E2012)=0,"Not Exists","Exists")</f>
        <v>Not Exists</v>
      </c>
      <c r="N2012" t="str">
        <f t="shared" si="100"/>
        <v>Exists</v>
      </c>
      <c r="O2012" t="str">
        <f t="shared" si="98"/>
        <v>Not Exists</v>
      </c>
      <c r="P2012" t="str">
        <f t="shared" si="99"/>
        <v>Not Exists</v>
      </c>
    </row>
    <row r="2013" spans="1:16">
      <c r="A2013">
        <v>1</v>
      </c>
      <c r="B2013">
        <v>1</v>
      </c>
      <c r="C2013">
        <v>1</v>
      </c>
      <c r="D2013">
        <v>1</v>
      </c>
      <c r="E2013" s="50" t="s">
        <v>2052</v>
      </c>
      <c r="F2013" s="50" t="s">
        <v>2053</v>
      </c>
      <c r="G2013" s="50" t="s">
        <v>256</v>
      </c>
      <c r="H2013" s="50">
        <v>50</v>
      </c>
      <c r="M2013" t="str">
        <f>IF(COUNTIF($A:$A,E2013)=0,"Not Exists","Exists")</f>
        <v>Not Exists</v>
      </c>
      <c r="N2013" t="str">
        <f t="shared" si="100"/>
        <v>Not Exists</v>
      </c>
      <c r="O2013" t="str">
        <f t="shared" si="98"/>
        <v>Not Exists</v>
      </c>
      <c r="P2013" t="str">
        <f t="shared" si="99"/>
        <v>Not Exists</v>
      </c>
    </row>
    <row r="2014" spans="1:16">
      <c r="A2014">
        <v>1</v>
      </c>
      <c r="B2014">
        <v>1</v>
      </c>
      <c r="C2014">
        <v>1</v>
      </c>
      <c r="D2014">
        <v>1</v>
      </c>
      <c r="E2014" s="50" t="s">
        <v>2052</v>
      </c>
      <c r="F2014" s="50" t="s">
        <v>2054</v>
      </c>
      <c r="G2014" s="50" t="s">
        <v>256</v>
      </c>
      <c r="H2014" s="50">
        <v>20</v>
      </c>
      <c r="M2014" t="str">
        <f>IF(COUNTIF($A:$A,E2014)=0,"Not Exists","Exists")</f>
        <v>Not Exists</v>
      </c>
      <c r="N2014" t="str">
        <f t="shared" si="100"/>
        <v>Not Exists</v>
      </c>
      <c r="O2014" t="str">
        <f t="shared" si="98"/>
        <v>Not Exists</v>
      </c>
      <c r="P2014" t="str">
        <f t="shared" si="99"/>
        <v>Not Exists</v>
      </c>
    </row>
    <row r="2015" spans="1:16">
      <c r="A2015">
        <v>1</v>
      </c>
      <c r="B2015">
        <v>1</v>
      </c>
      <c r="C2015">
        <v>1</v>
      </c>
      <c r="D2015">
        <v>1</v>
      </c>
      <c r="E2015" s="50" t="s">
        <v>2052</v>
      </c>
      <c r="F2015" s="50" t="s">
        <v>2055</v>
      </c>
      <c r="G2015" s="50" t="s">
        <v>256</v>
      </c>
      <c r="H2015" s="50">
        <v>100</v>
      </c>
      <c r="M2015" t="str">
        <f>IF(COUNTIF($A:$A,E2015)=0,"Not Exists","Exists")</f>
        <v>Not Exists</v>
      </c>
      <c r="N2015" t="str">
        <f t="shared" si="100"/>
        <v>Not Exists</v>
      </c>
      <c r="O2015" t="str">
        <f t="shared" si="98"/>
        <v>Not Exists</v>
      </c>
      <c r="P2015" t="str">
        <f t="shared" si="99"/>
        <v>Not Exists</v>
      </c>
    </row>
    <row r="2016" spans="1:16">
      <c r="A2016">
        <v>1</v>
      </c>
      <c r="B2016">
        <v>1</v>
      </c>
      <c r="C2016">
        <v>1</v>
      </c>
      <c r="D2016">
        <v>1</v>
      </c>
      <c r="E2016" s="50" t="s">
        <v>2052</v>
      </c>
      <c r="F2016" s="50" t="s">
        <v>2056</v>
      </c>
      <c r="G2016" s="50" t="s">
        <v>256</v>
      </c>
      <c r="H2016" s="50">
        <v>20</v>
      </c>
      <c r="M2016" t="str">
        <f>IF(COUNTIF($A:$A,E2016)=0,"Not Exists","Exists")</f>
        <v>Not Exists</v>
      </c>
      <c r="N2016" t="str">
        <f t="shared" si="100"/>
        <v>Not Exists</v>
      </c>
      <c r="O2016" t="str">
        <f t="shared" si="98"/>
        <v>Not Exists</v>
      </c>
      <c r="P2016" t="str">
        <f t="shared" si="99"/>
        <v>Not Exists</v>
      </c>
    </row>
    <row r="2017" spans="1:16">
      <c r="A2017">
        <v>1</v>
      </c>
      <c r="B2017">
        <v>1</v>
      </c>
      <c r="C2017">
        <v>1</v>
      </c>
      <c r="D2017">
        <v>1</v>
      </c>
      <c r="E2017" s="50" t="s">
        <v>2052</v>
      </c>
      <c r="F2017" s="50" t="s">
        <v>2057</v>
      </c>
      <c r="G2017" s="50" t="s">
        <v>256</v>
      </c>
      <c r="H2017" s="50">
        <v>100</v>
      </c>
      <c r="M2017" t="str">
        <f>IF(COUNTIF($A:$A,E2017)=0,"Not Exists","Exists")</f>
        <v>Not Exists</v>
      </c>
      <c r="N2017" t="str">
        <f t="shared" si="100"/>
        <v>Not Exists</v>
      </c>
      <c r="O2017" t="str">
        <f t="shared" si="98"/>
        <v>Not Exists</v>
      </c>
      <c r="P2017" t="str">
        <f t="shared" si="99"/>
        <v>Not Exists</v>
      </c>
    </row>
    <row r="2018" spans="1:16">
      <c r="A2018">
        <v>1</v>
      </c>
      <c r="B2018">
        <v>1</v>
      </c>
      <c r="C2018">
        <v>1</v>
      </c>
      <c r="D2018">
        <v>1</v>
      </c>
      <c r="E2018" s="50" t="s">
        <v>2052</v>
      </c>
      <c r="F2018" s="50" t="s">
        <v>2051</v>
      </c>
      <c r="G2018" s="50" t="s">
        <v>256</v>
      </c>
      <c r="H2018" s="50">
        <v>3000</v>
      </c>
      <c r="M2018" t="str">
        <f>IF(COUNTIF($A:$A,E2018)=0,"Not Exists","Exists")</f>
        <v>Not Exists</v>
      </c>
      <c r="N2018" t="str">
        <f t="shared" si="100"/>
        <v>Not Exists</v>
      </c>
      <c r="O2018" t="str">
        <f t="shared" si="98"/>
        <v>Not Exists</v>
      </c>
      <c r="P2018" t="str">
        <f t="shared" si="99"/>
        <v>Not Exists</v>
      </c>
    </row>
    <row r="2019" spans="1:16">
      <c r="A2019">
        <v>1</v>
      </c>
      <c r="B2019">
        <v>1</v>
      </c>
      <c r="C2019">
        <v>1</v>
      </c>
      <c r="D2019">
        <v>1</v>
      </c>
      <c r="E2019" s="50" t="s">
        <v>2052</v>
      </c>
      <c r="F2019" s="50" t="s">
        <v>315</v>
      </c>
      <c r="G2019" s="50" t="s">
        <v>251</v>
      </c>
      <c r="H2019" s="50">
        <v>17</v>
      </c>
      <c r="M2019" t="str">
        <f>IF(COUNTIF($A:$A,E2019)=0,"Not Exists","Exists")</f>
        <v>Not Exists</v>
      </c>
      <c r="N2019" t="str">
        <f t="shared" si="100"/>
        <v>Exists</v>
      </c>
      <c r="O2019" t="str">
        <f t="shared" si="98"/>
        <v>Not Exists</v>
      </c>
      <c r="P2019" t="str">
        <f t="shared" si="99"/>
        <v>Not Exists</v>
      </c>
    </row>
    <row r="2020" spans="1:16">
      <c r="A2020">
        <v>1</v>
      </c>
      <c r="B2020">
        <v>1</v>
      </c>
      <c r="C2020">
        <v>1</v>
      </c>
      <c r="D2020">
        <v>1</v>
      </c>
      <c r="E2020" s="50" t="s">
        <v>2052</v>
      </c>
      <c r="F2020" s="50" t="s">
        <v>859</v>
      </c>
      <c r="G2020" s="50" t="s">
        <v>256</v>
      </c>
      <c r="H2020" s="50">
        <v>50</v>
      </c>
      <c r="M2020" t="str">
        <f>IF(COUNTIF($A:$A,E2020)=0,"Not Exists","Exists")</f>
        <v>Not Exists</v>
      </c>
      <c r="N2020" t="str">
        <f t="shared" si="100"/>
        <v>Exists</v>
      </c>
      <c r="O2020" t="str">
        <f t="shared" si="98"/>
        <v>Not Exists</v>
      </c>
      <c r="P2020" t="str">
        <f t="shared" si="99"/>
        <v>Not Exists</v>
      </c>
    </row>
    <row r="2021" spans="1:16">
      <c r="A2021">
        <v>1</v>
      </c>
      <c r="B2021">
        <v>1</v>
      </c>
      <c r="C2021">
        <v>1</v>
      </c>
      <c r="D2021">
        <v>1</v>
      </c>
      <c r="E2021" s="50" t="s">
        <v>2052</v>
      </c>
      <c r="F2021" s="50" t="s">
        <v>317</v>
      </c>
      <c r="G2021" s="50" t="s">
        <v>251</v>
      </c>
      <c r="H2021" s="50">
        <v>17</v>
      </c>
      <c r="M2021" t="str">
        <f>IF(COUNTIF($A:$A,E2021)=0,"Not Exists","Exists")</f>
        <v>Not Exists</v>
      </c>
      <c r="N2021" t="str">
        <f t="shared" si="100"/>
        <v>Exists</v>
      </c>
      <c r="O2021" t="str">
        <f t="shared" si="98"/>
        <v>Not Exists</v>
      </c>
      <c r="P2021" t="str">
        <f t="shared" si="99"/>
        <v>Not Exists</v>
      </c>
    </row>
    <row r="2022" spans="1:16">
      <c r="A2022">
        <v>1</v>
      </c>
      <c r="B2022">
        <v>1</v>
      </c>
      <c r="C2022">
        <v>1</v>
      </c>
      <c r="D2022">
        <v>1</v>
      </c>
      <c r="E2022" s="50" t="s">
        <v>2052</v>
      </c>
      <c r="F2022" s="50" t="s">
        <v>861</v>
      </c>
      <c r="G2022" s="50" t="s">
        <v>256</v>
      </c>
      <c r="H2022" s="50">
        <v>50</v>
      </c>
      <c r="M2022" t="str">
        <f>IF(COUNTIF($A:$A,E2022)=0,"Not Exists","Exists")</f>
        <v>Not Exists</v>
      </c>
      <c r="N2022" t="str">
        <f t="shared" si="100"/>
        <v>Exists</v>
      </c>
      <c r="O2022" t="str">
        <f t="shared" si="98"/>
        <v>Not Exists</v>
      </c>
      <c r="P2022" t="str">
        <f t="shared" si="99"/>
        <v>Not Exists</v>
      </c>
    </row>
    <row r="2023" spans="1:16">
      <c r="A2023">
        <v>1</v>
      </c>
      <c r="B2023">
        <v>1</v>
      </c>
      <c r="C2023">
        <v>1</v>
      </c>
      <c r="D2023">
        <v>1</v>
      </c>
      <c r="E2023" s="50" t="s">
        <v>2058</v>
      </c>
      <c r="F2023" s="50" t="s">
        <v>914</v>
      </c>
      <c r="G2023" s="50" t="s">
        <v>256</v>
      </c>
      <c r="H2023" s="50">
        <v>50</v>
      </c>
      <c r="M2023" t="str">
        <f>IF(COUNTIF($A:$A,E2023)=0,"Not Exists","Exists")</f>
        <v>Not Exists</v>
      </c>
      <c r="N2023" t="str">
        <f t="shared" si="100"/>
        <v>Exists</v>
      </c>
      <c r="O2023" t="str">
        <f t="shared" si="98"/>
        <v>Not Exists</v>
      </c>
      <c r="P2023" t="str">
        <f t="shared" si="99"/>
        <v>Not Exists</v>
      </c>
    </row>
    <row r="2024" spans="1:16">
      <c r="A2024">
        <v>1</v>
      </c>
      <c r="B2024">
        <v>1</v>
      </c>
      <c r="C2024">
        <v>1</v>
      </c>
      <c r="D2024">
        <v>1</v>
      </c>
      <c r="E2024" s="50" t="s">
        <v>2058</v>
      </c>
      <c r="F2024" s="50" t="s">
        <v>2059</v>
      </c>
      <c r="G2024" s="50" t="s">
        <v>256</v>
      </c>
      <c r="H2024" s="50">
        <v>450</v>
      </c>
      <c r="M2024" t="str">
        <f>IF(COUNTIF($A:$A,E2024)=0,"Not Exists","Exists")</f>
        <v>Not Exists</v>
      </c>
      <c r="N2024" t="str">
        <f t="shared" si="100"/>
        <v>Not Exists</v>
      </c>
      <c r="O2024" t="str">
        <f t="shared" si="98"/>
        <v>Not Exists</v>
      </c>
      <c r="P2024" t="str">
        <f t="shared" si="99"/>
        <v>Not Exists</v>
      </c>
    </row>
    <row r="2025" spans="1:16">
      <c r="A2025">
        <v>1</v>
      </c>
      <c r="B2025">
        <v>1</v>
      </c>
      <c r="C2025">
        <v>1</v>
      </c>
      <c r="D2025">
        <v>1</v>
      </c>
      <c r="E2025" s="50" t="s">
        <v>2058</v>
      </c>
      <c r="F2025" s="50" t="s">
        <v>2060</v>
      </c>
      <c r="G2025" s="50" t="s">
        <v>256</v>
      </c>
      <c r="H2025" s="50">
        <v>50</v>
      </c>
      <c r="M2025" t="str">
        <f>IF(COUNTIF($A:$A,E2025)=0,"Not Exists","Exists")</f>
        <v>Not Exists</v>
      </c>
      <c r="N2025" t="str">
        <f t="shared" si="100"/>
        <v>Not Exists</v>
      </c>
      <c r="O2025" t="str">
        <f t="shared" si="98"/>
        <v>Not Exists</v>
      </c>
      <c r="P2025" t="str">
        <f t="shared" si="99"/>
        <v>Not Exists</v>
      </c>
    </row>
    <row r="2026" spans="1:16">
      <c r="A2026">
        <v>1</v>
      </c>
      <c r="B2026">
        <v>1</v>
      </c>
      <c r="C2026">
        <v>1</v>
      </c>
      <c r="D2026">
        <v>1</v>
      </c>
      <c r="E2026" s="50" t="s">
        <v>2058</v>
      </c>
      <c r="F2026" s="50" t="s">
        <v>2061</v>
      </c>
      <c r="G2026" s="50" t="s">
        <v>256</v>
      </c>
      <c r="H2026" s="50">
        <v>50</v>
      </c>
      <c r="M2026" t="str">
        <f>IF(COUNTIF($A:$A,E2026)=0,"Not Exists","Exists")</f>
        <v>Not Exists</v>
      </c>
      <c r="N2026" t="str">
        <f t="shared" si="100"/>
        <v>Not Exists</v>
      </c>
      <c r="O2026" t="str">
        <f t="shared" si="98"/>
        <v>Not Exists</v>
      </c>
      <c r="P2026" t="str">
        <f t="shared" si="99"/>
        <v>Not Exists</v>
      </c>
    </row>
    <row r="2027" spans="1:16">
      <c r="A2027">
        <v>1</v>
      </c>
      <c r="B2027">
        <v>1</v>
      </c>
      <c r="C2027">
        <v>1</v>
      </c>
      <c r="D2027">
        <v>1</v>
      </c>
      <c r="E2027" s="50" t="s">
        <v>2058</v>
      </c>
      <c r="F2027" s="50" t="s">
        <v>2062</v>
      </c>
      <c r="G2027" s="50" t="s">
        <v>256</v>
      </c>
      <c r="H2027" s="50">
        <v>50</v>
      </c>
      <c r="M2027" t="str">
        <f>IF(COUNTIF($A:$A,E2027)=0,"Not Exists","Exists")</f>
        <v>Not Exists</v>
      </c>
      <c r="N2027" t="str">
        <f t="shared" si="100"/>
        <v>Not Exists</v>
      </c>
      <c r="O2027" t="str">
        <f t="shared" si="98"/>
        <v>Not Exists</v>
      </c>
      <c r="P2027" t="str">
        <f t="shared" si="99"/>
        <v>Not Exists</v>
      </c>
    </row>
    <row r="2028" spans="1:16">
      <c r="A2028">
        <v>1</v>
      </c>
      <c r="B2028">
        <v>1</v>
      </c>
      <c r="C2028">
        <v>1</v>
      </c>
      <c r="D2028">
        <v>1</v>
      </c>
      <c r="E2028" s="50" t="s">
        <v>2058</v>
      </c>
      <c r="F2028" s="50" t="s">
        <v>2063</v>
      </c>
      <c r="G2028" s="50" t="s">
        <v>251</v>
      </c>
      <c r="H2028" s="50">
        <v>1</v>
      </c>
      <c r="M2028" t="str">
        <f>IF(COUNTIF($A:$A,E2028)=0,"Not Exists","Exists")</f>
        <v>Not Exists</v>
      </c>
      <c r="N2028" t="str">
        <f t="shared" si="100"/>
        <v>Not Exists</v>
      </c>
      <c r="O2028" t="str">
        <f t="shared" si="98"/>
        <v>Not Exists</v>
      </c>
      <c r="P2028" t="str">
        <f t="shared" si="99"/>
        <v>Not Exists</v>
      </c>
    </row>
    <row r="2029" spans="1:16">
      <c r="A2029">
        <v>1</v>
      </c>
      <c r="B2029">
        <v>1</v>
      </c>
      <c r="C2029">
        <v>1</v>
      </c>
      <c r="D2029">
        <v>1</v>
      </c>
      <c r="E2029" s="50" t="s">
        <v>2058</v>
      </c>
      <c r="F2029" s="50" t="s">
        <v>2064</v>
      </c>
      <c r="G2029" s="50" t="s">
        <v>251</v>
      </c>
      <c r="H2029" s="50">
        <v>1</v>
      </c>
      <c r="M2029" t="str">
        <f>IF(COUNTIF($A:$A,E2029)=0,"Not Exists","Exists")</f>
        <v>Not Exists</v>
      </c>
      <c r="N2029" t="str">
        <f t="shared" si="100"/>
        <v>Not Exists</v>
      </c>
      <c r="O2029" t="str">
        <f t="shared" si="98"/>
        <v>Not Exists</v>
      </c>
      <c r="P2029" t="str">
        <f t="shared" si="99"/>
        <v>Not Exists</v>
      </c>
    </row>
    <row r="2030" spans="1:16">
      <c r="A2030">
        <v>1</v>
      </c>
      <c r="B2030">
        <v>1</v>
      </c>
      <c r="C2030">
        <v>1</v>
      </c>
      <c r="D2030">
        <v>1</v>
      </c>
      <c r="E2030" s="50" t="s">
        <v>2058</v>
      </c>
      <c r="F2030" s="50" t="s">
        <v>2065</v>
      </c>
      <c r="G2030" s="50" t="s">
        <v>256</v>
      </c>
      <c r="H2030" s="50">
        <v>50</v>
      </c>
      <c r="M2030" t="str">
        <f>IF(COUNTIF($A:$A,E2030)=0,"Not Exists","Exists")</f>
        <v>Not Exists</v>
      </c>
      <c r="N2030" t="str">
        <f t="shared" si="100"/>
        <v>Not Exists</v>
      </c>
      <c r="O2030" t="str">
        <f t="shared" si="98"/>
        <v>Not Exists</v>
      </c>
      <c r="P2030" t="str">
        <f t="shared" si="99"/>
        <v>Not Exists</v>
      </c>
    </row>
    <row r="2031" spans="1:16">
      <c r="A2031">
        <v>1</v>
      </c>
      <c r="B2031">
        <v>1</v>
      </c>
      <c r="C2031">
        <v>1</v>
      </c>
      <c r="D2031">
        <v>1</v>
      </c>
      <c r="E2031" s="50" t="s">
        <v>2058</v>
      </c>
      <c r="F2031" s="50" t="s">
        <v>2066</v>
      </c>
      <c r="G2031" s="50" t="s">
        <v>256</v>
      </c>
      <c r="H2031" s="50">
        <v>50</v>
      </c>
      <c r="M2031" t="str">
        <f>IF(COUNTIF($A:$A,E2031)=0,"Not Exists","Exists")</f>
        <v>Not Exists</v>
      </c>
      <c r="N2031" t="str">
        <f t="shared" si="100"/>
        <v>Not Exists</v>
      </c>
      <c r="O2031" t="str">
        <f t="shared" si="98"/>
        <v>Not Exists</v>
      </c>
      <c r="P2031" t="str">
        <f t="shared" si="99"/>
        <v>Not Exists</v>
      </c>
    </row>
    <row r="2032" spans="1:16">
      <c r="A2032">
        <v>1</v>
      </c>
      <c r="B2032">
        <v>1</v>
      </c>
      <c r="C2032">
        <v>1</v>
      </c>
      <c r="D2032">
        <v>1</v>
      </c>
      <c r="E2032" s="50" t="s">
        <v>2058</v>
      </c>
      <c r="F2032" s="50" t="s">
        <v>2067</v>
      </c>
      <c r="G2032" s="50" t="s">
        <v>256</v>
      </c>
      <c r="H2032" s="50">
        <v>50</v>
      </c>
      <c r="M2032" t="str">
        <f>IF(COUNTIF($A:$A,E2032)=0,"Not Exists","Exists")</f>
        <v>Not Exists</v>
      </c>
      <c r="N2032" t="str">
        <f t="shared" si="100"/>
        <v>Not Exists</v>
      </c>
      <c r="O2032" t="str">
        <f t="shared" si="98"/>
        <v>Not Exists</v>
      </c>
      <c r="P2032" t="str">
        <f t="shared" si="99"/>
        <v>Not Exists</v>
      </c>
    </row>
    <row r="2033" spans="1:16">
      <c r="A2033">
        <v>1</v>
      </c>
      <c r="B2033">
        <v>1</v>
      </c>
      <c r="C2033">
        <v>1</v>
      </c>
      <c r="D2033">
        <v>1</v>
      </c>
      <c r="E2033" s="50" t="s">
        <v>2058</v>
      </c>
      <c r="F2033" s="50" t="s">
        <v>2068</v>
      </c>
      <c r="G2033" s="50" t="s">
        <v>256</v>
      </c>
      <c r="H2033" s="50">
        <v>50</v>
      </c>
      <c r="M2033" t="str">
        <f>IF(COUNTIF($A:$A,E2033)=0,"Not Exists","Exists")</f>
        <v>Not Exists</v>
      </c>
      <c r="N2033" t="str">
        <f t="shared" si="100"/>
        <v>Not Exists</v>
      </c>
      <c r="O2033" t="str">
        <f t="shared" si="98"/>
        <v>Not Exists</v>
      </c>
      <c r="P2033" t="str">
        <f t="shared" si="99"/>
        <v>Not Exists</v>
      </c>
    </row>
    <row r="2034" spans="1:16">
      <c r="A2034">
        <v>1</v>
      </c>
      <c r="B2034">
        <v>1</v>
      </c>
      <c r="C2034">
        <v>1</v>
      </c>
      <c r="D2034">
        <v>1</v>
      </c>
      <c r="E2034" s="50" t="s">
        <v>2058</v>
      </c>
      <c r="F2034" s="50" t="s">
        <v>2069</v>
      </c>
      <c r="G2034" s="50" t="s">
        <v>251</v>
      </c>
      <c r="H2034" s="50">
        <v>1</v>
      </c>
      <c r="M2034" t="str">
        <f>IF(COUNTIF($A:$A,E2034)=0,"Not Exists","Exists")</f>
        <v>Not Exists</v>
      </c>
      <c r="N2034" t="str">
        <f t="shared" si="100"/>
        <v>Not Exists</v>
      </c>
      <c r="O2034" t="str">
        <f t="shared" si="98"/>
        <v>Not Exists</v>
      </c>
      <c r="P2034" t="str">
        <f t="shared" si="99"/>
        <v>Not Exists</v>
      </c>
    </row>
    <row r="2035" spans="1:16">
      <c r="A2035">
        <v>1</v>
      </c>
      <c r="B2035">
        <v>1</v>
      </c>
      <c r="C2035">
        <v>1</v>
      </c>
      <c r="D2035">
        <v>1</v>
      </c>
      <c r="E2035" s="50" t="s">
        <v>2058</v>
      </c>
      <c r="F2035" s="50" t="s">
        <v>2070</v>
      </c>
      <c r="G2035" s="50" t="s">
        <v>251</v>
      </c>
      <c r="H2035" s="50">
        <v>1</v>
      </c>
      <c r="M2035" t="str">
        <f>IF(COUNTIF($A:$A,E2035)=0,"Not Exists","Exists")</f>
        <v>Not Exists</v>
      </c>
      <c r="N2035" t="str">
        <f t="shared" si="100"/>
        <v>Not Exists</v>
      </c>
      <c r="O2035" t="str">
        <f t="shared" si="98"/>
        <v>Not Exists</v>
      </c>
      <c r="P2035" t="str">
        <f t="shared" si="99"/>
        <v>Not Exists</v>
      </c>
    </row>
    <row r="2036" spans="1:16">
      <c r="A2036">
        <v>1</v>
      </c>
      <c r="B2036">
        <v>1</v>
      </c>
      <c r="C2036">
        <v>1</v>
      </c>
      <c r="D2036">
        <v>1</v>
      </c>
      <c r="E2036" s="50" t="s">
        <v>2058</v>
      </c>
      <c r="F2036" s="50" t="s">
        <v>2071</v>
      </c>
      <c r="G2036" s="50" t="s">
        <v>251</v>
      </c>
      <c r="H2036" s="50">
        <v>1</v>
      </c>
      <c r="M2036" t="str">
        <f>IF(COUNTIF($A:$A,E2036)=0,"Not Exists","Exists")</f>
        <v>Not Exists</v>
      </c>
      <c r="N2036" t="str">
        <f t="shared" si="100"/>
        <v>Not Exists</v>
      </c>
      <c r="O2036" t="str">
        <f t="shared" si="98"/>
        <v>Not Exists</v>
      </c>
      <c r="P2036" t="str">
        <f t="shared" si="99"/>
        <v>Not Exists</v>
      </c>
    </row>
    <row r="2037" spans="1:16">
      <c r="A2037">
        <v>1</v>
      </c>
      <c r="B2037">
        <v>1</v>
      </c>
      <c r="C2037">
        <v>1</v>
      </c>
      <c r="D2037">
        <v>1</v>
      </c>
      <c r="E2037" s="50" t="s">
        <v>2058</v>
      </c>
      <c r="F2037" s="50" t="s">
        <v>2072</v>
      </c>
      <c r="G2037" s="50" t="s">
        <v>256</v>
      </c>
      <c r="H2037" s="50">
        <v>50</v>
      </c>
      <c r="M2037" t="str">
        <f>IF(COUNTIF($A:$A,E2037)=0,"Not Exists","Exists")</f>
        <v>Not Exists</v>
      </c>
      <c r="N2037" t="str">
        <f t="shared" si="100"/>
        <v>Not Exists</v>
      </c>
      <c r="O2037" t="str">
        <f t="shared" si="98"/>
        <v>Not Exists</v>
      </c>
      <c r="P2037" t="str">
        <f t="shared" si="99"/>
        <v>Not Exists</v>
      </c>
    </row>
    <row r="2038" spans="1:16">
      <c r="A2038">
        <v>1</v>
      </c>
      <c r="B2038">
        <v>1</v>
      </c>
      <c r="C2038">
        <v>1</v>
      </c>
      <c r="D2038">
        <v>1</v>
      </c>
      <c r="E2038" s="50" t="s">
        <v>2058</v>
      </c>
      <c r="F2038" s="50" t="s">
        <v>2073</v>
      </c>
      <c r="G2038" s="50" t="s">
        <v>254</v>
      </c>
      <c r="H2038" s="50">
        <v>22</v>
      </c>
      <c r="M2038" t="str">
        <f>IF(COUNTIF($A:$A,E2038)=0,"Not Exists","Exists")</f>
        <v>Not Exists</v>
      </c>
      <c r="N2038" t="str">
        <f t="shared" si="100"/>
        <v>Not Exists</v>
      </c>
      <c r="O2038" t="str">
        <f t="shared" si="98"/>
        <v>Not Exists</v>
      </c>
      <c r="P2038" t="str">
        <f t="shared" si="99"/>
        <v>Not Exists</v>
      </c>
    </row>
    <row r="2039" spans="1:16">
      <c r="A2039">
        <v>1</v>
      </c>
      <c r="B2039">
        <v>1</v>
      </c>
      <c r="C2039">
        <v>1</v>
      </c>
      <c r="D2039">
        <v>1</v>
      </c>
      <c r="E2039" s="50" t="s">
        <v>2058</v>
      </c>
      <c r="F2039" s="50" t="s">
        <v>2074</v>
      </c>
      <c r="G2039" s="50" t="s">
        <v>251</v>
      </c>
      <c r="H2039" s="50">
        <v>1</v>
      </c>
      <c r="M2039" t="str">
        <f>IF(COUNTIF($A:$A,E2039)=0,"Not Exists","Exists")</f>
        <v>Not Exists</v>
      </c>
      <c r="N2039" t="str">
        <f t="shared" si="100"/>
        <v>Not Exists</v>
      </c>
      <c r="O2039" t="str">
        <f t="shared" si="98"/>
        <v>Not Exists</v>
      </c>
      <c r="P2039" t="str">
        <f t="shared" si="99"/>
        <v>Not Exists</v>
      </c>
    </row>
    <row r="2040" spans="1:16">
      <c r="A2040">
        <v>1</v>
      </c>
      <c r="B2040">
        <v>1</v>
      </c>
      <c r="C2040">
        <v>1</v>
      </c>
      <c r="D2040">
        <v>1</v>
      </c>
      <c r="E2040" s="50" t="s">
        <v>2058</v>
      </c>
      <c r="F2040" s="50" t="s">
        <v>2075</v>
      </c>
      <c r="G2040" s="50" t="s">
        <v>254</v>
      </c>
      <c r="H2040" s="50">
        <v>22</v>
      </c>
      <c r="M2040" t="str">
        <f>IF(COUNTIF($A:$A,E2040)=0,"Not Exists","Exists")</f>
        <v>Not Exists</v>
      </c>
      <c r="N2040" t="str">
        <f t="shared" si="100"/>
        <v>Not Exists</v>
      </c>
      <c r="O2040" t="str">
        <f t="shared" si="98"/>
        <v>Not Exists</v>
      </c>
      <c r="P2040" t="str">
        <f t="shared" si="99"/>
        <v>Not Exists</v>
      </c>
    </row>
    <row r="2041" spans="1:16">
      <c r="A2041">
        <v>1</v>
      </c>
      <c r="B2041">
        <v>1</v>
      </c>
      <c r="C2041">
        <v>1</v>
      </c>
      <c r="D2041">
        <v>1</v>
      </c>
      <c r="E2041" s="50" t="s">
        <v>2058</v>
      </c>
      <c r="F2041" s="50" t="s">
        <v>2076</v>
      </c>
      <c r="G2041" s="50" t="s">
        <v>256</v>
      </c>
      <c r="H2041" s="50">
        <v>50</v>
      </c>
      <c r="M2041" t="str">
        <f>IF(COUNTIF($A:$A,E2041)=0,"Not Exists","Exists")</f>
        <v>Not Exists</v>
      </c>
      <c r="N2041" t="str">
        <f t="shared" si="100"/>
        <v>Not Exists</v>
      </c>
      <c r="O2041" t="str">
        <f t="shared" si="98"/>
        <v>Not Exists</v>
      </c>
      <c r="P2041" t="str">
        <f t="shared" si="99"/>
        <v>Not Exists</v>
      </c>
    </row>
    <row r="2042" spans="1:16">
      <c r="A2042">
        <v>1</v>
      </c>
      <c r="B2042">
        <v>1</v>
      </c>
      <c r="C2042">
        <v>1</v>
      </c>
      <c r="D2042">
        <v>1</v>
      </c>
      <c r="E2042" s="50" t="s">
        <v>2058</v>
      </c>
      <c r="F2042" s="50" t="s">
        <v>2077</v>
      </c>
      <c r="G2042" s="50" t="s">
        <v>256</v>
      </c>
      <c r="H2042" s="50">
        <v>100</v>
      </c>
      <c r="M2042" t="str">
        <f>IF(COUNTIF($A:$A,E2042)=0,"Not Exists","Exists")</f>
        <v>Not Exists</v>
      </c>
      <c r="N2042" t="str">
        <f t="shared" si="100"/>
        <v>Not Exists</v>
      </c>
      <c r="O2042" t="str">
        <f t="shared" si="98"/>
        <v>Not Exists</v>
      </c>
      <c r="P2042" t="str">
        <f t="shared" si="99"/>
        <v>Not Exists</v>
      </c>
    </row>
    <row r="2043" spans="1:16">
      <c r="A2043">
        <v>1</v>
      </c>
      <c r="B2043">
        <v>1</v>
      </c>
      <c r="C2043">
        <v>1</v>
      </c>
      <c r="D2043">
        <v>1</v>
      </c>
      <c r="E2043" s="50" t="s">
        <v>2058</v>
      </c>
      <c r="F2043" s="50" t="s">
        <v>2078</v>
      </c>
      <c r="G2043" s="50" t="s">
        <v>251</v>
      </c>
      <c r="H2043" s="50">
        <v>1</v>
      </c>
      <c r="M2043" t="str">
        <f>IF(COUNTIF($A:$A,E2043)=0,"Not Exists","Exists")</f>
        <v>Not Exists</v>
      </c>
      <c r="N2043" t="str">
        <f t="shared" si="100"/>
        <v>Not Exists</v>
      </c>
      <c r="O2043" t="str">
        <f t="shared" si="98"/>
        <v>Not Exists</v>
      </c>
      <c r="P2043" t="str">
        <f t="shared" si="99"/>
        <v>Not Exists</v>
      </c>
    </row>
    <row r="2044" spans="1:16">
      <c r="A2044">
        <v>1</v>
      </c>
      <c r="B2044">
        <v>1</v>
      </c>
      <c r="C2044">
        <v>1</v>
      </c>
      <c r="D2044">
        <v>1</v>
      </c>
      <c r="E2044" s="50" t="s">
        <v>2058</v>
      </c>
      <c r="F2044" s="50" t="s">
        <v>2079</v>
      </c>
      <c r="G2044" s="50" t="s">
        <v>256</v>
      </c>
      <c r="H2044" s="50">
        <v>50</v>
      </c>
      <c r="M2044" t="str">
        <f>IF(COUNTIF($A:$A,E2044)=0,"Not Exists","Exists")</f>
        <v>Not Exists</v>
      </c>
      <c r="N2044" t="str">
        <f t="shared" si="100"/>
        <v>Not Exists</v>
      </c>
      <c r="O2044" t="str">
        <f t="shared" si="98"/>
        <v>Not Exists</v>
      </c>
      <c r="P2044" t="str">
        <f t="shared" si="99"/>
        <v>Not Exists</v>
      </c>
    </row>
    <row r="2045" spans="1:16">
      <c r="A2045">
        <v>1</v>
      </c>
      <c r="B2045">
        <v>1</v>
      </c>
      <c r="C2045">
        <v>1</v>
      </c>
      <c r="D2045">
        <v>1</v>
      </c>
      <c r="E2045" s="50" t="s">
        <v>2058</v>
      </c>
      <c r="F2045" s="50" t="s">
        <v>2080</v>
      </c>
      <c r="G2045" s="50" t="s">
        <v>256</v>
      </c>
      <c r="H2045" s="50">
        <v>50</v>
      </c>
      <c r="M2045" t="str">
        <f>IF(COUNTIF($A:$A,E2045)=0,"Not Exists","Exists")</f>
        <v>Not Exists</v>
      </c>
      <c r="N2045" t="str">
        <f t="shared" si="100"/>
        <v>Not Exists</v>
      </c>
      <c r="O2045" t="str">
        <f t="shared" si="98"/>
        <v>Not Exists</v>
      </c>
      <c r="P2045" t="str">
        <f t="shared" si="99"/>
        <v>Not Exists</v>
      </c>
    </row>
    <row r="2046" spans="1:16">
      <c r="A2046">
        <v>1</v>
      </c>
      <c r="B2046">
        <v>1</v>
      </c>
      <c r="C2046">
        <v>1</v>
      </c>
      <c r="D2046">
        <v>1</v>
      </c>
      <c r="E2046" s="50" t="s">
        <v>2058</v>
      </c>
      <c r="F2046" s="50" t="s">
        <v>2081</v>
      </c>
      <c r="G2046" s="50" t="s">
        <v>251</v>
      </c>
      <c r="H2046" s="50">
        <v>1</v>
      </c>
      <c r="M2046" t="str">
        <f>IF(COUNTIF($A:$A,E2046)=0,"Not Exists","Exists")</f>
        <v>Not Exists</v>
      </c>
      <c r="N2046" t="str">
        <f t="shared" si="100"/>
        <v>Not Exists</v>
      </c>
      <c r="O2046" t="str">
        <f t="shared" si="98"/>
        <v>Not Exists</v>
      </c>
      <c r="P2046" t="str">
        <f t="shared" si="99"/>
        <v>Not Exists</v>
      </c>
    </row>
    <row r="2047" spans="1:16">
      <c r="A2047">
        <v>1</v>
      </c>
      <c r="B2047">
        <v>1</v>
      </c>
      <c r="C2047">
        <v>1</v>
      </c>
      <c r="D2047">
        <v>1</v>
      </c>
      <c r="E2047" s="50" t="s">
        <v>2058</v>
      </c>
      <c r="F2047" s="50" t="s">
        <v>2082</v>
      </c>
      <c r="G2047" s="50" t="s">
        <v>256</v>
      </c>
      <c r="H2047" s="50">
        <v>50</v>
      </c>
      <c r="M2047" t="str">
        <f>IF(COUNTIF($A:$A,E2047)=0,"Not Exists","Exists")</f>
        <v>Not Exists</v>
      </c>
      <c r="N2047" t="str">
        <f t="shared" si="100"/>
        <v>Not Exists</v>
      </c>
      <c r="O2047" t="str">
        <f t="shared" si="98"/>
        <v>Not Exists</v>
      </c>
      <c r="P2047" t="str">
        <f t="shared" si="99"/>
        <v>Not Exists</v>
      </c>
    </row>
    <row r="2048" spans="1:16">
      <c r="A2048">
        <v>1</v>
      </c>
      <c r="B2048">
        <v>1</v>
      </c>
      <c r="C2048">
        <v>1</v>
      </c>
      <c r="D2048">
        <v>1</v>
      </c>
      <c r="E2048" s="50" t="s">
        <v>2058</v>
      </c>
      <c r="F2048" s="50" t="s">
        <v>833</v>
      </c>
      <c r="G2048" s="50" t="s">
        <v>254</v>
      </c>
      <c r="H2048" s="50">
        <v>22</v>
      </c>
      <c r="M2048" t="str">
        <f>IF(COUNTIF($A:$A,E2048)=0,"Not Exists","Exists")</f>
        <v>Not Exists</v>
      </c>
      <c r="N2048" t="str">
        <f t="shared" si="100"/>
        <v>Not Exists</v>
      </c>
      <c r="O2048" t="str">
        <f t="shared" si="98"/>
        <v>Not Exists</v>
      </c>
      <c r="P2048" t="str">
        <f t="shared" si="99"/>
        <v>Not Exists</v>
      </c>
    </row>
    <row r="2049" spans="1:16">
      <c r="A2049">
        <v>1</v>
      </c>
      <c r="B2049">
        <v>1</v>
      </c>
      <c r="C2049">
        <v>1</v>
      </c>
      <c r="D2049">
        <v>1</v>
      </c>
      <c r="E2049" s="50" t="s">
        <v>2058</v>
      </c>
      <c r="F2049" s="50" t="s">
        <v>2083</v>
      </c>
      <c r="G2049" s="50" t="s">
        <v>254</v>
      </c>
      <c r="H2049" s="50">
        <v>22</v>
      </c>
      <c r="M2049" t="str">
        <f>IF(COUNTIF($A:$A,E2049)=0,"Not Exists","Exists")</f>
        <v>Not Exists</v>
      </c>
      <c r="N2049" t="str">
        <f t="shared" si="100"/>
        <v>Not Exists</v>
      </c>
      <c r="O2049" t="str">
        <f t="shared" si="98"/>
        <v>Not Exists</v>
      </c>
      <c r="P2049" t="str">
        <f t="shared" si="99"/>
        <v>Not Exists</v>
      </c>
    </row>
    <row r="2050" spans="1:16">
      <c r="A2050">
        <v>1</v>
      </c>
      <c r="B2050">
        <v>1</v>
      </c>
      <c r="C2050">
        <v>1</v>
      </c>
      <c r="D2050">
        <v>1</v>
      </c>
      <c r="E2050" s="50" t="s">
        <v>2058</v>
      </c>
      <c r="F2050" s="50" t="s">
        <v>2084</v>
      </c>
      <c r="G2050" s="50" t="s">
        <v>254</v>
      </c>
      <c r="H2050" s="50">
        <v>22</v>
      </c>
      <c r="M2050" t="str">
        <f>IF(COUNTIF($A:$A,E2050)=0,"Not Exists","Exists")</f>
        <v>Not Exists</v>
      </c>
      <c r="N2050" t="str">
        <f t="shared" si="100"/>
        <v>Not Exists</v>
      </c>
      <c r="O2050" t="str">
        <f t="shared" si="98"/>
        <v>Not Exists</v>
      </c>
      <c r="P2050" t="str">
        <f t="shared" si="99"/>
        <v>Not Exists</v>
      </c>
    </row>
    <row r="2051" spans="1:16">
      <c r="A2051">
        <v>1</v>
      </c>
      <c r="B2051">
        <v>1</v>
      </c>
      <c r="C2051">
        <v>1</v>
      </c>
      <c r="D2051">
        <v>1</v>
      </c>
      <c r="E2051" s="50" t="s">
        <v>2058</v>
      </c>
      <c r="F2051" s="50" t="s">
        <v>315</v>
      </c>
      <c r="G2051" s="50" t="s">
        <v>251</v>
      </c>
      <c r="H2051" s="50">
        <v>17</v>
      </c>
      <c r="M2051" t="str">
        <f>IF(COUNTIF($A:$A,E2051)=0,"Not Exists","Exists")</f>
        <v>Not Exists</v>
      </c>
      <c r="N2051" t="str">
        <f t="shared" si="100"/>
        <v>Exists</v>
      </c>
      <c r="O2051" t="str">
        <f t="shared" si="98"/>
        <v>Not Exists</v>
      </c>
      <c r="P2051" t="str">
        <f t="shared" si="99"/>
        <v>Not Exists</v>
      </c>
    </row>
    <row r="2052" spans="1:16">
      <c r="A2052">
        <v>1</v>
      </c>
      <c r="B2052">
        <v>1</v>
      </c>
      <c r="C2052">
        <v>1</v>
      </c>
      <c r="D2052">
        <v>1</v>
      </c>
      <c r="E2052" s="50" t="s">
        <v>2058</v>
      </c>
      <c r="F2052" s="50" t="s">
        <v>316</v>
      </c>
      <c r="G2052" s="50" t="s">
        <v>256</v>
      </c>
      <c r="H2052" s="50">
        <v>50</v>
      </c>
      <c r="M2052" t="str">
        <f>IF(COUNTIF($A:$A,E2052)=0,"Not Exists","Exists")</f>
        <v>Not Exists</v>
      </c>
      <c r="N2052" t="str">
        <f t="shared" si="100"/>
        <v>Exists</v>
      </c>
      <c r="O2052" t="str">
        <f t="shared" ref="O2052:O2115" si="101">IF(COUNTIF($E:$E,A2052)=0,"Not Exists","Exists")</f>
        <v>Not Exists</v>
      </c>
      <c r="P2052" t="str">
        <f t="shared" ref="P2052:P2115" si="102">IF(COUNTIF($F:$F,B2052)=0,"Not Exists","Exists")</f>
        <v>Not Exists</v>
      </c>
    </row>
    <row r="2053" spans="1:16">
      <c r="A2053">
        <v>1</v>
      </c>
      <c r="B2053">
        <v>1</v>
      </c>
      <c r="C2053">
        <v>1</v>
      </c>
      <c r="D2053">
        <v>1</v>
      </c>
      <c r="E2053" s="50" t="s">
        <v>2058</v>
      </c>
      <c r="F2053" s="50" t="s">
        <v>317</v>
      </c>
      <c r="G2053" s="50" t="s">
        <v>251</v>
      </c>
      <c r="H2053" s="50">
        <v>17</v>
      </c>
      <c r="M2053" t="str">
        <f>IF(COUNTIF($A:$A,E2053)=0,"Not Exists","Exists")</f>
        <v>Not Exists</v>
      </c>
      <c r="N2053" t="str">
        <f t="shared" si="100"/>
        <v>Exists</v>
      </c>
      <c r="O2053" t="str">
        <f t="shared" si="101"/>
        <v>Not Exists</v>
      </c>
      <c r="P2053" t="str">
        <f t="shared" si="102"/>
        <v>Not Exists</v>
      </c>
    </row>
    <row r="2054" spans="1:16">
      <c r="A2054">
        <v>1</v>
      </c>
      <c r="B2054">
        <v>1</v>
      </c>
      <c r="C2054">
        <v>1</v>
      </c>
      <c r="D2054">
        <v>1</v>
      </c>
      <c r="E2054" s="50" t="s">
        <v>2058</v>
      </c>
      <c r="F2054" s="50" t="s">
        <v>318</v>
      </c>
      <c r="G2054" s="50" t="s">
        <v>256</v>
      </c>
      <c r="H2054" s="50">
        <v>50</v>
      </c>
      <c r="M2054" t="str">
        <f>IF(COUNTIF($A:$A,E2054)=0,"Not Exists","Exists")</f>
        <v>Not Exists</v>
      </c>
      <c r="N2054" t="str">
        <f t="shared" si="100"/>
        <v>Exists</v>
      </c>
      <c r="O2054" t="str">
        <f t="shared" si="101"/>
        <v>Not Exists</v>
      </c>
      <c r="P2054" t="str">
        <f t="shared" si="102"/>
        <v>Not Exists</v>
      </c>
    </row>
    <row r="2055" spans="1:16">
      <c r="A2055">
        <v>1</v>
      </c>
      <c r="B2055">
        <v>1</v>
      </c>
      <c r="C2055">
        <v>1</v>
      </c>
      <c r="D2055">
        <v>1</v>
      </c>
      <c r="E2055" s="50" t="s">
        <v>2085</v>
      </c>
      <c r="F2055" s="50" t="s">
        <v>2086</v>
      </c>
      <c r="G2055" s="50" t="s">
        <v>256</v>
      </c>
      <c r="H2055" s="50">
        <v>50</v>
      </c>
      <c r="M2055" t="str">
        <f>IF(COUNTIF($A:$A,E2055)=0,"Not Exists","Exists")</f>
        <v>Not Exists</v>
      </c>
      <c r="N2055" t="str">
        <f t="shared" si="100"/>
        <v>Not Exists</v>
      </c>
      <c r="O2055" t="str">
        <f t="shared" si="101"/>
        <v>Not Exists</v>
      </c>
      <c r="P2055" t="str">
        <f t="shared" si="102"/>
        <v>Not Exists</v>
      </c>
    </row>
    <row r="2056" spans="1:16">
      <c r="A2056">
        <v>1</v>
      </c>
      <c r="B2056">
        <v>1</v>
      </c>
      <c r="C2056">
        <v>1</v>
      </c>
      <c r="D2056">
        <v>1</v>
      </c>
      <c r="E2056" s="50" t="s">
        <v>2085</v>
      </c>
      <c r="F2056" s="50" t="s">
        <v>2087</v>
      </c>
      <c r="G2056" s="50" t="s">
        <v>256</v>
      </c>
      <c r="H2056" s="50">
        <v>50</v>
      </c>
      <c r="M2056" t="str">
        <f>IF(COUNTIF($A:$A,E2056)=0,"Not Exists","Exists")</f>
        <v>Not Exists</v>
      </c>
      <c r="N2056" t="str">
        <f t="shared" si="100"/>
        <v>Not Exists</v>
      </c>
      <c r="O2056" t="str">
        <f t="shared" si="101"/>
        <v>Not Exists</v>
      </c>
      <c r="P2056" t="str">
        <f t="shared" si="102"/>
        <v>Not Exists</v>
      </c>
    </row>
    <row r="2057" spans="1:16">
      <c r="A2057">
        <v>1</v>
      </c>
      <c r="B2057">
        <v>1</v>
      </c>
      <c r="C2057">
        <v>1</v>
      </c>
      <c r="D2057">
        <v>1</v>
      </c>
      <c r="E2057" s="50" t="s">
        <v>2085</v>
      </c>
      <c r="F2057" s="50" t="s">
        <v>2088</v>
      </c>
      <c r="G2057" s="50" t="s">
        <v>256</v>
      </c>
      <c r="H2057" s="50">
        <v>50</v>
      </c>
      <c r="M2057" t="str">
        <f>IF(COUNTIF($A:$A,E2057)=0,"Not Exists","Exists")</f>
        <v>Not Exists</v>
      </c>
      <c r="N2057" t="str">
        <f t="shared" si="100"/>
        <v>Not Exists</v>
      </c>
      <c r="O2057" t="str">
        <f t="shared" si="101"/>
        <v>Not Exists</v>
      </c>
      <c r="P2057" t="str">
        <f t="shared" si="102"/>
        <v>Not Exists</v>
      </c>
    </row>
    <row r="2058" spans="1:16">
      <c r="A2058">
        <v>1</v>
      </c>
      <c r="B2058">
        <v>1</v>
      </c>
      <c r="C2058">
        <v>1</v>
      </c>
      <c r="D2058">
        <v>1</v>
      </c>
      <c r="E2058" s="50" t="s">
        <v>2085</v>
      </c>
      <c r="F2058" s="50" t="s">
        <v>2089</v>
      </c>
      <c r="G2058" s="50" t="s">
        <v>256</v>
      </c>
      <c r="H2058" s="50">
        <v>100</v>
      </c>
      <c r="M2058" t="str">
        <f>IF(COUNTIF($A:$A,E2058)=0,"Not Exists","Exists")</f>
        <v>Not Exists</v>
      </c>
      <c r="N2058" t="str">
        <f t="shared" si="100"/>
        <v>Not Exists</v>
      </c>
      <c r="O2058" t="str">
        <f t="shared" si="101"/>
        <v>Not Exists</v>
      </c>
      <c r="P2058" t="str">
        <f t="shared" si="102"/>
        <v>Not Exists</v>
      </c>
    </row>
    <row r="2059" spans="1:16">
      <c r="A2059">
        <v>1</v>
      </c>
      <c r="B2059">
        <v>1</v>
      </c>
      <c r="C2059">
        <v>1</v>
      </c>
      <c r="D2059">
        <v>1</v>
      </c>
      <c r="E2059" s="50" t="s">
        <v>2085</v>
      </c>
      <c r="F2059" s="50" t="s">
        <v>315</v>
      </c>
      <c r="G2059" s="50" t="s">
        <v>251</v>
      </c>
      <c r="H2059" s="50">
        <v>17</v>
      </c>
      <c r="M2059" t="str">
        <f>IF(COUNTIF($A:$A,E2059)=0,"Not Exists","Exists")</f>
        <v>Not Exists</v>
      </c>
      <c r="N2059" t="str">
        <f t="shared" si="100"/>
        <v>Exists</v>
      </c>
      <c r="O2059" t="str">
        <f t="shared" si="101"/>
        <v>Not Exists</v>
      </c>
      <c r="P2059" t="str">
        <f t="shared" si="102"/>
        <v>Not Exists</v>
      </c>
    </row>
    <row r="2060" spans="1:16">
      <c r="A2060">
        <v>1</v>
      </c>
      <c r="B2060">
        <v>1</v>
      </c>
      <c r="C2060">
        <v>1</v>
      </c>
      <c r="D2060">
        <v>1</v>
      </c>
      <c r="E2060" s="50" t="s">
        <v>2085</v>
      </c>
      <c r="F2060" s="50" t="s">
        <v>316</v>
      </c>
      <c r="G2060" s="50" t="s">
        <v>256</v>
      </c>
      <c r="H2060" s="50">
        <v>50</v>
      </c>
      <c r="M2060" t="str">
        <f>IF(COUNTIF($A:$A,E2060)=0,"Not Exists","Exists")</f>
        <v>Not Exists</v>
      </c>
      <c r="N2060" t="str">
        <f t="shared" si="100"/>
        <v>Exists</v>
      </c>
      <c r="O2060" t="str">
        <f t="shared" si="101"/>
        <v>Not Exists</v>
      </c>
      <c r="P2060" t="str">
        <f t="shared" si="102"/>
        <v>Not Exists</v>
      </c>
    </row>
    <row r="2061" spans="1:16">
      <c r="A2061">
        <v>1</v>
      </c>
      <c r="B2061">
        <v>1</v>
      </c>
      <c r="C2061">
        <v>1</v>
      </c>
      <c r="D2061">
        <v>1</v>
      </c>
      <c r="E2061" s="50" t="s">
        <v>2085</v>
      </c>
      <c r="F2061" s="50" t="s">
        <v>317</v>
      </c>
      <c r="G2061" s="50" t="s">
        <v>251</v>
      </c>
      <c r="H2061" s="50">
        <v>17</v>
      </c>
      <c r="M2061" t="str">
        <f>IF(COUNTIF($A:$A,E2061)=0,"Not Exists","Exists")</f>
        <v>Not Exists</v>
      </c>
      <c r="N2061" t="str">
        <f t="shared" si="100"/>
        <v>Exists</v>
      </c>
      <c r="O2061" t="str">
        <f t="shared" si="101"/>
        <v>Not Exists</v>
      </c>
      <c r="P2061" t="str">
        <f t="shared" si="102"/>
        <v>Not Exists</v>
      </c>
    </row>
    <row r="2062" spans="1:16">
      <c r="A2062">
        <v>1</v>
      </c>
      <c r="B2062">
        <v>1</v>
      </c>
      <c r="C2062">
        <v>1</v>
      </c>
      <c r="D2062">
        <v>1</v>
      </c>
      <c r="E2062" s="50" t="s">
        <v>2085</v>
      </c>
      <c r="F2062" s="50" t="s">
        <v>318</v>
      </c>
      <c r="G2062" s="50" t="s">
        <v>256</v>
      </c>
      <c r="H2062" s="50">
        <v>50</v>
      </c>
      <c r="M2062" t="str">
        <f>IF(COUNTIF($A:$A,E2062)=0,"Not Exists","Exists")</f>
        <v>Not Exists</v>
      </c>
      <c r="N2062" t="str">
        <f t="shared" si="100"/>
        <v>Exists</v>
      </c>
      <c r="O2062" t="str">
        <f t="shared" si="101"/>
        <v>Not Exists</v>
      </c>
      <c r="P2062" t="str">
        <f t="shared" si="102"/>
        <v>Not Exists</v>
      </c>
    </row>
    <row r="2063" spans="1:16">
      <c r="A2063">
        <v>1</v>
      </c>
      <c r="B2063">
        <v>1</v>
      </c>
      <c r="C2063">
        <v>1</v>
      </c>
      <c r="D2063">
        <v>1</v>
      </c>
      <c r="E2063" s="50" t="s">
        <v>2090</v>
      </c>
      <c r="F2063" s="50" t="s">
        <v>1218</v>
      </c>
      <c r="G2063" s="50" t="s">
        <v>256</v>
      </c>
      <c r="H2063" s="50">
        <v>50</v>
      </c>
      <c r="M2063" t="str">
        <f>IF(COUNTIF($A:$A,E2063)=0,"Not Exists","Exists")</f>
        <v>Not Exists</v>
      </c>
      <c r="N2063" t="str">
        <f t="shared" si="100"/>
        <v>Exists</v>
      </c>
      <c r="O2063" t="str">
        <f t="shared" si="101"/>
        <v>Not Exists</v>
      </c>
      <c r="P2063" t="str">
        <f t="shared" si="102"/>
        <v>Not Exists</v>
      </c>
    </row>
    <row r="2064" spans="1:16">
      <c r="A2064">
        <v>1</v>
      </c>
      <c r="B2064">
        <v>1</v>
      </c>
      <c r="C2064">
        <v>1</v>
      </c>
      <c r="D2064">
        <v>1</v>
      </c>
      <c r="E2064" s="50" t="s">
        <v>2090</v>
      </c>
      <c r="F2064" s="50" t="s">
        <v>1230</v>
      </c>
      <c r="G2064" s="50" t="s">
        <v>256</v>
      </c>
      <c r="H2064" s="50">
        <v>41</v>
      </c>
      <c r="M2064" t="str">
        <f>IF(COUNTIF($A:$A,E2064)=0,"Not Exists","Exists")</f>
        <v>Not Exists</v>
      </c>
      <c r="N2064" t="str">
        <f t="shared" si="100"/>
        <v>Exists</v>
      </c>
      <c r="O2064" t="str">
        <f t="shared" si="101"/>
        <v>Not Exists</v>
      </c>
      <c r="P2064" t="str">
        <f t="shared" si="102"/>
        <v>Not Exists</v>
      </c>
    </row>
    <row r="2065" spans="1:16">
      <c r="A2065">
        <v>1</v>
      </c>
      <c r="B2065">
        <v>1</v>
      </c>
      <c r="C2065">
        <v>1</v>
      </c>
      <c r="D2065">
        <v>1</v>
      </c>
      <c r="E2065" s="50" t="s">
        <v>2090</v>
      </c>
      <c r="F2065" s="50" t="s">
        <v>1232</v>
      </c>
      <c r="G2065" s="50" t="s">
        <v>256</v>
      </c>
      <c r="H2065" s="50">
        <v>450</v>
      </c>
      <c r="M2065" t="str">
        <f>IF(COUNTIF($A:$A,E2065)=0,"Not Exists","Exists")</f>
        <v>Not Exists</v>
      </c>
      <c r="N2065" t="str">
        <f t="shared" si="100"/>
        <v>Exists</v>
      </c>
      <c r="O2065" t="str">
        <f t="shared" si="101"/>
        <v>Not Exists</v>
      </c>
      <c r="P2065" t="str">
        <f t="shared" si="102"/>
        <v>Not Exists</v>
      </c>
    </row>
    <row r="2066" spans="1:16">
      <c r="A2066">
        <v>1</v>
      </c>
      <c r="B2066">
        <v>1</v>
      </c>
      <c r="C2066">
        <v>1</v>
      </c>
      <c r="D2066">
        <v>1</v>
      </c>
      <c r="E2066" s="50" t="s">
        <v>2090</v>
      </c>
      <c r="F2066" s="50" t="s">
        <v>2091</v>
      </c>
      <c r="G2066" s="50" t="s">
        <v>256</v>
      </c>
      <c r="H2066" s="50">
        <v>10</v>
      </c>
      <c r="M2066" t="str">
        <f>IF(COUNTIF($A:$A,E2066)=0,"Not Exists","Exists")</f>
        <v>Not Exists</v>
      </c>
      <c r="N2066" t="str">
        <f t="shared" si="100"/>
        <v>Not Exists</v>
      </c>
      <c r="O2066" t="str">
        <f t="shared" si="101"/>
        <v>Not Exists</v>
      </c>
      <c r="P2066" t="str">
        <f t="shared" si="102"/>
        <v>Not Exists</v>
      </c>
    </row>
    <row r="2067" spans="1:16">
      <c r="A2067">
        <v>1</v>
      </c>
      <c r="B2067">
        <v>1</v>
      </c>
      <c r="C2067">
        <v>1</v>
      </c>
      <c r="D2067">
        <v>1</v>
      </c>
      <c r="E2067" s="50" t="s">
        <v>2090</v>
      </c>
      <c r="F2067" s="50" t="s">
        <v>2092</v>
      </c>
      <c r="G2067" s="50" t="s">
        <v>256</v>
      </c>
      <c r="H2067" s="50">
        <v>50</v>
      </c>
      <c r="M2067" t="str">
        <f>IF(COUNTIF($A:$A,E2067)=0,"Not Exists","Exists")</f>
        <v>Not Exists</v>
      </c>
      <c r="N2067" t="str">
        <f t="shared" si="100"/>
        <v>Not Exists</v>
      </c>
      <c r="O2067" t="str">
        <f t="shared" si="101"/>
        <v>Not Exists</v>
      </c>
      <c r="P2067" t="str">
        <f t="shared" si="102"/>
        <v>Not Exists</v>
      </c>
    </row>
    <row r="2068" spans="1:16">
      <c r="A2068">
        <v>1</v>
      </c>
      <c r="B2068">
        <v>1</v>
      </c>
      <c r="C2068">
        <v>1</v>
      </c>
      <c r="D2068">
        <v>1</v>
      </c>
      <c r="E2068" s="50" t="s">
        <v>2090</v>
      </c>
      <c r="F2068" s="50" t="s">
        <v>315</v>
      </c>
      <c r="G2068" s="50" t="s">
        <v>251</v>
      </c>
      <c r="H2068" s="50">
        <v>17</v>
      </c>
      <c r="M2068" t="str">
        <f>IF(COUNTIF($A:$A,E2068)=0,"Not Exists","Exists")</f>
        <v>Not Exists</v>
      </c>
      <c r="N2068" t="str">
        <f t="shared" si="100"/>
        <v>Exists</v>
      </c>
      <c r="O2068" t="str">
        <f t="shared" si="101"/>
        <v>Not Exists</v>
      </c>
      <c r="P2068" t="str">
        <f t="shared" si="102"/>
        <v>Not Exists</v>
      </c>
    </row>
    <row r="2069" spans="1:16">
      <c r="A2069">
        <v>1</v>
      </c>
      <c r="B2069">
        <v>1</v>
      </c>
      <c r="C2069">
        <v>1</v>
      </c>
      <c r="D2069">
        <v>1</v>
      </c>
      <c r="E2069" s="50" t="s">
        <v>2090</v>
      </c>
      <c r="F2069" s="50" t="s">
        <v>316</v>
      </c>
      <c r="G2069" s="50" t="s">
        <v>256</v>
      </c>
      <c r="H2069" s="50">
        <v>50</v>
      </c>
      <c r="M2069" t="str">
        <f>IF(COUNTIF($A:$A,E2069)=0,"Not Exists","Exists")</f>
        <v>Not Exists</v>
      </c>
      <c r="N2069" t="str">
        <f t="shared" si="100"/>
        <v>Exists</v>
      </c>
      <c r="O2069" t="str">
        <f t="shared" si="101"/>
        <v>Not Exists</v>
      </c>
      <c r="P2069" t="str">
        <f t="shared" si="102"/>
        <v>Not Exists</v>
      </c>
    </row>
    <row r="2070" spans="1:16">
      <c r="A2070">
        <v>1</v>
      </c>
      <c r="B2070">
        <v>1</v>
      </c>
      <c r="C2070">
        <v>1</v>
      </c>
      <c r="D2070">
        <v>1</v>
      </c>
      <c r="E2070" s="50" t="s">
        <v>2090</v>
      </c>
      <c r="F2070" s="50" t="s">
        <v>317</v>
      </c>
      <c r="G2070" s="50" t="s">
        <v>251</v>
      </c>
      <c r="H2070" s="50">
        <v>17</v>
      </c>
      <c r="M2070" t="str">
        <f>IF(COUNTIF($A:$A,E2070)=0,"Not Exists","Exists")</f>
        <v>Not Exists</v>
      </c>
      <c r="N2070" t="str">
        <f t="shared" si="100"/>
        <v>Exists</v>
      </c>
      <c r="O2070" t="str">
        <f t="shared" si="101"/>
        <v>Not Exists</v>
      </c>
      <c r="P2070" t="str">
        <f t="shared" si="102"/>
        <v>Not Exists</v>
      </c>
    </row>
    <row r="2071" spans="1:16">
      <c r="A2071">
        <v>1</v>
      </c>
      <c r="B2071">
        <v>1</v>
      </c>
      <c r="C2071">
        <v>1</v>
      </c>
      <c r="D2071">
        <v>1</v>
      </c>
      <c r="E2071" s="50" t="s">
        <v>2090</v>
      </c>
      <c r="F2071" s="50" t="s">
        <v>318</v>
      </c>
      <c r="G2071" s="50" t="s">
        <v>256</v>
      </c>
      <c r="H2071" s="50">
        <v>50</v>
      </c>
      <c r="M2071" t="str">
        <f>IF(COUNTIF($A:$A,E2071)=0,"Not Exists","Exists")</f>
        <v>Not Exists</v>
      </c>
      <c r="N2071" t="str">
        <f t="shared" si="100"/>
        <v>Exists</v>
      </c>
      <c r="O2071" t="str">
        <f t="shared" si="101"/>
        <v>Not Exists</v>
      </c>
      <c r="P2071" t="str">
        <f t="shared" si="102"/>
        <v>Not Exists</v>
      </c>
    </row>
    <row r="2072" spans="1:16">
      <c r="A2072">
        <v>1</v>
      </c>
      <c r="B2072">
        <v>1</v>
      </c>
      <c r="C2072">
        <v>1</v>
      </c>
      <c r="D2072">
        <v>1</v>
      </c>
      <c r="E2072" s="50" t="s">
        <v>862</v>
      </c>
      <c r="F2072" s="50" t="s">
        <v>712</v>
      </c>
      <c r="G2072" s="50" t="s">
        <v>256</v>
      </c>
      <c r="H2072" s="50">
        <v>50</v>
      </c>
      <c r="M2072" t="str">
        <f>IF(COUNTIF($A:$A,E2072)=0,"Not Exists","Exists")</f>
        <v>Exists</v>
      </c>
      <c r="N2072" t="str">
        <f t="shared" si="100"/>
        <v>Exists</v>
      </c>
      <c r="O2072" t="str">
        <f t="shared" si="101"/>
        <v>Not Exists</v>
      </c>
      <c r="P2072" t="str">
        <f t="shared" si="102"/>
        <v>Not Exists</v>
      </c>
    </row>
    <row r="2073" spans="1:16">
      <c r="A2073">
        <v>1</v>
      </c>
      <c r="B2073">
        <v>1</v>
      </c>
      <c r="C2073">
        <v>1</v>
      </c>
      <c r="D2073">
        <v>1</v>
      </c>
      <c r="E2073" s="50" t="s">
        <v>862</v>
      </c>
      <c r="F2073" s="50" t="s">
        <v>701</v>
      </c>
      <c r="G2073" s="50" t="s">
        <v>256</v>
      </c>
      <c r="H2073" s="50">
        <v>450</v>
      </c>
      <c r="M2073" t="str">
        <f>IF(COUNTIF($A:$A,E2073)=0,"Not Exists","Exists")</f>
        <v>Exists</v>
      </c>
      <c r="N2073" t="str">
        <f t="shared" si="100"/>
        <v>Exists</v>
      </c>
      <c r="O2073" t="str">
        <f t="shared" si="101"/>
        <v>Not Exists</v>
      </c>
      <c r="P2073" t="str">
        <f t="shared" si="102"/>
        <v>Not Exists</v>
      </c>
    </row>
    <row r="2074" spans="1:16">
      <c r="A2074">
        <v>1</v>
      </c>
      <c r="B2074">
        <v>1</v>
      </c>
      <c r="C2074">
        <v>1</v>
      </c>
      <c r="D2074">
        <v>1</v>
      </c>
      <c r="E2074" s="50" t="s">
        <v>862</v>
      </c>
      <c r="F2074" s="50" t="s">
        <v>863</v>
      </c>
      <c r="G2074" s="50" t="s">
        <v>251</v>
      </c>
      <c r="H2074" s="50">
        <v>1</v>
      </c>
      <c r="M2074" t="str">
        <f>IF(COUNTIF($A:$A,E2074)=0,"Not Exists","Exists")</f>
        <v>Exists</v>
      </c>
      <c r="N2074" t="str">
        <f t="shared" si="100"/>
        <v>Exists</v>
      </c>
      <c r="O2074" t="str">
        <f t="shared" si="101"/>
        <v>Not Exists</v>
      </c>
      <c r="P2074" t="str">
        <f t="shared" si="102"/>
        <v>Not Exists</v>
      </c>
    </row>
    <row r="2075" spans="1:16">
      <c r="A2075">
        <v>1</v>
      </c>
      <c r="B2075">
        <v>1</v>
      </c>
      <c r="C2075">
        <v>1</v>
      </c>
      <c r="D2075">
        <v>1</v>
      </c>
      <c r="E2075" s="50" t="s">
        <v>862</v>
      </c>
      <c r="F2075" s="50" t="s">
        <v>2093</v>
      </c>
      <c r="G2075" s="50" t="s">
        <v>251</v>
      </c>
      <c r="H2075" s="50">
        <v>1</v>
      </c>
      <c r="M2075" t="str">
        <f>IF(COUNTIF($A:$A,E2075)=0,"Not Exists","Exists")</f>
        <v>Exists</v>
      </c>
      <c r="N2075" t="str">
        <f t="shared" ref="N2075:N2087" si="103">IF(COUNTIF($A:$B,F2075)=0,"Not Exists","Exists")</f>
        <v>Not Exists</v>
      </c>
      <c r="O2075" t="str">
        <f t="shared" si="101"/>
        <v>Not Exists</v>
      </c>
      <c r="P2075" t="str">
        <f t="shared" si="102"/>
        <v>Not Exists</v>
      </c>
    </row>
    <row r="2076" spans="1:16">
      <c r="A2076">
        <v>1</v>
      </c>
      <c r="B2076">
        <v>1</v>
      </c>
      <c r="C2076">
        <v>1</v>
      </c>
      <c r="D2076">
        <v>1</v>
      </c>
      <c r="E2076" s="50" t="s">
        <v>862</v>
      </c>
      <c r="F2076" s="50" t="s">
        <v>864</v>
      </c>
      <c r="G2076" s="50" t="s">
        <v>256</v>
      </c>
      <c r="H2076" s="50">
        <v>450</v>
      </c>
      <c r="M2076" t="str">
        <f>IF(COUNTIF($A:$A,E2076)=0,"Not Exists","Exists")</f>
        <v>Exists</v>
      </c>
      <c r="N2076" t="str">
        <f t="shared" si="103"/>
        <v>Exists</v>
      </c>
      <c r="O2076" t="str">
        <f t="shared" si="101"/>
        <v>Not Exists</v>
      </c>
      <c r="P2076" t="str">
        <f t="shared" si="102"/>
        <v>Not Exists</v>
      </c>
    </row>
    <row r="2077" spans="1:16">
      <c r="A2077">
        <v>1</v>
      </c>
      <c r="B2077">
        <v>1</v>
      </c>
      <c r="C2077">
        <v>1</v>
      </c>
      <c r="D2077">
        <v>1</v>
      </c>
      <c r="E2077" s="50" t="s">
        <v>862</v>
      </c>
      <c r="F2077" s="50" t="s">
        <v>865</v>
      </c>
      <c r="G2077" s="50" t="s">
        <v>256</v>
      </c>
      <c r="H2077" s="50">
        <v>450</v>
      </c>
      <c r="M2077" t="str">
        <f>IF(COUNTIF($A:$A,E2077)=0,"Not Exists","Exists")</f>
        <v>Exists</v>
      </c>
      <c r="N2077" t="str">
        <f t="shared" si="103"/>
        <v>Exists</v>
      </c>
      <c r="O2077" t="str">
        <f t="shared" si="101"/>
        <v>Not Exists</v>
      </c>
      <c r="P2077" t="str">
        <f t="shared" si="102"/>
        <v>Not Exists</v>
      </c>
    </row>
    <row r="2078" spans="1:16">
      <c r="A2078">
        <v>1</v>
      </c>
      <c r="B2078">
        <v>1</v>
      </c>
      <c r="C2078">
        <v>1</v>
      </c>
      <c r="D2078">
        <v>1</v>
      </c>
      <c r="E2078" s="50" t="s">
        <v>862</v>
      </c>
      <c r="F2078" s="50" t="s">
        <v>866</v>
      </c>
      <c r="G2078" s="50" t="s">
        <v>256</v>
      </c>
      <c r="H2078" s="50">
        <v>450</v>
      </c>
      <c r="M2078" t="str">
        <f>IF(COUNTIF($A:$A,E2078)=0,"Not Exists","Exists")</f>
        <v>Exists</v>
      </c>
      <c r="N2078" t="str">
        <f t="shared" si="103"/>
        <v>Exists</v>
      </c>
      <c r="O2078" t="str">
        <f t="shared" si="101"/>
        <v>Not Exists</v>
      </c>
      <c r="P2078" t="str">
        <f t="shared" si="102"/>
        <v>Not Exists</v>
      </c>
    </row>
    <row r="2079" spans="1:16">
      <c r="A2079">
        <v>1</v>
      </c>
      <c r="B2079">
        <v>1</v>
      </c>
      <c r="C2079">
        <v>1</v>
      </c>
      <c r="D2079">
        <v>1</v>
      </c>
      <c r="E2079" s="50" t="s">
        <v>862</v>
      </c>
      <c r="F2079" s="50" t="s">
        <v>867</v>
      </c>
      <c r="G2079" s="50" t="s">
        <v>254</v>
      </c>
      <c r="H2079" s="50">
        <v>22</v>
      </c>
      <c r="M2079" t="str">
        <f>IF(COUNTIF($A:$A,E2079)=0,"Not Exists","Exists")</f>
        <v>Exists</v>
      </c>
      <c r="N2079" t="str">
        <f t="shared" si="103"/>
        <v>Exists</v>
      </c>
      <c r="O2079" t="str">
        <f t="shared" si="101"/>
        <v>Not Exists</v>
      </c>
      <c r="P2079" t="str">
        <f t="shared" si="102"/>
        <v>Not Exists</v>
      </c>
    </row>
    <row r="2080" spans="1:16">
      <c r="A2080">
        <v>1</v>
      </c>
      <c r="B2080">
        <v>1</v>
      </c>
      <c r="C2080">
        <v>1</v>
      </c>
      <c r="D2080">
        <v>1</v>
      </c>
      <c r="E2080" s="50" t="s">
        <v>862</v>
      </c>
      <c r="F2080" s="50" t="s">
        <v>868</v>
      </c>
      <c r="G2080" s="50" t="s">
        <v>251</v>
      </c>
      <c r="H2080" s="50">
        <v>1</v>
      </c>
      <c r="M2080" t="str">
        <f>IF(COUNTIF($A:$A,E2080)=0,"Not Exists","Exists")</f>
        <v>Exists</v>
      </c>
      <c r="N2080" t="str">
        <f t="shared" si="103"/>
        <v>Exists</v>
      </c>
      <c r="O2080" t="str">
        <f t="shared" si="101"/>
        <v>Not Exists</v>
      </c>
      <c r="P2080" t="str">
        <f t="shared" si="102"/>
        <v>Not Exists</v>
      </c>
    </row>
    <row r="2081" spans="1:16">
      <c r="A2081">
        <v>1</v>
      </c>
      <c r="B2081">
        <v>1</v>
      </c>
      <c r="C2081">
        <v>1</v>
      </c>
      <c r="D2081">
        <v>1</v>
      </c>
      <c r="E2081" s="50" t="s">
        <v>862</v>
      </c>
      <c r="F2081" s="50" t="s">
        <v>826</v>
      </c>
      <c r="G2081" s="50" t="s">
        <v>251</v>
      </c>
      <c r="H2081" s="50">
        <v>1</v>
      </c>
      <c r="M2081" t="str">
        <f>IF(COUNTIF($A:$A,E2081)=0,"Not Exists","Exists")</f>
        <v>Exists</v>
      </c>
      <c r="N2081" t="str">
        <f t="shared" si="103"/>
        <v>Exists</v>
      </c>
      <c r="O2081" t="str">
        <f t="shared" si="101"/>
        <v>Not Exists</v>
      </c>
      <c r="P2081" t="str">
        <f t="shared" si="102"/>
        <v>Not Exists</v>
      </c>
    </row>
    <row r="2082" spans="1:16">
      <c r="A2082">
        <v>1</v>
      </c>
      <c r="B2082">
        <v>1</v>
      </c>
      <c r="C2082">
        <v>1</v>
      </c>
      <c r="D2082">
        <v>1</v>
      </c>
      <c r="E2082" s="50" t="s">
        <v>862</v>
      </c>
      <c r="F2082" s="50" t="s">
        <v>870</v>
      </c>
      <c r="G2082" s="50" t="s">
        <v>254</v>
      </c>
      <c r="H2082" s="50">
        <v>22</v>
      </c>
      <c r="M2082" t="str">
        <f>IF(COUNTIF($A:$A,E2082)=0,"Not Exists","Exists")</f>
        <v>Exists</v>
      </c>
      <c r="N2082" t="str">
        <f t="shared" si="103"/>
        <v>Exists</v>
      </c>
      <c r="O2082" t="str">
        <f t="shared" si="101"/>
        <v>Not Exists</v>
      </c>
      <c r="P2082" t="str">
        <f t="shared" si="102"/>
        <v>Not Exists</v>
      </c>
    </row>
    <row r="2083" spans="1:16">
      <c r="A2083">
        <v>1</v>
      </c>
      <c r="B2083">
        <v>1</v>
      </c>
      <c r="C2083">
        <v>1</v>
      </c>
      <c r="D2083">
        <v>1</v>
      </c>
      <c r="E2083" s="50" t="s">
        <v>862</v>
      </c>
      <c r="F2083" s="50" t="s">
        <v>875</v>
      </c>
      <c r="G2083" s="50" t="s">
        <v>256</v>
      </c>
      <c r="H2083" s="50">
        <v>2000</v>
      </c>
      <c r="M2083" t="str">
        <f>IF(COUNTIF($A:$A,E2083)=0,"Not Exists","Exists")</f>
        <v>Exists</v>
      </c>
      <c r="N2083" t="str">
        <f t="shared" si="103"/>
        <v>Exists</v>
      </c>
      <c r="O2083" t="str">
        <f t="shared" si="101"/>
        <v>Not Exists</v>
      </c>
      <c r="P2083" t="str">
        <f t="shared" si="102"/>
        <v>Not Exists</v>
      </c>
    </row>
    <row r="2084" spans="1:16">
      <c r="A2084">
        <v>1</v>
      </c>
      <c r="B2084">
        <v>1</v>
      </c>
      <c r="C2084">
        <v>1</v>
      </c>
      <c r="D2084">
        <v>1</v>
      </c>
      <c r="E2084" s="50" t="s">
        <v>862</v>
      </c>
      <c r="F2084" s="50" t="s">
        <v>315</v>
      </c>
      <c r="G2084" s="50" t="s">
        <v>251</v>
      </c>
      <c r="H2084" s="50">
        <v>17</v>
      </c>
      <c r="M2084" t="str">
        <f>IF(COUNTIF($A:$A,E2084)=0,"Not Exists","Exists")</f>
        <v>Exists</v>
      </c>
      <c r="N2084" t="str">
        <f t="shared" si="103"/>
        <v>Exists</v>
      </c>
      <c r="O2084" t="str">
        <f t="shared" si="101"/>
        <v>Not Exists</v>
      </c>
      <c r="P2084" t="str">
        <f t="shared" si="102"/>
        <v>Not Exists</v>
      </c>
    </row>
    <row r="2085" spans="1:16">
      <c r="A2085">
        <v>1</v>
      </c>
      <c r="B2085">
        <v>1</v>
      </c>
      <c r="C2085">
        <v>1</v>
      </c>
      <c r="D2085">
        <v>1</v>
      </c>
      <c r="E2085" s="50" t="s">
        <v>862</v>
      </c>
      <c r="F2085" s="50" t="s">
        <v>317</v>
      </c>
      <c r="G2085" s="50" t="s">
        <v>251</v>
      </c>
      <c r="H2085" s="50">
        <v>17</v>
      </c>
      <c r="M2085" t="str">
        <f>IF(COUNTIF($A:$A,E2085)=0,"Not Exists","Exists")</f>
        <v>Exists</v>
      </c>
      <c r="N2085" t="str">
        <f t="shared" si="103"/>
        <v>Exists</v>
      </c>
      <c r="O2085" t="str">
        <f t="shared" si="101"/>
        <v>Not Exists</v>
      </c>
      <c r="P2085" t="str">
        <f t="shared" si="102"/>
        <v>Not Exists</v>
      </c>
    </row>
    <row r="2086" spans="1:16">
      <c r="A2086">
        <v>1</v>
      </c>
      <c r="B2086">
        <v>1</v>
      </c>
      <c r="C2086">
        <v>1</v>
      </c>
      <c r="D2086">
        <v>1</v>
      </c>
      <c r="E2086" s="50" t="s">
        <v>862</v>
      </c>
      <c r="F2086" s="50" t="s">
        <v>316</v>
      </c>
      <c r="G2086" s="50" t="s">
        <v>256</v>
      </c>
      <c r="H2086" s="50">
        <v>50</v>
      </c>
      <c r="M2086" t="str">
        <f>IF(COUNTIF($A:$A,E2086)=0,"Not Exists","Exists")</f>
        <v>Exists</v>
      </c>
      <c r="N2086" t="str">
        <f t="shared" si="103"/>
        <v>Exists</v>
      </c>
      <c r="O2086" t="str">
        <f t="shared" si="101"/>
        <v>Not Exists</v>
      </c>
      <c r="P2086" t="str">
        <f t="shared" si="102"/>
        <v>Not Exists</v>
      </c>
    </row>
    <row r="2087" spans="1:16">
      <c r="A2087">
        <v>1</v>
      </c>
      <c r="B2087">
        <v>1</v>
      </c>
      <c r="C2087">
        <v>1</v>
      </c>
      <c r="D2087">
        <v>1</v>
      </c>
      <c r="E2087" s="50" t="s">
        <v>862</v>
      </c>
      <c r="F2087" s="50" t="s">
        <v>318</v>
      </c>
      <c r="G2087" s="50" t="s">
        <v>256</v>
      </c>
      <c r="H2087" s="50">
        <v>50</v>
      </c>
      <c r="M2087" t="str">
        <f>IF(COUNTIF($A:$A,E2087)=0,"Not Exists","Exists")</f>
        <v>Exists</v>
      </c>
      <c r="N2087" t="str">
        <f t="shared" si="103"/>
        <v>Exists</v>
      </c>
      <c r="O2087" t="str">
        <f t="shared" si="101"/>
        <v>Not Exists</v>
      </c>
      <c r="P2087" t="str">
        <f t="shared" si="102"/>
        <v>Not Exists</v>
      </c>
    </row>
    <row r="2088" spans="1:16">
      <c r="A2088">
        <v>1</v>
      </c>
      <c r="B2088">
        <v>1</v>
      </c>
      <c r="C2088">
        <v>1</v>
      </c>
      <c r="D2088">
        <v>1</v>
      </c>
      <c r="E2088" s="50" t="s">
        <v>2094</v>
      </c>
      <c r="F2088" s="50" t="s">
        <v>466</v>
      </c>
      <c r="G2088" s="50" t="s">
        <v>251</v>
      </c>
      <c r="H2088" s="50">
        <v>1</v>
      </c>
      <c r="M2088" t="str">
        <f>IF(COUNTIF($A:$A,E2088)=0,"Not Exists","Exists")</f>
        <v>Not Exists</v>
      </c>
      <c r="N2088" t="str">
        <f t="shared" ref="N2088:N2151" si="104">IF(COUNTIF($A:$B,F2088)=0,"Not Exists","Exists")</f>
        <v>Exists</v>
      </c>
      <c r="O2088" t="str">
        <f t="shared" si="101"/>
        <v>Not Exists</v>
      </c>
      <c r="P2088" t="str">
        <f t="shared" si="102"/>
        <v>Not Exists</v>
      </c>
    </row>
    <row r="2089" spans="1:16">
      <c r="A2089">
        <v>1</v>
      </c>
      <c r="B2089">
        <v>1</v>
      </c>
      <c r="C2089">
        <v>1</v>
      </c>
      <c r="D2089">
        <v>1</v>
      </c>
      <c r="E2089" s="50" t="s">
        <v>2094</v>
      </c>
      <c r="F2089" s="50" t="s">
        <v>863</v>
      </c>
      <c r="G2089" s="50" t="s">
        <v>251</v>
      </c>
      <c r="H2089" s="50">
        <v>1</v>
      </c>
      <c r="M2089" t="str">
        <f>IF(COUNTIF($A:$A,E2089)=0,"Not Exists","Exists")</f>
        <v>Not Exists</v>
      </c>
      <c r="N2089" t="str">
        <f t="shared" si="104"/>
        <v>Exists</v>
      </c>
      <c r="O2089" t="str">
        <f t="shared" si="101"/>
        <v>Not Exists</v>
      </c>
      <c r="P2089" t="str">
        <f t="shared" si="102"/>
        <v>Not Exists</v>
      </c>
    </row>
    <row r="2090" spans="1:16">
      <c r="A2090">
        <v>1</v>
      </c>
      <c r="B2090">
        <v>1</v>
      </c>
      <c r="C2090">
        <v>1</v>
      </c>
      <c r="D2090">
        <v>1</v>
      </c>
      <c r="E2090" s="50" t="s">
        <v>2094</v>
      </c>
      <c r="F2090" s="50" t="s">
        <v>712</v>
      </c>
      <c r="G2090" s="50" t="s">
        <v>256</v>
      </c>
      <c r="H2090" s="50">
        <v>50</v>
      </c>
      <c r="M2090" t="str">
        <f>IF(COUNTIF($A:$A,E2090)=0,"Not Exists","Exists")</f>
        <v>Not Exists</v>
      </c>
      <c r="N2090" t="str">
        <f t="shared" si="104"/>
        <v>Exists</v>
      </c>
      <c r="O2090" t="str">
        <f t="shared" si="101"/>
        <v>Not Exists</v>
      </c>
      <c r="P2090" t="str">
        <f t="shared" si="102"/>
        <v>Not Exists</v>
      </c>
    </row>
    <row r="2091" spans="1:16">
      <c r="A2091">
        <v>1</v>
      </c>
      <c r="B2091">
        <v>1</v>
      </c>
      <c r="C2091">
        <v>1</v>
      </c>
      <c r="D2091">
        <v>1</v>
      </c>
      <c r="E2091" s="50" t="s">
        <v>2094</v>
      </c>
      <c r="F2091" s="50" t="s">
        <v>701</v>
      </c>
      <c r="G2091" s="50" t="s">
        <v>256</v>
      </c>
      <c r="H2091" s="50">
        <v>450</v>
      </c>
      <c r="M2091" t="str">
        <f>IF(COUNTIF($A:$A,E2091)=0,"Not Exists","Exists")</f>
        <v>Not Exists</v>
      </c>
      <c r="N2091" t="str">
        <f t="shared" si="104"/>
        <v>Exists</v>
      </c>
      <c r="O2091" t="str">
        <f t="shared" si="101"/>
        <v>Not Exists</v>
      </c>
      <c r="P2091" t="str">
        <f t="shared" si="102"/>
        <v>Not Exists</v>
      </c>
    </row>
    <row r="2092" spans="1:16">
      <c r="A2092">
        <v>1</v>
      </c>
      <c r="B2092">
        <v>1</v>
      </c>
      <c r="C2092">
        <v>1</v>
      </c>
      <c r="D2092">
        <v>1</v>
      </c>
      <c r="E2092" s="50" t="s">
        <v>2094</v>
      </c>
      <c r="F2092" s="50" t="s">
        <v>864</v>
      </c>
      <c r="G2092" s="50" t="s">
        <v>256</v>
      </c>
      <c r="H2092" s="50">
        <v>450</v>
      </c>
      <c r="M2092" t="str">
        <f>IF(COUNTIF($A:$A,E2092)=0,"Not Exists","Exists")</f>
        <v>Not Exists</v>
      </c>
      <c r="N2092" t="str">
        <f t="shared" si="104"/>
        <v>Exists</v>
      </c>
      <c r="O2092" t="str">
        <f t="shared" si="101"/>
        <v>Not Exists</v>
      </c>
      <c r="P2092" t="str">
        <f t="shared" si="102"/>
        <v>Not Exists</v>
      </c>
    </row>
    <row r="2093" spans="1:16">
      <c r="A2093">
        <v>1</v>
      </c>
      <c r="B2093">
        <v>1</v>
      </c>
      <c r="C2093">
        <v>1</v>
      </c>
      <c r="D2093">
        <v>1</v>
      </c>
      <c r="E2093" s="50" t="s">
        <v>2094</v>
      </c>
      <c r="F2093" s="50" t="s">
        <v>865</v>
      </c>
      <c r="G2093" s="50" t="s">
        <v>256</v>
      </c>
      <c r="H2093" s="50">
        <v>450</v>
      </c>
      <c r="M2093" t="str">
        <f>IF(COUNTIF($A:$A,E2093)=0,"Not Exists","Exists")</f>
        <v>Not Exists</v>
      </c>
      <c r="N2093" t="str">
        <f t="shared" si="104"/>
        <v>Exists</v>
      </c>
      <c r="O2093" t="str">
        <f t="shared" si="101"/>
        <v>Not Exists</v>
      </c>
      <c r="P2093" t="str">
        <f t="shared" si="102"/>
        <v>Not Exists</v>
      </c>
    </row>
    <row r="2094" spans="1:16">
      <c r="A2094">
        <v>1</v>
      </c>
      <c r="B2094">
        <v>1</v>
      </c>
      <c r="C2094">
        <v>1</v>
      </c>
      <c r="D2094">
        <v>1</v>
      </c>
      <c r="E2094" s="50" t="s">
        <v>2094</v>
      </c>
      <c r="F2094" s="50" t="s">
        <v>866</v>
      </c>
      <c r="G2094" s="50" t="s">
        <v>256</v>
      </c>
      <c r="H2094" s="50">
        <v>450</v>
      </c>
      <c r="M2094" t="str">
        <f>IF(COUNTIF($A:$A,E2094)=0,"Not Exists","Exists")</f>
        <v>Not Exists</v>
      </c>
      <c r="N2094" t="str">
        <f t="shared" si="104"/>
        <v>Exists</v>
      </c>
      <c r="O2094" t="str">
        <f t="shared" si="101"/>
        <v>Not Exists</v>
      </c>
      <c r="P2094" t="str">
        <f t="shared" si="102"/>
        <v>Not Exists</v>
      </c>
    </row>
    <row r="2095" spans="1:16">
      <c r="A2095">
        <v>1</v>
      </c>
      <c r="B2095">
        <v>1</v>
      </c>
      <c r="C2095">
        <v>1</v>
      </c>
      <c r="D2095">
        <v>1</v>
      </c>
      <c r="E2095" s="50" t="s">
        <v>2094</v>
      </c>
      <c r="F2095" s="50" t="s">
        <v>867</v>
      </c>
      <c r="G2095" s="50" t="s">
        <v>254</v>
      </c>
      <c r="H2095" s="50">
        <v>22</v>
      </c>
      <c r="M2095" t="str">
        <f>IF(COUNTIF($A:$A,E2095)=0,"Not Exists","Exists")</f>
        <v>Not Exists</v>
      </c>
      <c r="N2095" t="str">
        <f t="shared" si="104"/>
        <v>Exists</v>
      </c>
      <c r="O2095" t="str">
        <f t="shared" si="101"/>
        <v>Not Exists</v>
      </c>
      <c r="P2095" t="str">
        <f t="shared" si="102"/>
        <v>Not Exists</v>
      </c>
    </row>
    <row r="2096" spans="1:16">
      <c r="A2096">
        <v>1</v>
      </c>
      <c r="B2096">
        <v>1</v>
      </c>
      <c r="C2096">
        <v>1</v>
      </c>
      <c r="D2096">
        <v>1</v>
      </c>
      <c r="E2096" s="50" t="s">
        <v>2094</v>
      </c>
      <c r="F2096" s="50" t="s">
        <v>868</v>
      </c>
      <c r="G2096" s="50" t="s">
        <v>251</v>
      </c>
      <c r="H2096" s="50">
        <v>1</v>
      </c>
      <c r="M2096" t="str">
        <f>IF(COUNTIF($A:$A,E2096)=0,"Not Exists","Exists")</f>
        <v>Not Exists</v>
      </c>
      <c r="N2096" t="str">
        <f t="shared" si="104"/>
        <v>Exists</v>
      </c>
      <c r="O2096" t="str">
        <f t="shared" si="101"/>
        <v>Not Exists</v>
      </c>
      <c r="P2096" t="str">
        <f t="shared" si="102"/>
        <v>Not Exists</v>
      </c>
    </row>
    <row r="2097" spans="1:16">
      <c r="A2097">
        <v>1</v>
      </c>
      <c r="B2097">
        <v>1</v>
      </c>
      <c r="C2097">
        <v>1</v>
      </c>
      <c r="D2097">
        <v>1</v>
      </c>
      <c r="E2097" s="50" t="s">
        <v>2094</v>
      </c>
      <c r="F2097" s="50" t="s">
        <v>869</v>
      </c>
      <c r="G2097" s="50" t="s">
        <v>254</v>
      </c>
      <c r="H2097" s="50">
        <v>22</v>
      </c>
      <c r="M2097" t="str">
        <f>IF(COUNTIF($A:$A,E2097)=0,"Not Exists","Exists")</f>
        <v>Not Exists</v>
      </c>
      <c r="N2097" t="str">
        <f t="shared" si="104"/>
        <v>Exists</v>
      </c>
      <c r="O2097" t="str">
        <f t="shared" si="101"/>
        <v>Not Exists</v>
      </c>
      <c r="P2097" t="str">
        <f t="shared" si="102"/>
        <v>Not Exists</v>
      </c>
    </row>
    <row r="2098" spans="1:16">
      <c r="A2098">
        <v>1</v>
      </c>
      <c r="B2098">
        <v>1</v>
      </c>
      <c r="C2098">
        <v>1</v>
      </c>
      <c r="D2098">
        <v>1</v>
      </c>
      <c r="E2098" s="50" t="s">
        <v>2094</v>
      </c>
      <c r="F2098" s="50" t="s">
        <v>826</v>
      </c>
      <c r="G2098" s="50" t="s">
        <v>251</v>
      </c>
      <c r="H2098" s="50">
        <v>1</v>
      </c>
      <c r="M2098" t="str">
        <f>IF(COUNTIF($A:$A,E2098)=0,"Not Exists","Exists")</f>
        <v>Not Exists</v>
      </c>
      <c r="N2098" t="str">
        <f t="shared" si="104"/>
        <v>Exists</v>
      </c>
      <c r="O2098" t="str">
        <f t="shared" si="101"/>
        <v>Not Exists</v>
      </c>
      <c r="P2098" t="str">
        <f t="shared" si="102"/>
        <v>Not Exists</v>
      </c>
    </row>
    <row r="2099" spans="1:16">
      <c r="A2099">
        <v>1</v>
      </c>
      <c r="B2099">
        <v>1</v>
      </c>
      <c r="C2099">
        <v>1</v>
      </c>
      <c r="D2099">
        <v>1</v>
      </c>
      <c r="E2099" s="50" t="s">
        <v>2094</v>
      </c>
      <c r="F2099" s="50" t="s">
        <v>870</v>
      </c>
      <c r="G2099" s="50" t="s">
        <v>254</v>
      </c>
      <c r="H2099" s="50">
        <v>22</v>
      </c>
      <c r="M2099" t="str">
        <f>IF(COUNTIF($A:$A,E2099)=0,"Not Exists","Exists")</f>
        <v>Not Exists</v>
      </c>
      <c r="N2099" t="str">
        <f t="shared" si="104"/>
        <v>Exists</v>
      </c>
      <c r="O2099" t="str">
        <f t="shared" si="101"/>
        <v>Not Exists</v>
      </c>
      <c r="P2099" t="str">
        <f t="shared" si="102"/>
        <v>Not Exists</v>
      </c>
    </row>
    <row r="2100" spans="1:16">
      <c r="A2100">
        <v>1</v>
      </c>
      <c r="B2100">
        <v>1</v>
      </c>
      <c r="C2100">
        <v>1</v>
      </c>
      <c r="D2100">
        <v>1</v>
      </c>
      <c r="E2100" s="50" t="s">
        <v>2094</v>
      </c>
      <c r="F2100" s="50" t="s">
        <v>875</v>
      </c>
      <c r="G2100" s="50" t="s">
        <v>256</v>
      </c>
      <c r="H2100" s="50">
        <v>2000</v>
      </c>
      <c r="M2100" t="str">
        <f>IF(COUNTIF($A:$A,E2100)=0,"Not Exists","Exists")</f>
        <v>Not Exists</v>
      </c>
      <c r="N2100" t="str">
        <f t="shared" si="104"/>
        <v>Exists</v>
      </c>
      <c r="O2100" t="str">
        <f t="shared" si="101"/>
        <v>Not Exists</v>
      </c>
      <c r="P2100" t="str">
        <f t="shared" si="102"/>
        <v>Not Exists</v>
      </c>
    </row>
    <row r="2101" spans="1:16">
      <c r="A2101">
        <v>1</v>
      </c>
      <c r="B2101">
        <v>1</v>
      </c>
      <c r="C2101">
        <v>1</v>
      </c>
      <c r="D2101">
        <v>1</v>
      </c>
      <c r="E2101" s="50" t="s">
        <v>2094</v>
      </c>
      <c r="F2101" s="50" t="s">
        <v>315</v>
      </c>
      <c r="G2101" s="50" t="s">
        <v>251</v>
      </c>
      <c r="H2101" s="50">
        <v>17</v>
      </c>
      <c r="M2101" t="str">
        <f>IF(COUNTIF($A:$A,E2101)=0,"Not Exists","Exists")</f>
        <v>Not Exists</v>
      </c>
      <c r="N2101" t="str">
        <f t="shared" si="104"/>
        <v>Exists</v>
      </c>
      <c r="O2101" t="str">
        <f t="shared" si="101"/>
        <v>Not Exists</v>
      </c>
      <c r="P2101" t="str">
        <f t="shared" si="102"/>
        <v>Not Exists</v>
      </c>
    </row>
    <row r="2102" spans="1:16">
      <c r="A2102">
        <v>1</v>
      </c>
      <c r="B2102">
        <v>1</v>
      </c>
      <c r="C2102">
        <v>1</v>
      </c>
      <c r="D2102">
        <v>1</v>
      </c>
      <c r="E2102" s="50" t="s">
        <v>2094</v>
      </c>
      <c r="F2102" s="50" t="s">
        <v>317</v>
      </c>
      <c r="G2102" s="50" t="s">
        <v>251</v>
      </c>
      <c r="H2102" s="50">
        <v>17</v>
      </c>
      <c r="M2102" t="str">
        <f>IF(COUNTIF($A:$A,E2102)=0,"Not Exists","Exists")</f>
        <v>Not Exists</v>
      </c>
      <c r="N2102" t="str">
        <f t="shared" si="104"/>
        <v>Exists</v>
      </c>
      <c r="O2102" t="str">
        <f t="shared" si="101"/>
        <v>Not Exists</v>
      </c>
      <c r="P2102" t="str">
        <f t="shared" si="102"/>
        <v>Not Exists</v>
      </c>
    </row>
    <row r="2103" spans="1:16">
      <c r="A2103">
        <v>1</v>
      </c>
      <c r="B2103">
        <v>1</v>
      </c>
      <c r="C2103">
        <v>1</v>
      </c>
      <c r="D2103">
        <v>1</v>
      </c>
      <c r="E2103" s="50" t="s">
        <v>2094</v>
      </c>
      <c r="F2103" s="50" t="s">
        <v>316</v>
      </c>
      <c r="G2103" s="50" t="s">
        <v>256</v>
      </c>
      <c r="H2103" s="50">
        <v>50</v>
      </c>
      <c r="M2103" t="str">
        <f>IF(COUNTIF($A:$A,E2103)=0,"Not Exists","Exists")</f>
        <v>Not Exists</v>
      </c>
      <c r="N2103" t="str">
        <f t="shared" si="104"/>
        <v>Exists</v>
      </c>
      <c r="O2103" t="str">
        <f t="shared" si="101"/>
        <v>Not Exists</v>
      </c>
      <c r="P2103" t="str">
        <f t="shared" si="102"/>
        <v>Not Exists</v>
      </c>
    </row>
    <row r="2104" spans="1:16">
      <c r="A2104">
        <v>1</v>
      </c>
      <c r="B2104">
        <v>1</v>
      </c>
      <c r="C2104">
        <v>1</v>
      </c>
      <c r="D2104">
        <v>1</v>
      </c>
      <c r="E2104" s="50" t="s">
        <v>2094</v>
      </c>
      <c r="F2104" s="50" t="s">
        <v>318</v>
      </c>
      <c r="G2104" s="50" t="s">
        <v>256</v>
      </c>
      <c r="H2104" s="50">
        <v>50</v>
      </c>
      <c r="M2104" t="str">
        <f>IF(COUNTIF($A:$A,E2104)=0,"Not Exists","Exists")</f>
        <v>Not Exists</v>
      </c>
      <c r="N2104" t="str">
        <f t="shared" si="104"/>
        <v>Exists</v>
      </c>
      <c r="O2104" t="str">
        <f t="shared" si="101"/>
        <v>Not Exists</v>
      </c>
      <c r="P2104" t="str">
        <f t="shared" si="102"/>
        <v>Not Exists</v>
      </c>
    </row>
    <row r="2105" spans="1:16">
      <c r="A2105">
        <v>1</v>
      </c>
      <c r="B2105">
        <v>1</v>
      </c>
      <c r="C2105">
        <v>1</v>
      </c>
      <c r="D2105">
        <v>1</v>
      </c>
      <c r="E2105" s="50" t="s">
        <v>2094</v>
      </c>
      <c r="F2105" s="50" t="s">
        <v>2095</v>
      </c>
      <c r="G2105" s="50" t="s">
        <v>251</v>
      </c>
      <c r="H2105" s="50">
        <v>1</v>
      </c>
      <c r="M2105" t="str">
        <f>IF(COUNTIF($A:$A,E2105)=0,"Not Exists","Exists")</f>
        <v>Not Exists</v>
      </c>
      <c r="N2105" t="str">
        <f t="shared" si="104"/>
        <v>Not Exists</v>
      </c>
      <c r="O2105" t="str">
        <f t="shared" si="101"/>
        <v>Not Exists</v>
      </c>
      <c r="P2105" t="str">
        <f t="shared" si="102"/>
        <v>Not Exists</v>
      </c>
    </row>
    <row r="2106" spans="1:16">
      <c r="A2106">
        <v>1</v>
      </c>
      <c r="B2106">
        <v>1</v>
      </c>
      <c r="C2106">
        <v>1</v>
      </c>
      <c r="D2106">
        <v>1</v>
      </c>
      <c r="E2106" s="50" t="s">
        <v>2096</v>
      </c>
      <c r="F2106" s="50" t="s">
        <v>2097</v>
      </c>
      <c r="G2106" s="50" t="s">
        <v>256</v>
      </c>
      <c r="H2106" s="50">
        <v>5</v>
      </c>
      <c r="M2106" t="str">
        <f>IF(COUNTIF($A:$A,E2106)=0,"Not Exists","Exists")</f>
        <v>Not Exists</v>
      </c>
      <c r="N2106" t="str">
        <f t="shared" si="104"/>
        <v>Not Exists</v>
      </c>
      <c r="O2106" t="str">
        <f t="shared" si="101"/>
        <v>Not Exists</v>
      </c>
      <c r="P2106" t="str">
        <f t="shared" si="102"/>
        <v>Not Exists</v>
      </c>
    </row>
    <row r="2107" spans="1:16">
      <c r="A2107">
        <v>1</v>
      </c>
      <c r="B2107">
        <v>1</v>
      </c>
      <c r="C2107">
        <v>1</v>
      </c>
      <c r="D2107">
        <v>1</v>
      </c>
      <c r="E2107" s="50" t="s">
        <v>2096</v>
      </c>
      <c r="F2107" s="50" t="s">
        <v>2098</v>
      </c>
      <c r="G2107" s="50" t="s">
        <v>256</v>
      </c>
      <c r="H2107" s="50">
        <v>60</v>
      </c>
      <c r="M2107" t="str">
        <f>IF(COUNTIF($A:$A,E2107)=0,"Not Exists","Exists")</f>
        <v>Not Exists</v>
      </c>
      <c r="N2107" t="str">
        <f t="shared" si="104"/>
        <v>Not Exists</v>
      </c>
      <c r="O2107" t="str">
        <f t="shared" si="101"/>
        <v>Not Exists</v>
      </c>
      <c r="P2107" t="str">
        <f t="shared" si="102"/>
        <v>Not Exists</v>
      </c>
    </row>
    <row r="2108" spans="1:16">
      <c r="A2108">
        <v>1</v>
      </c>
      <c r="B2108">
        <v>1</v>
      </c>
      <c r="C2108">
        <v>1</v>
      </c>
      <c r="D2108">
        <v>1</v>
      </c>
      <c r="E2108" s="50" t="s">
        <v>2096</v>
      </c>
      <c r="F2108" s="50" t="s">
        <v>2099</v>
      </c>
      <c r="G2108" s="50" t="s">
        <v>254</v>
      </c>
      <c r="H2108" s="50">
        <v>22</v>
      </c>
      <c r="M2108" t="str">
        <f>IF(COUNTIF($A:$A,E2108)=0,"Not Exists","Exists")</f>
        <v>Not Exists</v>
      </c>
      <c r="N2108" t="str">
        <f t="shared" si="104"/>
        <v>Not Exists</v>
      </c>
      <c r="O2108" t="str">
        <f t="shared" si="101"/>
        <v>Not Exists</v>
      </c>
      <c r="P2108" t="str">
        <f t="shared" si="102"/>
        <v>Not Exists</v>
      </c>
    </row>
    <row r="2109" spans="1:16">
      <c r="A2109">
        <v>1</v>
      </c>
      <c r="B2109">
        <v>1</v>
      </c>
      <c r="C2109">
        <v>1</v>
      </c>
      <c r="D2109">
        <v>1</v>
      </c>
      <c r="E2109" s="50" t="s">
        <v>2096</v>
      </c>
      <c r="F2109" s="50" t="s">
        <v>2100</v>
      </c>
      <c r="G2109" s="50" t="s">
        <v>256</v>
      </c>
      <c r="H2109" s="50">
        <v>50</v>
      </c>
      <c r="M2109" t="str">
        <f>IF(COUNTIF($A:$A,E2109)=0,"Not Exists","Exists")</f>
        <v>Not Exists</v>
      </c>
      <c r="N2109" t="str">
        <f t="shared" si="104"/>
        <v>Not Exists</v>
      </c>
      <c r="O2109" t="str">
        <f t="shared" si="101"/>
        <v>Not Exists</v>
      </c>
      <c r="P2109" t="str">
        <f t="shared" si="102"/>
        <v>Not Exists</v>
      </c>
    </row>
    <row r="2110" spans="1:16">
      <c r="A2110">
        <v>1</v>
      </c>
      <c r="B2110">
        <v>1</v>
      </c>
      <c r="C2110">
        <v>1</v>
      </c>
      <c r="D2110">
        <v>1</v>
      </c>
      <c r="E2110" s="50" t="s">
        <v>2096</v>
      </c>
      <c r="F2110" s="50" t="s">
        <v>2101</v>
      </c>
      <c r="G2110" s="50" t="s">
        <v>254</v>
      </c>
      <c r="H2110" s="50">
        <v>22</v>
      </c>
      <c r="M2110" t="str">
        <f>IF(COUNTIF($A:$A,E2110)=0,"Not Exists","Exists")</f>
        <v>Not Exists</v>
      </c>
      <c r="N2110" t="str">
        <f t="shared" si="104"/>
        <v>Not Exists</v>
      </c>
      <c r="O2110" t="str">
        <f t="shared" si="101"/>
        <v>Not Exists</v>
      </c>
      <c r="P2110" t="str">
        <f t="shared" si="102"/>
        <v>Not Exists</v>
      </c>
    </row>
    <row r="2111" spans="1:16">
      <c r="A2111">
        <v>1</v>
      </c>
      <c r="B2111">
        <v>1</v>
      </c>
      <c r="C2111">
        <v>1</v>
      </c>
      <c r="D2111">
        <v>1</v>
      </c>
      <c r="E2111" s="50" t="s">
        <v>2096</v>
      </c>
      <c r="F2111" s="50" t="s">
        <v>2102</v>
      </c>
      <c r="G2111" s="50" t="s">
        <v>256</v>
      </c>
      <c r="H2111" s="50">
        <v>50</v>
      </c>
      <c r="M2111" t="str">
        <f>IF(COUNTIF($A:$A,E2111)=0,"Not Exists","Exists")</f>
        <v>Not Exists</v>
      </c>
      <c r="N2111" t="str">
        <f t="shared" si="104"/>
        <v>Not Exists</v>
      </c>
      <c r="O2111" t="str">
        <f t="shared" si="101"/>
        <v>Not Exists</v>
      </c>
      <c r="P2111" t="str">
        <f t="shared" si="102"/>
        <v>Not Exists</v>
      </c>
    </row>
    <row r="2112" spans="1:16">
      <c r="A2112">
        <v>1</v>
      </c>
      <c r="B2112">
        <v>1</v>
      </c>
      <c r="C2112">
        <v>1</v>
      </c>
      <c r="D2112">
        <v>1</v>
      </c>
      <c r="E2112" s="50" t="s">
        <v>2096</v>
      </c>
      <c r="F2112" s="50" t="s">
        <v>430</v>
      </c>
      <c r="G2112" s="50" t="s">
        <v>256</v>
      </c>
      <c r="H2112" s="50">
        <v>50</v>
      </c>
      <c r="M2112" t="str">
        <f>IF(COUNTIF($A:$A,E2112)=0,"Not Exists","Exists")</f>
        <v>Not Exists</v>
      </c>
      <c r="N2112" t="str">
        <f t="shared" si="104"/>
        <v>Exists</v>
      </c>
      <c r="O2112" t="str">
        <f t="shared" si="101"/>
        <v>Not Exists</v>
      </c>
      <c r="P2112" t="str">
        <f t="shared" si="102"/>
        <v>Not Exists</v>
      </c>
    </row>
    <row r="2113" spans="1:16">
      <c r="A2113">
        <v>1</v>
      </c>
      <c r="B2113">
        <v>1</v>
      </c>
      <c r="C2113">
        <v>1</v>
      </c>
      <c r="D2113">
        <v>1</v>
      </c>
      <c r="E2113" s="50" t="s">
        <v>2096</v>
      </c>
      <c r="F2113" s="50" t="s">
        <v>535</v>
      </c>
      <c r="G2113" s="50" t="s">
        <v>256</v>
      </c>
      <c r="H2113" s="50">
        <v>50</v>
      </c>
      <c r="M2113" t="str">
        <f>IF(COUNTIF($A:$A,E2113)=0,"Not Exists","Exists")</f>
        <v>Not Exists</v>
      </c>
      <c r="N2113" t="str">
        <f t="shared" si="104"/>
        <v>Exists</v>
      </c>
      <c r="O2113" t="str">
        <f t="shared" si="101"/>
        <v>Not Exists</v>
      </c>
      <c r="P2113" t="str">
        <f t="shared" si="102"/>
        <v>Not Exists</v>
      </c>
    </row>
    <row r="2114" spans="1:16">
      <c r="A2114">
        <v>1</v>
      </c>
      <c r="B2114">
        <v>1</v>
      </c>
      <c r="C2114">
        <v>1</v>
      </c>
      <c r="D2114">
        <v>1</v>
      </c>
      <c r="E2114" s="50" t="s">
        <v>2096</v>
      </c>
      <c r="F2114" s="50" t="s">
        <v>938</v>
      </c>
      <c r="G2114" s="50" t="s">
        <v>256</v>
      </c>
      <c r="H2114" s="50">
        <v>50</v>
      </c>
      <c r="M2114" t="str">
        <f>IF(COUNTIF($A:$A,E2114)=0,"Not Exists","Exists")</f>
        <v>Not Exists</v>
      </c>
      <c r="N2114" t="str">
        <f t="shared" si="104"/>
        <v>Exists</v>
      </c>
      <c r="O2114" t="str">
        <f t="shared" si="101"/>
        <v>Not Exists</v>
      </c>
      <c r="P2114" t="str">
        <f t="shared" si="102"/>
        <v>Not Exists</v>
      </c>
    </row>
    <row r="2115" spans="1:16">
      <c r="A2115">
        <v>1</v>
      </c>
      <c r="B2115">
        <v>1</v>
      </c>
      <c r="C2115">
        <v>1</v>
      </c>
      <c r="D2115">
        <v>1</v>
      </c>
      <c r="E2115" s="50" t="s">
        <v>2096</v>
      </c>
      <c r="F2115" s="50" t="s">
        <v>937</v>
      </c>
      <c r="G2115" s="50" t="s">
        <v>256</v>
      </c>
      <c r="H2115" s="50">
        <v>50</v>
      </c>
      <c r="M2115" t="str">
        <f>IF(COUNTIF($A:$A,E2115)=0,"Not Exists","Exists")</f>
        <v>Not Exists</v>
      </c>
      <c r="N2115" t="str">
        <f t="shared" si="104"/>
        <v>Exists</v>
      </c>
      <c r="O2115" t="str">
        <f t="shared" si="101"/>
        <v>Not Exists</v>
      </c>
      <c r="P2115" t="str">
        <f t="shared" si="102"/>
        <v>Not Exists</v>
      </c>
    </row>
    <row r="2116" spans="1:16">
      <c r="A2116">
        <v>1</v>
      </c>
      <c r="B2116">
        <v>1</v>
      </c>
      <c r="C2116">
        <v>1</v>
      </c>
      <c r="D2116">
        <v>1</v>
      </c>
      <c r="E2116" s="50" t="s">
        <v>2096</v>
      </c>
      <c r="F2116" s="50" t="s">
        <v>940</v>
      </c>
      <c r="G2116" s="50" t="s">
        <v>256</v>
      </c>
      <c r="H2116" s="50">
        <v>50</v>
      </c>
      <c r="M2116" t="str">
        <f>IF(COUNTIF($A:$A,E2116)=0,"Not Exists","Exists")</f>
        <v>Not Exists</v>
      </c>
      <c r="N2116" t="str">
        <f t="shared" si="104"/>
        <v>Exists</v>
      </c>
      <c r="O2116" t="str">
        <f t="shared" ref="O2116:O2179" si="105">IF(COUNTIF($E:$E,A2116)=0,"Not Exists","Exists")</f>
        <v>Not Exists</v>
      </c>
      <c r="P2116" t="str">
        <f t="shared" ref="P2116:P2179" si="106">IF(COUNTIF($F:$F,B2116)=0,"Not Exists","Exists")</f>
        <v>Not Exists</v>
      </c>
    </row>
    <row r="2117" spans="1:16">
      <c r="A2117">
        <v>1</v>
      </c>
      <c r="B2117">
        <v>1</v>
      </c>
      <c r="C2117">
        <v>1</v>
      </c>
      <c r="D2117">
        <v>1</v>
      </c>
      <c r="E2117" s="50" t="s">
        <v>2096</v>
      </c>
      <c r="F2117" s="50" t="s">
        <v>944</v>
      </c>
      <c r="G2117" s="50" t="s">
        <v>256</v>
      </c>
      <c r="H2117" s="50">
        <v>17</v>
      </c>
      <c r="M2117" t="str">
        <f>IF(COUNTIF($A:$A,E2117)=0,"Not Exists","Exists")</f>
        <v>Not Exists</v>
      </c>
      <c r="N2117" t="str">
        <f t="shared" si="104"/>
        <v>Exists</v>
      </c>
      <c r="O2117" t="str">
        <f t="shared" si="105"/>
        <v>Not Exists</v>
      </c>
      <c r="P2117" t="str">
        <f t="shared" si="106"/>
        <v>Not Exists</v>
      </c>
    </row>
    <row r="2118" spans="1:16">
      <c r="A2118">
        <v>1</v>
      </c>
      <c r="B2118">
        <v>1</v>
      </c>
      <c r="C2118">
        <v>1</v>
      </c>
      <c r="D2118">
        <v>1</v>
      </c>
      <c r="E2118" s="50" t="s">
        <v>2096</v>
      </c>
      <c r="F2118" s="50" t="s">
        <v>946</v>
      </c>
      <c r="G2118" s="50" t="s">
        <v>256</v>
      </c>
      <c r="H2118" s="50">
        <v>20</v>
      </c>
      <c r="M2118" t="str">
        <f>IF(COUNTIF($A:$A,E2118)=0,"Not Exists","Exists")</f>
        <v>Not Exists</v>
      </c>
      <c r="N2118" t="str">
        <f t="shared" si="104"/>
        <v>Exists</v>
      </c>
      <c r="O2118" t="str">
        <f t="shared" si="105"/>
        <v>Not Exists</v>
      </c>
      <c r="P2118" t="str">
        <f t="shared" si="106"/>
        <v>Not Exists</v>
      </c>
    </row>
    <row r="2119" spans="1:16">
      <c r="A2119">
        <v>1</v>
      </c>
      <c r="B2119">
        <v>1</v>
      </c>
      <c r="C2119">
        <v>1</v>
      </c>
      <c r="D2119">
        <v>1</v>
      </c>
      <c r="E2119" s="50" t="s">
        <v>2096</v>
      </c>
      <c r="F2119" s="50" t="s">
        <v>948</v>
      </c>
      <c r="G2119" s="50" t="s">
        <v>251</v>
      </c>
      <c r="H2119" s="50">
        <v>1</v>
      </c>
      <c r="M2119" t="str">
        <f>IF(COUNTIF($A:$A,E2119)=0,"Not Exists","Exists")</f>
        <v>Not Exists</v>
      </c>
      <c r="N2119" t="str">
        <f t="shared" si="104"/>
        <v>Exists</v>
      </c>
      <c r="O2119" t="str">
        <f t="shared" si="105"/>
        <v>Not Exists</v>
      </c>
      <c r="P2119" t="str">
        <f t="shared" si="106"/>
        <v>Not Exists</v>
      </c>
    </row>
    <row r="2120" spans="1:16">
      <c r="A2120">
        <v>1</v>
      </c>
      <c r="B2120">
        <v>1</v>
      </c>
      <c r="C2120">
        <v>1</v>
      </c>
      <c r="D2120">
        <v>1</v>
      </c>
      <c r="E2120" s="50" t="s">
        <v>2096</v>
      </c>
      <c r="F2120" s="50" t="s">
        <v>950</v>
      </c>
      <c r="G2120" s="50" t="s">
        <v>251</v>
      </c>
      <c r="H2120" s="50">
        <v>1</v>
      </c>
      <c r="M2120" t="str">
        <f>IF(COUNTIF($A:$A,E2120)=0,"Not Exists","Exists")</f>
        <v>Not Exists</v>
      </c>
      <c r="N2120" t="str">
        <f t="shared" si="104"/>
        <v>Exists</v>
      </c>
      <c r="O2120" t="str">
        <f t="shared" si="105"/>
        <v>Not Exists</v>
      </c>
      <c r="P2120" t="str">
        <f t="shared" si="106"/>
        <v>Not Exists</v>
      </c>
    </row>
    <row r="2121" spans="1:16">
      <c r="A2121">
        <v>1</v>
      </c>
      <c r="B2121">
        <v>1</v>
      </c>
      <c r="C2121">
        <v>1</v>
      </c>
      <c r="D2121">
        <v>1</v>
      </c>
      <c r="E2121" s="50" t="s">
        <v>2096</v>
      </c>
      <c r="F2121" s="50" t="s">
        <v>952</v>
      </c>
      <c r="G2121" s="50" t="s">
        <v>256</v>
      </c>
      <c r="H2121" s="50">
        <v>20</v>
      </c>
      <c r="M2121" t="str">
        <f>IF(COUNTIF($A:$A,E2121)=0,"Not Exists","Exists")</f>
        <v>Not Exists</v>
      </c>
      <c r="N2121" t="str">
        <f t="shared" si="104"/>
        <v>Exists</v>
      </c>
      <c r="O2121" t="str">
        <f t="shared" si="105"/>
        <v>Not Exists</v>
      </c>
      <c r="P2121" t="str">
        <f t="shared" si="106"/>
        <v>Not Exists</v>
      </c>
    </row>
    <row r="2122" spans="1:16">
      <c r="A2122">
        <v>1</v>
      </c>
      <c r="B2122">
        <v>1</v>
      </c>
      <c r="C2122">
        <v>1</v>
      </c>
      <c r="D2122">
        <v>1</v>
      </c>
      <c r="E2122" s="50" t="s">
        <v>2096</v>
      </c>
      <c r="F2122" s="50" t="s">
        <v>954</v>
      </c>
      <c r="G2122" s="50" t="s">
        <v>251</v>
      </c>
      <c r="H2122" s="50">
        <v>1</v>
      </c>
      <c r="M2122" t="str">
        <f>IF(COUNTIF($A:$A,E2122)=0,"Not Exists","Exists")</f>
        <v>Not Exists</v>
      </c>
      <c r="N2122" t="str">
        <f t="shared" si="104"/>
        <v>Exists</v>
      </c>
      <c r="O2122" t="str">
        <f t="shared" si="105"/>
        <v>Not Exists</v>
      </c>
      <c r="P2122" t="str">
        <f t="shared" si="106"/>
        <v>Not Exists</v>
      </c>
    </row>
    <row r="2123" spans="1:16">
      <c r="A2123">
        <v>1</v>
      </c>
      <c r="B2123">
        <v>1</v>
      </c>
      <c r="C2123">
        <v>1</v>
      </c>
      <c r="D2123">
        <v>1</v>
      </c>
      <c r="E2123" s="50" t="s">
        <v>2096</v>
      </c>
      <c r="F2123" s="50" t="s">
        <v>421</v>
      </c>
      <c r="G2123" s="50" t="s">
        <v>256</v>
      </c>
      <c r="H2123" s="50">
        <v>500</v>
      </c>
      <c r="M2123" t="str">
        <f>IF(COUNTIF($A:$A,E2123)=0,"Not Exists","Exists")</f>
        <v>Not Exists</v>
      </c>
      <c r="N2123" t="str">
        <f t="shared" si="104"/>
        <v>Exists</v>
      </c>
      <c r="O2123" t="str">
        <f t="shared" si="105"/>
        <v>Not Exists</v>
      </c>
      <c r="P2123" t="str">
        <f t="shared" si="106"/>
        <v>Not Exists</v>
      </c>
    </row>
    <row r="2124" spans="1:16">
      <c r="A2124">
        <v>1</v>
      </c>
      <c r="B2124">
        <v>1</v>
      </c>
      <c r="C2124">
        <v>1</v>
      </c>
      <c r="D2124">
        <v>1</v>
      </c>
      <c r="E2124" s="50" t="s">
        <v>2096</v>
      </c>
      <c r="F2124" s="50" t="s">
        <v>478</v>
      </c>
      <c r="G2124" s="50" t="s">
        <v>256</v>
      </c>
      <c r="H2124" s="50">
        <v>500</v>
      </c>
      <c r="M2124" t="str">
        <f>IF(COUNTIF($A:$A,E2124)=0,"Not Exists","Exists")</f>
        <v>Not Exists</v>
      </c>
      <c r="N2124" t="str">
        <f t="shared" si="104"/>
        <v>Exists</v>
      </c>
      <c r="O2124" t="str">
        <f t="shared" si="105"/>
        <v>Not Exists</v>
      </c>
      <c r="P2124" t="str">
        <f t="shared" si="106"/>
        <v>Not Exists</v>
      </c>
    </row>
    <row r="2125" spans="1:16">
      <c r="A2125">
        <v>1</v>
      </c>
      <c r="B2125">
        <v>1</v>
      </c>
      <c r="C2125">
        <v>1</v>
      </c>
      <c r="D2125">
        <v>1</v>
      </c>
      <c r="E2125" s="50" t="s">
        <v>2096</v>
      </c>
      <c r="F2125" s="50" t="s">
        <v>2103</v>
      </c>
      <c r="G2125" s="50" t="s">
        <v>254</v>
      </c>
      <c r="H2125" s="50">
        <v>22</v>
      </c>
      <c r="M2125" t="str">
        <f>IF(COUNTIF($A:$A,E2125)=0,"Not Exists","Exists")</f>
        <v>Not Exists</v>
      </c>
      <c r="N2125" t="str">
        <f t="shared" si="104"/>
        <v>Not Exists</v>
      </c>
      <c r="O2125" t="str">
        <f t="shared" si="105"/>
        <v>Not Exists</v>
      </c>
      <c r="P2125" t="str">
        <f t="shared" si="106"/>
        <v>Not Exists</v>
      </c>
    </row>
    <row r="2126" spans="1:16">
      <c r="A2126">
        <v>1</v>
      </c>
      <c r="B2126">
        <v>1</v>
      </c>
      <c r="C2126">
        <v>1</v>
      </c>
      <c r="D2126">
        <v>1</v>
      </c>
      <c r="E2126" s="50" t="s">
        <v>2096</v>
      </c>
      <c r="F2126" s="50" t="s">
        <v>2104</v>
      </c>
      <c r="G2126" s="50" t="s">
        <v>251</v>
      </c>
      <c r="H2126" s="50">
        <v>1</v>
      </c>
      <c r="M2126" t="str">
        <f>IF(COUNTIF($A:$A,E2126)=0,"Not Exists","Exists")</f>
        <v>Not Exists</v>
      </c>
      <c r="N2126" t="str">
        <f t="shared" si="104"/>
        <v>Not Exists</v>
      </c>
      <c r="O2126" t="str">
        <f t="shared" si="105"/>
        <v>Not Exists</v>
      </c>
      <c r="P2126" t="str">
        <f t="shared" si="106"/>
        <v>Not Exists</v>
      </c>
    </row>
    <row r="2127" spans="1:16">
      <c r="A2127">
        <v>1</v>
      </c>
      <c r="B2127">
        <v>1</v>
      </c>
      <c r="C2127">
        <v>1</v>
      </c>
      <c r="D2127">
        <v>1</v>
      </c>
      <c r="E2127" s="50" t="s">
        <v>2096</v>
      </c>
      <c r="F2127" s="50" t="s">
        <v>2105</v>
      </c>
      <c r="G2127" s="50" t="s">
        <v>256</v>
      </c>
      <c r="H2127" s="50">
        <v>20</v>
      </c>
      <c r="M2127" t="str">
        <f>IF(COUNTIF($A:$A,E2127)=0,"Not Exists","Exists")</f>
        <v>Not Exists</v>
      </c>
      <c r="N2127" t="str">
        <f t="shared" si="104"/>
        <v>Not Exists</v>
      </c>
      <c r="O2127" t="str">
        <f t="shared" si="105"/>
        <v>Not Exists</v>
      </c>
      <c r="P2127" t="str">
        <f t="shared" si="106"/>
        <v>Not Exists</v>
      </c>
    </row>
    <row r="2128" spans="1:16">
      <c r="A2128">
        <v>1</v>
      </c>
      <c r="B2128">
        <v>1</v>
      </c>
      <c r="C2128">
        <v>1</v>
      </c>
      <c r="D2128">
        <v>1</v>
      </c>
      <c r="E2128" s="50" t="s">
        <v>2096</v>
      </c>
      <c r="F2128" s="50" t="s">
        <v>357</v>
      </c>
      <c r="G2128" s="50" t="s">
        <v>256</v>
      </c>
      <c r="H2128" s="50">
        <v>20</v>
      </c>
      <c r="M2128" t="str">
        <f>IF(COUNTIF($A:$A,E2128)=0,"Not Exists","Exists")</f>
        <v>Not Exists</v>
      </c>
      <c r="N2128" t="str">
        <f t="shared" si="104"/>
        <v>Exists</v>
      </c>
      <c r="O2128" t="str">
        <f t="shared" si="105"/>
        <v>Not Exists</v>
      </c>
      <c r="P2128" t="str">
        <f t="shared" si="106"/>
        <v>Not Exists</v>
      </c>
    </row>
    <row r="2129" spans="1:16">
      <c r="A2129">
        <v>1</v>
      </c>
      <c r="B2129">
        <v>1</v>
      </c>
      <c r="C2129">
        <v>1</v>
      </c>
      <c r="D2129">
        <v>1</v>
      </c>
      <c r="E2129" s="50" t="s">
        <v>2096</v>
      </c>
      <c r="F2129" s="50" t="s">
        <v>998</v>
      </c>
      <c r="G2129" s="50" t="s">
        <v>256</v>
      </c>
      <c r="H2129" s="50">
        <v>4</v>
      </c>
      <c r="M2129" t="str">
        <f>IF(COUNTIF($A:$A,E2129)=0,"Not Exists","Exists")</f>
        <v>Not Exists</v>
      </c>
      <c r="N2129" t="str">
        <f t="shared" si="104"/>
        <v>Not Exists</v>
      </c>
      <c r="O2129" t="str">
        <f t="shared" si="105"/>
        <v>Not Exists</v>
      </c>
      <c r="P2129" t="str">
        <f t="shared" si="106"/>
        <v>Not Exists</v>
      </c>
    </row>
    <row r="2130" spans="1:16">
      <c r="A2130">
        <v>1</v>
      </c>
      <c r="B2130">
        <v>1</v>
      </c>
      <c r="C2130">
        <v>1</v>
      </c>
      <c r="D2130">
        <v>1</v>
      </c>
      <c r="E2130" s="50" t="s">
        <v>2106</v>
      </c>
      <c r="F2130" s="50" t="s">
        <v>2107</v>
      </c>
      <c r="G2130" s="50" t="s">
        <v>256</v>
      </c>
      <c r="H2130" s="50">
        <v>50</v>
      </c>
      <c r="M2130" t="str">
        <f>IF(COUNTIF($A:$A,E2130)=0,"Not Exists","Exists")</f>
        <v>Not Exists</v>
      </c>
      <c r="N2130" t="str">
        <f t="shared" si="104"/>
        <v>Not Exists</v>
      </c>
      <c r="O2130" t="str">
        <f t="shared" si="105"/>
        <v>Not Exists</v>
      </c>
      <c r="P2130" t="str">
        <f t="shared" si="106"/>
        <v>Not Exists</v>
      </c>
    </row>
    <row r="2131" spans="1:16">
      <c r="A2131">
        <v>1</v>
      </c>
      <c r="B2131">
        <v>1</v>
      </c>
      <c r="C2131">
        <v>1</v>
      </c>
      <c r="D2131">
        <v>1</v>
      </c>
      <c r="E2131" s="50" t="s">
        <v>2106</v>
      </c>
      <c r="F2131" s="50" t="s">
        <v>2108</v>
      </c>
      <c r="G2131" s="50" t="s">
        <v>256</v>
      </c>
      <c r="H2131" s="50">
        <v>400</v>
      </c>
      <c r="M2131" t="str">
        <f>IF(COUNTIF($A:$A,E2131)=0,"Not Exists","Exists")</f>
        <v>Not Exists</v>
      </c>
      <c r="N2131" t="str">
        <f t="shared" si="104"/>
        <v>Not Exists</v>
      </c>
      <c r="O2131" t="str">
        <f t="shared" si="105"/>
        <v>Not Exists</v>
      </c>
      <c r="P2131" t="str">
        <f t="shared" si="106"/>
        <v>Not Exists</v>
      </c>
    </row>
    <row r="2132" spans="1:16">
      <c r="A2132">
        <v>1</v>
      </c>
      <c r="B2132">
        <v>1</v>
      </c>
      <c r="C2132">
        <v>1</v>
      </c>
      <c r="D2132">
        <v>1</v>
      </c>
      <c r="E2132" s="50" t="s">
        <v>2106</v>
      </c>
      <c r="F2132" s="50" t="s">
        <v>2109</v>
      </c>
      <c r="G2132" s="50" t="s">
        <v>256</v>
      </c>
      <c r="H2132" s="50">
        <v>50</v>
      </c>
      <c r="M2132" t="str">
        <f>IF(COUNTIF($A:$A,E2132)=0,"Not Exists","Exists")</f>
        <v>Not Exists</v>
      </c>
      <c r="N2132" t="str">
        <f t="shared" si="104"/>
        <v>Not Exists</v>
      </c>
      <c r="O2132" t="str">
        <f t="shared" si="105"/>
        <v>Not Exists</v>
      </c>
      <c r="P2132" t="str">
        <f t="shared" si="106"/>
        <v>Not Exists</v>
      </c>
    </row>
    <row r="2133" spans="1:16">
      <c r="A2133">
        <v>1</v>
      </c>
      <c r="B2133">
        <v>1</v>
      </c>
      <c r="C2133">
        <v>1</v>
      </c>
      <c r="D2133">
        <v>1</v>
      </c>
      <c r="E2133" s="50" t="s">
        <v>2106</v>
      </c>
      <c r="F2133" s="50" t="s">
        <v>701</v>
      </c>
      <c r="G2133" s="50" t="s">
        <v>256</v>
      </c>
      <c r="H2133" s="50">
        <v>50</v>
      </c>
      <c r="M2133" t="str">
        <f>IF(COUNTIF($A:$A,E2133)=0,"Not Exists","Exists")</f>
        <v>Not Exists</v>
      </c>
      <c r="N2133" t="str">
        <f t="shared" si="104"/>
        <v>Exists</v>
      </c>
      <c r="O2133" t="str">
        <f t="shared" si="105"/>
        <v>Not Exists</v>
      </c>
      <c r="P2133" t="str">
        <f t="shared" si="106"/>
        <v>Not Exists</v>
      </c>
    </row>
    <row r="2134" spans="1:16">
      <c r="A2134">
        <v>1</v>
      </c>
      <c r="B2134">
        <v>1</v>
      </c>
      <c r="C2134">
        <v>1</v>
      </c>
      <c r="D2134">
        <v>1</v>
      </c>
      <c r="E2134" s="50" t="s">
        <v>2106</v>
      </c>
      <c r="F2134" s="50" t="s">
        <v>2110</v>
      </c>
      <c r="G2134" s="50" t="s">
        <v>256</v>
      </c>
      <c r="H2134" s="50">
        <v>50</v>
      </c>
      <c r="M2134" t="str">
        <f>IF(COUNTIF($A:$A,E2134)=0,"Not Exists","Exists")</f>
        <v>Not Exists</v>
      </c>
      <c r="N2134" t="str">
        <f t="shared" si="104"/>
        <v>Not Exists</v>
      </c>
      <c r="O2134" t="str">
        <f t="shared" si="105"/>
        <v>Not Exists</v>
      </c>
      <c r="P2134" t="str">
        <f t="shared" si="106"/>
        <v>Not Exists</v>
      </c>
    </row>
    <row r="2135" spans="1:16">
      <c r="A2135">
        <v>1</v>
      </c>
      <c r="B2135">
        <v>1</v>
      </c>
      <c r="C2135">
        <v>1</v>
      </c>
      <c r="D2135">
        <v>1</v>
      </c>
      <c r="E2135" s="50" t="s">
        <v>2106</v>
      </c>
      <c r="F2135" s="50" t="s">
        <v>2111</v>
      </c>
      <c r="G2135" s="50" t="s">
        <v>251</v>
      </c>
      <c r="H2135" s="50">
        <v>1</v>
      </c>
      <c r="M2135" t="str">
        <f>IF(COUNTIF($A:$A,E2135)=0,"Not Exists","Exists")</f>
        <v>Not Exists</v>
      </c>
      <c r="N2135" t="str">
        <f t="shared" si="104"/>
        <v>Not Exists</v>
      </c>
      <c r="O2135" t="str">
        <f t="shared" si="105"/>
        <v>Not Exists</v>
      </c>
      <c r="P2135" t="str">
        <f t="shared" si="106"/>
        <v>Not Exists</v>
      </c>
    </row>
    <row r="2136" spans="1:16">
      <c r="A2136">
        <v>1</v>
      </c>
      <c r="B2136">
        <v>1</v>
      </c>
      <c r="C2136">
        <v>1</v>
      </c>
      <c r="D2136">
        <v>1</v>
      </c>
      <c r="E2136" s="50" t="s">
        <v>2106</v>
      </c>
      <c r="F2136" s="50" t="s">
        <v>2112</v>
      </c>
      <c r="G2136" s="50" t="s">
        <v>256</v>
      </c>
      <c r="H2136" s="50">
        <v>200</v>
      </c>
      <c r="M2136" t="str">
        <f>IF(COUNTIF($A:$A,E2136)=0,"Not Exists","Exists")</f>
        <v>Not Exists</v>
      </c>
      <c r="N2136" t="str">
        <f t="shared" si="104"/>
        <v>Not Exists</v>
      </c>
      <c r="O2136" t="str">
        <f t="shared" si="105"/>
        <v>Not Exists</v>
      </c>
      <c r="P2136" t="str">
        <f t="shared" si="106"/>
        <v>Not Exists</v>
      </c>
    </row>
    <row r="2137" spans="1:16">
      <c r="A2137">
        <v>1</v>
      </c>
      <c r="B2137">
        <v>1</v>
      </c>
      <c r="C2137">
        <v>1</v>
      </c>
      <c r="D2137">
        <v>1</v>
      </c>
      <c r="E2137" s="50" t="s">
        <v>2106</v>
      </c>
      <c r="F2137" s="50" t="s">
        <v>2113</v>
      </c>
      <c r="G2137" s="50" t="s">
        <v>256</v>
      </c>
      <c r="H2137" s="50">
        <v>100</v>
      </c>
      <c r="M2137" t="str">
        <f>IF(COUNTIF($A:$A,E2137)=0,"Not Exists","Exists")</f>
        <v>Not Exists</v>
      </c>
      <c r="N2137" t="str">
        <f t="shared" si="104"/>
        <v>Not Exists</v>
      </c>
      <c r="O2137" t="str">
        <f t="shared" si="105"/>
        <v>Not Exists</v>
      </c>
      <c r="P2137" t="str">
        <f t="shared" si="106"/>
        <v>Not Exists</v>
      </c>
    </row>
    <row r="2138" spans="1:16">
      <c r="A2138">
        <v>1</v>
      </c>
      <c r="B2138">
        <v>1</v>
      </c>
      <c r="C2138">
        <v>1</v>
      </c>
      <c r="D2138">
        <v>1</v>
      </c>
      <c r="E2138" s="50" t="s">
        <v>2106</v>
      </c>
      <c r="F2138" s="50" t="s">
        <v>2114</v>
      </c>
      <c r="G2138" s="50" t="s">
        <v>256</v>
      </c>
      <c r="H2138" s="50">
        <v>10</v>
      </c>
      <c r="M2138" t="str">
        <f>IF(COUNTIF($A:$A,E2138)=0,"Not Exists","Exists")</f>
        <v>Not Exists</v>
      </c>
      <c r="N2138" t="str">
        <f t="shared" si="104"/>
        <v>Not Exists</v>
      </c>
      <c r="O2138" t="str">
        <f t="shared" si="105"/>
        <v>Not Exists</v>
      </c>
      <c r="P2138" t="str">
        <f t="shared" si="106"/>
        <v>Not Exists</v>
      </c>
    </row>
    <row r="2139" spans="1:16">
      <c r="A2139">
        <v>1</v>
      </c>
      <c r="B2139">
        <v>1</v>
      </c>
      <c r="C2139">
        <v>1</v>
      </c>
      <c r="D2139">
        <v>1</v>
      </c>
      <c r="E2139" s="50" t="s">
        <v>2106</v>
      </c>
      <c r="F2139" s="50" t="s">
        <v>2115</v>
      </c>
      <c r="G2139" s="50" t="s">
        <v>256</v>
      </c>
      <c r="H2139" s="50">
        <v>100</v>
      </c>
      <c r="M2139" t="str">
        <f>IF(COUNTIF($A:$A,E2139)=0,"Not Exists","Exists")</f>
        <v>Not Exists</v>
      </c>
      <c r="N2139" t="str">
        <f t="shared" si="104"/>
        <v>Not Exists</v>
      </c>
      <c r="O2139" t="str">
        <f t="shared" si="105"/>
        <v>Not Exists</v>
      </c>
      <c r="P2139" t="str">
        <f t="shared" si="106"/>
        <v>Not Exists</v>
      </c>
    </row>
    <row r="2140" spans="1:16">
      <c r="A2140">
        <v>1</v>
      </c>
      <c r="B2140">
        <v>1</v>
      </c>
      <c r="C2140">
        <v>1</v>
      </c>
      <c r="D2140">
        <v>1</v>
      </c>
      <c r="E2140" s="50" t="s">
        <v>2106</v>
      </c>
      <c r="F2140" s="50" t="s">
        <v>2116</v>
      </c>
      <c r="G2140" s="50" t="s">
        <v>256</v>
      </c>
      <c r="H2140" s="50">
        <v>100</v>
      </c>
      <c r="M2140" t="str">
        <f>IF(COUNTIF($A:$A,E2140)=0,"Not Exists","Exists")</f>
        <v>Not Exists</v>
      </c>
      <c r="N2140" t="str">
        <f t="shared" si="104"/>
        <v>Not Exists</v>
      </c>
      <c r="O2140" t="str">
        <f t="shared" si="105"/>
        <v>Not Exists</v>
      </c>
      <c r="P2140" t="str">
        <f t="shared" si="106"/>
        <v>Not Exists</v>
      </c>
    </row>
    <row r="2141" spans="1:16">
      <c r="A2141">
        <v>1</v>
      </c>
      <c r="B2141">
        <v>1</v>
      </c>
      <c r="C2141">
        <v>1</v>
      </c>
      <c r="D2141">
        <v>1</v>
      </c>
      <c r="E2141" s="50" t="s">
        <v>2106</v>
      </c>
      <c r="F2141" s="50" t="s">
        <v>2117</v>
      </c>
      <c r="G2141" s="50" t="s">
        <v>256</v>
      </c>
      <c r="H2141" s="50">
        <v>10</v>
      </c>
      <c r="M2141" t="str">
        <f>IF(COUNTIF($A:$A,E2141)=0,"Not Exists","Exists")</f>
        <v>Not Exists</v>
      </c>
      <c r="N2141" t="str">
        <f t="shared" si="104"/>
        <v>Not Exists</v>
      </c>
      <c r="O2141" t="str">
        <f t="shared" si="105"/>
        <v>Not Exists</v>
      </c>
      <c r="P2141" t="str">
        <f t="shared" si="106"/>
        <v>Not Exists</v>
      </c>
    </row>
    <row r="2142" spans="1:16">
      <c r="A2142">
        <v>1</v>
      </c>
      <c r="B2142">
        <v>1</v>
      </c>
      <c r="C2142">
        <v>1</v>
      </c>
      <c r="D2142">
        <v>1</v>
      </c>
      <c r="E2142" s="50" t="s">
        <v>2106</v>
      </c>
      <c r="F2142" s="50" t="s">
        <v>2118</v>
      </c>
      <c r="G2142" s="50" t="s">
        <v>256</v>
      </c>
      <c r="H2142" s="50">
        <v>100</v>
      </c>
      <c r="M2142" t="str">
        <f>IF(COUNTIF($A:$A,E2142)=0,"Not Exists","Exists")</f>
        <v>Not Exists</v>
      </c>
      <c r="N2142" t="str">
        <f t="shared" si="104"/>
        <v>Not Exists</v>
      </c>
      <c r="O2142" t="str">
        <f t="shared" si="105"/>
        <v>Not Exists</v>
      </c>
      <c r="P2142" t="str">
        <f t="shared" si="106"/>
        <v>Not Exists</v>
      </c>
    </row>
    <row r="2143" spans="1:16">
      <c r="A2143">
        <v>1</v>
      </c>
      <c r="B2143">
        <v>1</v>
      </c>
      <c r="C2143">
        <v>1</v>
      </c>
      <c r="D2143">
        <v>1</v>
      </c>
      <c r="E2143" s="50" t="s">
        <v>2106</v>
      </c>
      <c r="F2143" s="50" t="s">
        <v>2119</v>
      </c>
      <c r="G2143" s="50" t="s">
        <v>251</v>
      </c>
      <c r="H2143" s="50">
        <v>1</v>
      </c>
      <c r="M2143" t="str">
        <f>IF(COUNTIF($A:$A,E2143)=0,"Not Exists","Exists")</f>
        <v>Not Exists</v>
      </c>
      <c r="N2143" t="str">
        <f t="shared" si="104"/>
        <v>Not Exists</v>
      </c>
      <c r="O2143" t="str">
        <f t="shared" si="105"/>
        <v>Not Exists</v>
      </c>
      <c r="P2143" t="str">
        <f t="shared" si="106"/>
        <v>Not Exists</v>
      </c>
    </row>
    <row r="2144" spans="1:16">
      <c r="A2144">
        <v>1</v>
      </c>
      <c r="B2144">
        <v>1</v>
      </c>
      <c r="C2144">
        <v>1</v>
      </c>
      <c r="D2144">
        <v>1</v>
      </c>
      <c r="E2144" s="50" t="s">
        <v>2106</v>
      </c>
      <c r="F2144" s="50" t="s">
        <v>2120</v>
      </c>
      <c r="G2144" s="50" t="s">
        <v>251</v>
      </c>
      <c r="H2144" s="50">
        <v>17</v>
      </c>
      <c r="M2144" t="str">
        <f>IF(COUNTIF($A:$A,E2144)=0,"Not Exists","Exists")</f>
        <v>Not Exists</v>
      </c>
      <c r="N2144" t="str">
        <f t="shared" si="104"/>
        <v>Not Exists</v>
      </c>
      <c r="O2144" t="str">
        <f t="shared" si="105"/>
        <v>Not Exists</v>
      </c>
      <c r="P2144" t="str">
        <f t="shared" si="106"/>
        <v>Not Exists</v>
      </c>
    </row>
    <row r="2145" spans="1:16">
      <c r="A2145">
        <v>1</v>
      </c>
      <c r="B2145">
        <v>1</v>
      </c>
      <c r="C2145">
        <v>1</v>
      </c>
      <c r="D2145">
        <v>1</v>
      </c>
      <c r="E2145" s="50" t="s">
        <v>2106</v>
      </c>
      <c r="F2145" s="50" t="s">
        <v>2121</v>
      </c>
      <c r="G2145" s="50" t="s">
        <v>254</v>
      </c>
      <c r="H2145" s="50">
        <v>22</v>
      </c>
      <c r="M2145" t="str">
        <f>IF(COUNTIF($A:$A,E2145)=0,"Not Exists","Exists")</f>
        <v>Not Exists</v>
      </c>
      <c r="N2145" t="str">
        <f t="shared" si="104"/>
        <v>Not Exists</v>
      </c>
      <c r="O2145" t="str">
        <f t="shared" si="105"/>
        <v>Not Exists</v>
      </c>
      <c r="P2145" t="str">
        <f t="shared" si="106"/>
        <v>Not Exists</v>
      </c>
    </row>
    <row r="2146" spans="1:16">
      <c r="A2146">
        <v>1</v>
      </c>
      <c r="B2146">
        <v>1</v>
      </c>
      <c r="C2146">
        <v>1</v>
      </c>
      <c r="D2146">
        <v>1</v>
      </c>
      <c r="E2146" s="50" t="s">
        <v>2106</v>
      </c>
      <c r="F2146" s="50" t="s">
        <v>2122</v>
      </c>
      <c r="G2146" s="50" t="s">
        <v>251</v>
      </c>
      <c r="H2146" s="50">
        <v>1</v>
      </c>
      <c r="M2146" t="str">
        <f>IF(COUNTIF($A:$A,E2146)=0,"Not Exists","Exists")</f>
        <v>Not Exists</v>
      </c>
      <c r="N2146" t="str">
        <f t="shared" si="104"/>
        <v>Not Exists</v>
      </c>
      <c r="O2146" t="str">
        <f t="shared" si="105"/>
        <v>Not Exists</v>
      </c>
      <c r="P2146" t="str">
        <f t="shared" si="106"/>
        <v>Not Exists</v>
      </c>
    </row>
    <row r="2147" spans="1:16">
      <c r="A2147">
        <v>1</v>
      </c>
      <c r="B2147">
        <v>1</v>
      </c>
      <c r="C2147">
        <v>1</v>
      </c>
      <c r="D2147">
        <v>1</v>
      </c>
      <c r="E2147" s="50" t="s">
        <v>2106</v>
      </c>
      <c r="F2147" s="50" t="s">
        <v>315</v>
      </c>
      <c r="G2147" s="50" t="s">
        <v>251</v>
      </c>
      <c r="H2147" s="50">
        <v>17</v>
      </c>
      <c r="M2147" t="str">
        <f>IF(COUNTIF($A:$A,E2147)=0,"Not Exists","Exists")</f>
        <v>Not Exists</v>
      </c>
      <c r="N2147" t="str">
        <f t="shared" si="104"/>
        <v>Exists</v>
      </c>
      <c r="O2147" t="str">
        <f t="shared" si="105"/>
        <v>Not Exists</v>
      </c>
      <c r="P2147" t="str">
        <f t="shared" si="106"/>
        <v>Not Exists</v>
      </c>
    </row>
    <row r="2148" spans="1:16">
      <c r="A2148">
        <v>1</v>
      </c>
      <c r="B2148">
        <v>1</v>
      </c>
      <c r="C2148">
        <v>1</v>
      </c>
      <c r="D2148">
        <v>1</v>
      </c>
      <c r="E2148" s="50" t="s">
        <v>2106</v>
      </c>
      <c r="F2148" s="50" t="s">
        <v>316</v>
      </c>
      <c r="G2148" s="50" t="s">
        <v>256</v>
      </c>
      <c r="H2148" s="50">
        <v>50</v>
      </c>
      <c r="M2148" t="str">
        <f>IF(COUNTIF($A:$A,E2148)=0,"Not Exists","Exists")</f>
        <v>Not Exists</v>
      </c>
      <c r="N2148" t="str">
        <f t="shared" si="104"/>
        <v>Exists</v>
      </c>
      <c r="O2148" t="str">
        <f t="shared" si="105"/>
        <v>Not Exists</v>
      </c>
      <c r="P2148" t="str">
        <f t="shared" si="106"/>
        <v>Not Exists</v>
      </c>
    </row>
    <row r="2149" spans="1:16">
      <c r="A2149">
        <v>1</v>
      </c>
      <c r="B2149">
        <v>1</v>
      </c>
      <c r="C2149">
        <v>1</v>
      </c>
      <c r="D2149">
        <v>1</v>
      </c>
      <c r="E2149" s="50" t="s">
        <v>2106</v>
      </c>
      <c r="F2149" s="50" t="s">
        <v>317</v>
      </c>
      <c r="G2149" s="50" t="s">
        <v>251</v>
      </c>
      <c r="H2149" s="50">
        <v>17</v>
      </c>
      <c r="M2149" t="str">
        <f>IF(COUNTIF($A:$A,E2149)=0,"Not Exists","Exists")</f>
        <v>Not Exists</v>
      </c>
      <c r="N2149" t="str">
        <f t="shared" si="104"/>
        <v>Exists</v>
      </c>
      <c r="O2149" t="str">
        <f t="shared" si="105"/>
        <v>Not Exists</v>
      </c>
      <c r="P2149" t="str">
        <f t="shared" si="106"/>
        <v>Not Exists</v>
      </c>
    </row>
    <row r="2150" spans="1:16">
      <c r="A2150">
        <v>1</v>
      </c>
      <c r="B2150">
        <v>1</v>
      </c>
      <c r="C2150">
        <v>1</v>
      </c>
      <c r="D2150">
        <v>1</v>
      </c>
      <c r="E2150" s="50" t="s">
        <v>2106</v>
      </c>
      <c r="F2150" s="50" t="s">
        <v>318</v>
      </c>
      <c r="G2150" s="50" t="s">
        <v>256</v>
      </c>
      <c r="H2150" s="50">
        <v>50</v>
      </c>
      <c r="M2150" t="str">
        <f>IF(COUNTIF($A:$A,E2150)=0,"Not Exists","Exists")</f>
        <v>Not Exists</v>
      </c>
      <c r="N2150" t="str">
        <f t="shared" si="104"/>
        <v>Exists</v>
      </c>
      <c r="O2150" t="str">
        <f t="shared" si="105"/>
        <v>Not Exists</v>
      </c>
      <c r="P2150" t="str">
        <f t="shared" si="106"/>
        <v>Not Exists</v>
      </c>
    </row>
    <row r="2151" spans="1:16">
      <c r="A2151">
        <v>1</v>
      </c>
      <c r="B2151">
        <v>1</v>
      </c>
      <c r="C2151">
        <v>1</v>
      </c>
      <c r="D2151">
        <v>1</v>
      </c>
      <c r="E2151" s="50" t="s">
        <v>2123</v>
      </c>
      <c r="F2151" s="50" t="s">
        <v>2124</v>
      </c>
      <c r="G2151" s="50" t="s">
        <v>256</v>
      </c>
      <c r="H2151" s="50">
        <v>2</v>
      </c>
      <c r="M2151" t="str">
        <f>IF(COUNTIF($A:$A,E2151)=0,"Not Exists","Exists")</f>
        <v>Not Exists</v>
      </c>
      <c r="N2151" t="str">
        <f t="shared" si="104"/>
        <v>Not Exists</v>
      </c>
      <c r="O2151" t="str">
        <f t="shared" si="105"/>
        <v>Not Exists</v>
      </c>
      <c r="P2151" t="str">
        <f t="shared" si="106"/>
        <v>Not Exists</v>
      </c>
    </row>
    <row r="2152" spans="1:16">
      <c r="A2152">
        <v>1</v>
      </c>
      <c r="B2152">
        <v>1</v>
      </c>
      <c r="C2152">
        <v>1</v>
      </c>
      <c r="D2152">
        <v>1</v>
      </c>
      <c r="E2152" s="50" t="s">
        <v>2123</v>
      </c>
      <c r="F2152" s="50" t="s">
        <v>424</v>
      </c>
      <c r="G2152" s="50" t="s">
        <v>256</v>
      </c>
      <c r="H2152" s="50">
        <v>32</v>
      </c>
      <c r="M2152" t="str">
        <f>IF(COUNTIF($A:$A,E2152)=0,"Not Exists","Exists")</f>
        <v>Not Exists</v>
      </c>
      <c r="N2152" t="str">
        <f t="shared" ref="N2152:N2215" si="107">IF(COUNTIF($A:$B,F2152)=0,"Not Exists","Exists")</f>
        <v>Exists</v>
      </c>
      <c r="O2152" t="str">
        <f t="shared" si="105"/>
        <v>Not Exists</v>
      </c>
      <c r="P2152" t="str">
        <f t="shared" si="106"/>
        <v>Not Exists</v>
      </c>
    </row>
    <row r="2153" spans="1:16">
      <c r="A2153">
        <v>1</v>
      </c>
      <c r="B2153">
        <v>1</v>
      </c>
      <c r="C2153">
        <v>1</v>
      </c>
      <c r="D2153">
        <v>1</v>
      </c>
      <c r="E2153" s="50" t="s">
        <v>2123</v>
      </c>
      <c r="F2153" s="50" t="s">
        <v>2125</v>
      </c>
      <c r="G2153" s="50" t="s">
        <v>254</v>
      </c>
      <c r="H2153" s="50">
        <v>22</v>
      </c>
      <c r="M2153" t="str">
        <f>IF(COUNTIF($A:$A,E2153)=0,"Not Exists","Exists")</f>
        <v>Not Exists</v>
      </c>
      <c r="N2153" t="str">
        <f t="shared" si="107"/>
        <v>Not Exists</v>
      </c>
      <c r="O2153" t="str">
        <f t="shared" si="105"/>
        <v>Not Exists</v>
      </c>
      <c r="P2153" t="str">
        <f t="shared" si="106"/>
        <v>Not Exists</v>
      </c>
    </row>
    <row r="2154" spans="1:16">
      <c r="A2154">
        <v>1</v>
      </c>
      <c r="B2154">
        <v>1</v>
      </c>
      <c r="C2154">
        <v>1</v>
      </c>
      <c r="D2154">
        <v>1</v>
      </c>
      <c r="E2154" s="50" t="s">
        <v>2123</v>
      </c>
      <c r="F2154" s="50" t="s">
        <v>943</v>
      </c>
      <c r="G2154" s="50" t="s">
        <v>254</v>
      </c>
      <c r="H2154" s="50">
        <v>22</v>
      </c>
      <c r="M2154" t="str">
        <f>IF(COUNTIF($A:$A,E2154)=0,"Not Exists","Exists")</f>
        <v>Not Exists</v>
      </c>
      <c r="N2154" t="str">
        <f t="shared" si="107"/>
        <v>Not Exists</v>
      </c>
      <c r="O2154" t="str">
        <f t="shared" si="105"/>
        <v>Not Exists</v>
      </c>
      <c r="P2154" t="str">
        <f t="shared" si="106"/>
        <v>Not Exists</v>
      </c>
    </row>
    <row r="2155" spans="1:16">
      <c r="A2155">
        <v>1</v>
      </c>
      <c r="B2155">
        <v>1</v>
      </c>
      <c r="C2155">
        <v>1</v>
      </c>
      <c r="D2155">
        <v>1</v>
      </c>
      <c r="E2155" s="50" t="s">
        <v>2123</v>
      </c>
      <c r="F2155" s="50" t="s">
        <v>1408</v>
      </c>
      <c r="G2155" s="50" t="s">
        <v>256</v>
      </c>
      <c r="H2155" s="50">
        <v>17</v>
      </c>
      <c r="M2155" t="str">
        <f>IF(COUNTIF($A:$A,E2155)=0,"Not Exists","Exists")</f>
        <v>Not Exists</v>
      </c>
      <c r="N2155" t="str">
        <f t="shared" si="107"/>
        <v>Not Exists</v>
      </c>
      <c r="O2155" t="str">
        <f t="shared" si="105"/>
        <v>Not Exists</v>
      </c>
      <c r="P2155" t="str">
        <f t="shared" si="106"/>
        <v>Not Exists</v>
      </c>
    </row>
    <row r="2156" spans="1:16">
      <c r="A2156">
        <v>1</v>
      </c>
      <c r="B2156">
        <v>1</v>
      </c>
      <c r="C2156">
        <v>1</v>
      </c>
      <c r="D2156">
        <v>1</v>
      </c>
      <c r="E2156" s="50" t="s">
        <v>2123</v>
      </c>
      <c r="F2156" s="50" t="s">
        <v>914</v>
      </c>
      <c r="G2156" s="50" t="s">
        <v>256</v>
      </c>
      <c r="H2156" s="50">
        <v>50</v>
      </c>
      <c r="M2156" t="str">
        <f>IF(COUNTIF($A:$A,E2156)=0,"Not Exists","Exists")</f>
        <v>Not Exists</v>
      </c>
      <c r="N2156" t="str">
        <f t="shared" si="107"/>
        <v>Exists</v>
      </c>
      <c r="O2156" t="str">
        <f t="shared" si="105"/>
        <v>Not Exists</v>
      </c>
      <c r="P2156" t="str">
        <f t="shared" si="106"/>
        <v>Not Exists</v>
      </c>
    </row>
    <row r="2157" spans="1:16">
      <c r="A2157">
        <v>1</v>
      </c>
      <c r="B2157">
        <v>1</v>
      </c>
      <c r="C2157">
        <v>1</v>
      </c>
      <c r="D2157">
        <v>1</v>
      </c>
      <c r="E2157" s="50" t="s">
        <v>2123</v>
      </c>
      <c r="F2157" s="50" t="s">
        <v>2126</v>
      </c>
      <c r="G2157" s="50" t="s">
        <v>256</v>
      </c>
      <c r="H2157" s="50">
        <v>50</v>
      </c>
      <c r="M2157" t="str">
        <f>IF(COUNTIF($A:$A,E2157)=0,"Not Exists","Exists")</f>
        <v>Not Exists</v>
      </c>
      <c r="N2157" t="str">
        <f t="shared" si="107"/>
        <v>Not Exists</v>
      </c>
      <c r="O2157" t="str">
        <f t="shared" si="105"/>
        <v>Not Exists</v>
      </c>
      <c r="P2157" t="str">
        <f t="shared" si="106"/>
        <v>Not Exists</v>
      </c>
    </row>
    <row r="2158" spans="1:16">
      <c r="A2158">
        <v>1</v>
      </c>
      <c r="B2158">
        <v>1</v>
      </c>
      <c r="C2158">
        <v>1</v>
      </c>
      <c r="D2158">
        <v>1</v>
      </c>
      <c r="E2158" s="50" t="s">
        <v>2123</v>
      </c>
      <c r="F2158" s="50" t="s">
        <v>2127</v>
      </c>
      <c r="G2158" s="50" t="s">
        <v>256</v>
      </c>
      <c r="H2158" s="50">
        <v>50</v>
      </c>
      <c r="M2158" t="str">
        <f>IF(COUNTIF($A:$A,E2158)=0,"Not Exists","Exists")</f>
        <v>Not Exists</v>
      </c>
      <c r="N2158" t="str">
        <f t="shared" si="107"/>
        <v>Not Exists</v>
      </c>
      <c r="O2158" t="str">
        <f t="shared" si="105"/>
        <v>Not Exists</v>
      </c>
      <c r="P2158" t="str">
        <f t="shared" si="106"/>
        <v>Not Exists</v>
      </c>
    </row>
    <row r="2159" spans="1:16">
      <c r="A2159">
        <v>1</v>
      </c>
      <c r="B2159">
        <v>1</v>
      </c>
      <c r="C2159">
        <v>1</v>
      </c>
      <c r="D2159">
        <v>1</v>
      </c>
      <c r="E2159" s="50" t="s">
        <v>2123</v>
      </c>
      <c r="F2159" s="50" t="s">
        <v>2128</v>
      </c>
      <c r="G2159" s="50" t="s">
        <v>256</v>
      </c>
      <c r="H2159" s="50">
        <v>50</v>
      </c>
      <c r="M2159" t="str">
        <f>IF(COUNTIF($A:$A,E2159)=0,"Not Exists","Exists")</f>
        <v>Not Exists</v>
      </c>
      <c r="N2159" t="str">
        <f t="shared" si="107"/>
        <v>Not Exists</v>
      </c>
      <c r="O2159" t="str">
        <f t="shared" si="105"/>
        <v>Not Exists</v>
      </c>
      <c r="P2159" t="str">
        <f t="shared" si="106"/>
        <v>Not Exists</v>
      </c>
    </row>
    <row r="2160" spans="1:16">
      <c r="A2160">
        <v>1</v>
      </c>
      <c r="B2160">
        <v>1</v>
      </c>
      <c r="C2160">
        <v>1</v>
      </c>
      <c r="D2160">
        <v>1</v>
      </c>
      <c r="E2160" s="50" t="s">
        <v>2123</v>
      </c>
      <c r="F2160" s="50" t="s">
        <v>2129</v>
      </c>
      <c r="G2160" s="50" t="s">
        <v>256</v>
      </c>
      <c r="H2160" s="50">
        <v>50</v>
      </c>
      <c r="M2160" t="str">
        <f>IF(COUNTIF($A:$A,E2160)=0,"Not Exists","Exists")</f>
        <v>Not Exists</v>
      </c>
      <c r="N2160" t="str">
        <f t="shared" si="107"/>
        <v>Not Exists</v>
      </c>
      <c r="O2160" t="str">
        <f t="shared" si="105"/>
        <v>Not Exists</v>
      </c>
      <c r="P2160" t="str">
        <f t="shared" si="106"/>
        <v>Not Exists</v>
      </c>
    </row>
    <row r="2161" spans="1:16">
      <c r="A2161">
        <v>1</v>
      </c>
      <c r="B2161">
        <v>1</v>
      </c>
      <c r="C2161">
        <v>1</v>
      </c>
      <c r="D2161">
        <v>1</v>
      </c>
      <c r="E2161" s="50" t="s">
        <v>2123</v>
      </c>
      <c r="F2161" s="50" t="s">
        <v>2130</v>
      </c>
      <c r="G2161" s="50" t="s">
        <v>256</v>
      </c>
      <c r="H2161" s="50">
        <v>4000</v>
      </c>
      <c r="M2161" t="str">
        <f>IF(COUNTIF($A:$A,E2161)=0,"Not Exists","Exists")</f>
        <v>Not Exists</v>
      </c>
      <c r="N2161" t="str">
        <f t="shared" si="107"/>
        <v>Not Exists</v>
      </c>
      <c r="O2161" t="str">
        <f t="shared" si="105"/>
        <v>Not Exists</v>
      </c>
      <c r="P2161" t="str">
        <f t="shared" si="106"/>
        <v>Not Exists</v>
      </c>
    </row>
    <row r="2162" spans="1:16">
      <c r="A2162">
        <v>1</v>
      </c>
      <c r="B2162">
        <v>1</v>
      </c>
      <c r="C2162">
        <v>1</v>
      </c>
      <c r="D2162">
        <v>1</v>
      </c>
      <c r="E2162" s="50" t="s">
        <v>2123</v>
      </c>
      <c r="F2162" s="50" t="s">
        <v>2131</v>
      </c>
      <c r="G2162" s="50" t="s">
        <v>256</v>
      </c>
      <c r="H2162" s="50">
        <v>4000</v>
      </c>
      <c r="M2162" t="str">
        <f>IF(COUNTIF($A:$A,E2162)=0,"Not Exists","Exists")</f>
        <v>Not Exists</v>
      </c>
      <c r="N2162" t="str">
        <f t="shared" si="107"/>
        <v>Not Exists</v>
      </c>
      <c r="O2162" t="str">
        <f t="shared" si="105"/>
        <v>Not Exists</v>
      </c>
      <c r="P2162" t="str">
        <f t="shared" si="106"/>
        <v>Not Exists</v>
      </c>
    </row>
    <row r="2163" spans="1:16">
      <c r="A2163">
        <v>1</v>
      </c>
      <c r="B2163">
        <v>1</v>
      </c>
      <c r="C2163">
        <v>1</v>
      </c>
      <c r="D2163">
        <v>1</v>
      </c>
      <c r="E2163" s="50" t="s">
        <v>2123</v>
      </c>
      <c r="F2163" s="50" t="s">
        <v>2132</v>
      </c>
      <c r="G2163" s="50" t="s">
        <v>256</v>
      </c>
      <c r="H2163" s="50">
        <v>4000</v>
      </c>
      <c r="M2163" t="str">
        <f>IF(COUNTIF($A:$A,E2163)=0,"Not Exists","Exists")</f>
        <v>Not Exists</v>
      </c>
      <c r="N2163" t="str">
        <f t="shared" si="107"/>
        <v>Not Exists</v>
      </c>
      <c r="O2163" t="str">
        <f t="shared" si="105"/>
        <v>Not Exists</v>
      </c>
      <c r="P2163" t="str">
        <f t="shared" si="106"/>
        <v>Not Exists</v>
      </c>
    </row>
    <row r="2164" spans="1:16">
      <c r="A2164">
        <v>1</v>
      </c>
      <c r="B2164">
        <v>1</v>
      </c>
      <c r="C2164">
        <v>1</v>
      </c>
      <c r="D2164">
        <v>1</v>
      </c>
      <c r="E2164" s="50" t="s">
        <v>2123</v>
      </c>
      <c r="F2164" s="50" t="s">
        <v>2133</v>
      </c>
      <c r="G2164" s="50" t="s">
        <v>256</v>
      </c>
      <c r="H2164" s="50">
        <v>4000</v>
      </c>
      <c r="M2164" t="str">
        <f>IF(COUNTIF($A:$A,E2164)=0,"Not Exists","Exists")</f>
        <v>Not Exists</v>
      </c>
      <c r="N2164" t="str">
        <f t="shared" si="107"/>
        <v>Not Exists</v>
      </c>
      <c r="O2164" t="str">
        <f t="shared" si="105"/>
        <v>Not Exists</v>
      </c>
      <c r="P2164" t="str">
        <f t="shared" si="106"/>
        <v>Not Exists</v>
      </c>
    </row>
    <row r="2165" spans="1:16">
      <c r="A2165">
        <v>1</v>
      </c>
      <c r="B2165">
        <v>1</v>
      </c>
      <c r="C2165">
        <v>1</v>
      </c>
      <c r="D2165">
        <v>1</v>
      </c>
      <c r="E2165" s="50" t="s">
        <v>2123</v>
      </c>
      <c r="F2165" s="50" t="s">
        <v>2134</v>
      </c>
      <c r="G2165" s="50" t="s">
        <v>256</v>
      </c>
      <c r="H2165" s="50">
        <v>4000</v>
      </c>
      <c r="M2165" t="str">
        <f>IF(COUNTIF($A:$A,E2165)=0,"Not Exists","Exists")</f>
        <v>Not Exists</v>
      </c>
      <c r="N2165" t="str">
        <f t="shared" si="107"/>
        <v>Not Exists</v>
      </c>
      <c r="O2165" t="str">
        <f t="shared" si="105"/>
        <v>Not Exists</v>
      </c>
      <c r="P2165" t="str">
        <f t="shared" si="106"/>
        <v>Not Exists</v>
      </c>
    </row>
    <row r="2166" spans="1:16">
      <c r="A2166">
        <v>1</v>
      </c>
      <c r="B2166">
        <v>1</v>
      </c>
      <c r="C2166">
        <v>1</v>
      </c>
      <c r="D2166">
        <v>1</v>
      </c>
      <c r="E2166" s="50" t="s">
        <v>2135</v>
      </c>
      <c r="F2166" s="50" t="s">
        <v>350</v>
      </c>
      <c r="G2166" s="50" t="s">
        <v>256</v>
      </c>
      <c r="H2166" s="50">
        <v>60</v>
      </c>
      <c r="M2166" t="str">
        <f>IF(COUNTIF($A:$A,E2166)=0,"Not Exists","Exists")</f>
        <v>Not Exists</v>
      </c>
      <c r="N2166" t="str">
        <f t="shared" si="107"/>
        <v>Exists</v>
      </c>
      <c r="O2166" t="str">
        <f t="shared" si="105"/>
        <v>Not Exists</v>
      </c>
      <c r="P2166" t="str">
        <f t="shared" si="106"/>
        <v>Not Exists</v>
      </c>
    </row>
    <row r="2167" spans="1:16">
      <c r="A2167">
        <v>1</v>
      </c>
      <c r="B2167">
        <v>1</v>
      </c>
      <c r="C2167">
        <v>1</v>
      </c>
      <c r="D2167">
        <v>1</v>
      </c>
      <c r="E2167" s="50" t="s">
        <v>2135</v>
      </c>
      <c r="F2167" s="50" t="s">
        <v>897</v>
      </c>
      <c r="G2167" s="50" t="s">
        <v>256</v>
      </c>
      <c r="H2167" s="50">
        <v>7</v>
      </c>
      <c r="M2167" t="str">
        <f>IF(COUNTIF($A:$A,E2167)=0,"Not Exists","Exists")</f>
        <v>Not Exists</v>
      </c>
      <c r="N2167" t="str">
        <f t="shared" si="107"/>
        <v>Exists</v>
      </c>
      <c r="O2167" t="str">
        <f t="shared" si="105"/>
        <v>Not Exists</v>
      </c>
      <c r="P2167" t="str">
        <f t="shared" si="106"/>
        <v>Not Exists</v>
      </c>
    </row>
    <row r="2168" spans="1:16">
      <c r="A2168">
        <v>1</v>
      </c>
      <c r="B2168">
        <v>1</v>
      </c>
      <c r="C2168">
        <v>1</v>
      </c>
      <c r="D2168">
        <v>1</v>
      </c>
      <c r="E2168" s="50" t="s">
        <v>2135</v>
      </c>
      <c r="F2168" s="50" t="s">
        <v>2136</v>
      </c>
      <c r="G2168" s="50" t="s">
        <v>254</v>
      </c>
      <c r="H2168" s="50">
        <v>22</v>
      </c>
      <c r="M2168" t="str">
        <f>IF(COUNTIF($A:$A,E2168)=0,"Not Exists","Exists")</f>
        <v>Not Exists</v>
      </c>
      <c r="N2168" t="str">
        <f t="shared" si="107"/>
        <v>Not Exists</v>
      </c>
      <c r="O2168" t="str">
        <f t="shared" si="105"/>
        <v>Not Exists</v>
      </c>
      <c r="P2168" t="str">
        <f t="shared" si="106"/>
        <v>Not Exists</v>
      </c>
    </row>
    <row r="2169" spans="1:16">
      <c r="A2169">
        <v>1</v>
      </c>
      <c r="B2169">
        <v>1</v>
      </c>
      <c r="C2169">
        <v>1</v>
      </c>
      <c r="D2169">
        <v>1</v>
      </c>
      <c r="E2169" s="50" t="s">
        <v>2135</v>
      </c>
      <c r="F2169" s="50" t="s">
        <v>430</v>
      </c>
      <c r="G2169" s="50" t="s">
        <v>256</v>
      </c>
      <c r="H2169" s="50">
        <v>50</v>
      </c>
      <c r="M2169" t="str">
        <f>IF(COUNTIF($A:$A,E2169)=0,"Not Exists","Exists")</f>
        <v>Not Exists</v>
      </c>
      <c r="N2169" t="str">
        <f t="shared" si="107"/>
        <v>Exists</v>
      </c>
      <c r="O2169" t="str">
        <f t="shared" si="105"/>
        <v>Not Exists</v>
      </c>
      <c r="P2169" t="str">
        <f t="shared" si="106"/>
        <v>Not Exists</v>
      </c>
    </row>
    <row r="2170" spans="1:16">
      <c r="A2170">
        <v>1</v>
      </c>
      <c r="B2170">
        <v>1</v>
      </c>
      <c r="C2170">
        <v>1</v>
      </c>
      <c r="D2170">
        <v>1</v>
      </c>
      <c r="E2170" s="50" t="s">
        <v>2135</v>
      </c>
      <c r="F2170" s="50" t="s">
        <v>701</v>
      </c>
      <c r="G2170" s="50" t="s">
        <v>256</v>
      </c>
      <c r="H2170" s="50">
        <v>50</v>
      </c>
      <c r="M2170" t="str">
        <f>IF(COUNTIF($A:$A,E2170)=0,"Not Exists","Exists")</f>
        <v>Not Exists</v>
      </c>
      <c r="N2170" t="str">
        <f t="shared" si="107"/>
        <v>Exists</v>
      </c>
      <c r="O2170" t="str">
        <f t="shared" si="105"/>
        <v>Not Exists</v>
      </c>
      <c r="P2170" t="str">
        <f t="shared" si="106"/>
        <v>Not Exists</v>
      </c>
    </row>
    <row r="2171" spans="1:16">
      <c r="A2171">
        <v>1</v>
      </c>
      <c r="B2171">
        <v>1</v>
      </c>
      <c r="C2171">
        <v>1</v>
      </c>
      <c r="D2171">
        <v>1</v>
      </c>
      <c r="E2171" s="50" t="s">
        <v>2135</v>
      </c>
      <c r="F2171" s="50" t="s">
        <v>2137</v>
      </c>
      <c r="G2171" s="50" t="s">
        <v>256</v>
      </c>
      <c r="H2171" s="50">
        <v>50</v>
      </c>
      <c r="M2171" t="str">
        <f>IF(COUNTIF($A:$A,E2171)=0,"Not Exists","Exists")</f>
        <v>Not Exists</v>
      </c>
      <c r="N2171" t="str">
        <f t="shared" si="107"/>
        <v>Not Exists</v>
      </c>
      <c r="O2171" t="str">
        <f t="shared" si="105"/>
        <v>Not Exists</v>
      </c>
      <c r="P2171" t="str">
        <f t="shared" si="106"/>
        <v>Not Exists</v>
      </c>
    </row>
    <row r="2172" spans="1:16">
      <c r="A2172">
        <v>1</v>
      </c>
      <c r="B2172">
        <v>1</v>
      </c>
      <c r="C2172">
        <v>1</v>
      </c>
      <c r="D2172">
        <v>1</v>
      </c>
      <c r="E2172" s="50" t="s">
        <v>2135</v>
      </c>
      <c r="F2172" s="50" t="s">
        <v>2138</v>
      </c>
      <c r="G2172" s="50" t="s">
        <v>256</v>
      </c>
      <c r="H2172" s="50">
        <v>50</v>
      </c>
      <c r="M2172" t="str">
        <f>IF(COUNTIF($A:$A,E2172)=0,"Not Exists","Exists")</f>
        <v>Not Exists</v>
      </c>
      <c r="N2172" t="str">
        <f t="shared" si="107"/>
        <v>Not Exists</v>
      </c>
      <c r="O2172" t="str">
        <f t="shared" si="105"/>
        <v>Not Exists</v>
      </c>
      <c r="P2172" t="str">
        <f t="shared" si="106"/>
        <v>Not Exists</v>
      </c>
    </row>
    <row r="2173" spans="1:16">
      <c r="A2173">
        <v>1</v>
      </c>
      <c r="B2173">
        <v>1</v>
      </c>
      <c r="C2173">
        <v>1</v>
      </c>
      <c r="D2173">
        <v>1</v>
      </c>
      <c r="E2173" s="50" t="s">
        <v>2135</v>
      </c>
      <c r="F2173" s="50" t="s">
        <v>2139</v>
      </c>
      <c r="G2173" s="50" t="s">
        <v>256</v>
      </c>
      <c r="H2173" s="50">
        <v>50</v>
      </c>
      <c r="M2173" t="str">
        <f>IF(COUNTIF($A:$A,E2173)=0,"Not Exists","Exists")</f>
        <v>Not Exists</v>
      </c>
      <c r="N2173" t="str">
        <f t="shared" si="107"/>
        <v>Not Exists</v>
      </c>
      <c r="O2173" t="str">
        <f t="shared" si="105"/>
        <v>Not Exists</v>
      </c>
      <c r="P2173" t="str">
        <f t="shared" si="106"/>
        <v>Not Exists</v>
      </c>
    </row>
    <row r="2174" spans="1:16">
      <c r="A2174">
        <v>1</v>
      </c>
      <c r="B2174">
        <v>1</v>
      </c>
      <c r="C2174">
        <v>1</v>
      </c>
      <c r="D2174">
        <v>1</v>
      </c>
      <c r="E2174" s="50" t="s">
        <v>2135</v>
      </c>
      <c r="F2174" s="50" t="s">
        <v>2140</v>
      </c>
      <c r="G2174" s="50" t="s">
        <v>256</v>
      </c>
      <c r="H2174" s="50">
        <v>50</v>
      </c>
      <c r="M2174" t="str">
        <f>IF(COUNTIF($A:$A,E2174)=0,"Not Exists","Exists")</f>
        <v>Not Exists</v>
      </c>
      <c r="N2174" t="str">
        <f t="shared" si="107"/>
        <v>Not Exists</v>
      </c>
      <c r="O2174" t="str">
        <f t="shared" si="105"/>
        <v>Not Exists</v>
      </c>
      <c r="P2174" t="str">
        <f t="shared" si="106"/>
        <v>Not Exists</v>
      </c>
    </row>
    <row r="2175" spans="1:16">
      <c r="A2175">
        <v>1</v>
      </c>
      <c r="B2175">
        <v>1</v>
      </c>
      <c r="C2175">
        <v>1</v>
      </c>
      <c r="D2175">
        <v>1</v>
      </c>
      <c r="E2175" s="50" t="s">
        <v>2135</v>
      </c>
      <c r="F2175" s="50" t="s">
        <v>914</v>
      </c>
      <c r="G2175" s="50" t="s">
        <v>256</v>
      </c>
      <c r="H2175" s="50">
        <v>50</v>
      </c>
      <c r="M2175" t="str">
        <f>IF(COUNTIF($A:$A,E2175)=0,"Not Exists","Exists")</f>
        <v>Not Exists</v>
      </c>
      <c r="N2175" t="str">
        <f t="shared" si="107"/>
        <v>Exists</v>
      </c>
      <c r="O2175" t="str">
        <f t="shared" si="105"/>
        <v>Not Exists</v>
      </c>
      <c r="P2175" t="str">
        <f t="shared" si="106"/>
        <v>Not Exists</v>
      </c>
    </row>
    <row r="2176" spans="1:16">
      <c r="A2176">
        <v>1</v>
      </c>
      <c r="B2176">
        <v>1</v>
      </c>
      <c r="C2176">
        <v>1</v>
      </c>
      <c r="D2176">
        <v>1</v>
      </c>
      <c r="E2176" s="50" t="s">
        <v>2135</v>
      </c>
      <c r="F2176" s="50" t="s">
        <v>2060</v>
      </c>
      <c r="G2176" s="50" t="s">
        <v>256</v>
      </c>
      <c r="H2176" s="50">
        <v>10</v>
      </c>
      <c r="M2176" t="str">
        <f>IF(COUNTIF($A:$A,E2176)=0,"Not Exists","Exists")</f>
        <v>Not Exists</v>
      </c>
      <c r="N2176" t="str">
        <f t="shared" si="107"/>
        <v>Not Exists</v>
      </c>
      <c r="O2176" t="str">
        <f t="shared" si="105"/>
        <v>Not Exists</v>
      </c>
      <c r="P2176" t="str">
        <f t="shared" si="106"/>
        <v>Not Exists</v>
      </c>
    </row>
    <row r="2177" spans="1:16">
      <c r="A2177">
        <v>1</v>
      </c>
      <c r="B2177">
        <v>1</v>
      </c>
      <c r="C2177">
        <v>1</v>
      </c>
      <c r="D2177">
        <v>1</v>
      </c>
      <c r="E2177" s="50" t="s">
        <v>2135</v>
      </c>
      <c r="F2177" s="50" t="s">
        <v>2141</v>
      </c>
      <c r="G2177" s="50" t="s">
        <v>251</v>
      </c>
      <c r="H2177" s="50">
        <v>2</v>
      </c>
      <c r="M2177" t="str">
        <f>IF(COUNTIF($A:$A,E2177)=0,"Not Exists","Exists")</f>
        <v>Not Exists</v>
      </c>
      <c r="N2177" t="str">
        <f t="shared" si="107"/>
        <v>Not Exists</v>
      </c>
      <c r="O2177" t="str">
        <f t="shared" si="105"/>
        <v>Not Exists</v>
      </c>
      <c r="P2177" t="str">
        <f t="shared" si="106"/>
        <v>Not Exists</v>
      </c>
    </row>
    <row r="2178" spans="1:16">
      <c r="A2178">
        <v>1</v>
      </c>
      <c r="B2178">
        <v>1</v>
      </c>
      <c r="C2178">
        <v>1</v>
      </c>
      <c r="D2178">
        <v>1</v>
      </c>
      <c r="E2178" s="50" t="s">
        <v>2135</v>
      </c>
      <c r="F2178" s="50" t="s">
        <v>2142</v>
      </c>
      <c r="G2178" s="50" t="s">
        <v>254</v>
      </c>
      <c r="H2178" s="50">
        <v>22</v>
      </c>
      <c r="M2178" t="str">
        <f>IF(COUNTIF($A:$A,E2178)=0,"Not Exists","Exists")</f>
        <v>Not Exists</v>
      </c>
      <c r="N2178" t="str">
        <f t="shared" si="107"/>
        <v>Not Exists</v>
      </c>
      <c r="O2178" t="str">
        <f t="shared" si="105"/>
        <v>Not Exists</v>
      </c>
      <c r="P2178" t="str">
        <f t="shared" si="106"/>
        <v>Not Exists</v>
      </c>
    </row>
    <row r="2179" spans="1:16">
      <c r="A2179">
        <v>1</v>
      </c>
      <c r="B2179">
        <v>1</v>
      </c>
      <c r="C2179">
        <v>1</v>
      </c>
      <c r="D2179">
        <v>1</v>
      </c>
      <c r="E2179" s="50" t="s">
        <v>2135</v>
      </c>
      <c r="F2179" s="50" t="s">
        <v>903</v>
      </c>
      <c r="G2179" s="50" t="s">
        <v>251</v>
      </c>
      <c r="H2179" s="50">
        <v>17</v>
      </c>
      <c r="M2179" t="str">
        <f>IF(COUNTIF($A:$A,E2179)=0,"Not Exists","Exists")</f>
        <v>Not Exists</v>
      </c>
      <c r="N2179" t="str">
        <f t="shared" si="107"/>
        <v>Exists</v>
      </c>
      <c r="O2179" t="str">
        <f t="shared" si="105"/>
        <v>Not Exists</v>
      </c>
      <c r="P2179" t="str">
        <f t="shared" si="106"/>
        <v>Not Exists</v>
      </c>
    </row>
    <row r="2180" spans="1:16">
      <c r="A2180">
        <v>1</v>
      </c>
      <c r="B2180">
        <v>1</v>
      </c>
      <c r="C2180">
        <v>1</v>
      </c>
      <c r="D2180">
        <v>1</v>
      </c>
      <c r="E2180" s="50" t="s">
        <v>2135</v>
      </c>
      <c r="F2180" s="50" t="s">
        <v>904</v>
      </c>
      <c r="G2180" s="50" t="s">
        <v>251</v>
      </c>
      <c r="H2180" s="50">
        <v>17</v>
      </c>
      <c r="M2180" t="str">
        <f>IF(COUNTIF($A:$A,E2180)=0,"Not Exists","Exists")</f>
        <v>Not Exists</v>
      </c>
      <c r="N2180" t="str">
        <f t="shared" si="107"/>
        <v>Exists</v>
      </c>
      <c r="O2180" t="str">
        <f t="shared" ref="O2180:O2243" si="108">IF(COUNTIF($E:$E,A2180)=0,"Not Exists","Exists")</f>
        <v>Not Exists</v>
      </c>
      <c r="P2180" t="str">
        <f t="shared" ref="P2180:P2243" si="109">IF(COUNTIF($F:$F,B2180)=0,"Not Exists","Exists")</f>
        <v>Not Exists</v>
      </c>
    </row>
    <row r="2181" spans="1:16">
      <c r="A2181">
        <v>1</v>
      </c>
      <c r="B2181">
        <v>1</v>
      </c>
      <c r="C2181">
        <v>1</v>
      </c>
      <c r="D2181">
        <v>1</v>
      </c>
      <c r="E2181" s="50" t="s">
        <v>2135</v>
      </c>
      <c r="F2181" s="50" t="s">
        <v>906</v>
      </c>
      <c r="G2181" s="50" t="s">
        <v>251</v>
      </c>
      <c r="H2181" s="50">
        <v>14</v>
      </c>
      <c r="M2181" t="str">
        <f>IF(COUNTIF($A:$A,E2181)=0,"Not Exists","Exists")</f>
        <v>Not Exists</v>
      </c>
      <c r="N2181" t="str">
        <f t="shared" si="107"/>
        <v>Exists</v>
      </c>
      <c r="O2181" t="str">
        <f t="shared" si="108"/>
        <v>Not Exists</v>
      </c>
      <c r="P2181" t="str">
        <f t="shared" si="109"/>
        <v>Not Exists</v>
      </c>
    </row>
    <row r="2182" spans="1:16">
      <c r="A2182">
        <v>1</v>
      </c>
      <c r="B2182">
        <v>1</v>
      </c>
      <c r="C2182">
        <v>1</v>
      </c>
      <c r="D2182">
        <v>1</v>
      </c>
      <c r="E2182" s="50" t="s">
        <v>2135</v>
      </c>
      <c r="F2182" s="50" t="s">
        <v>907</v>
      </c>
      <c r="G2182" s="50" t="s">
        <v>254</v>
      </c>
      <c r="H2182" s="50">
        <v>22</v>
      </c>
      <c r="M2182" t="str">
        <f>IF(COUNTIF($A:$A,E2182)=0,"Not Exists","Exists")</f>
        <v>Not Exists</v>
      </c>
      <c r="N2182" t="str">
        <f t="shared" si="107"/>
        <v>Exists</v>
      </c>
      <c r="O2182" t="str">
        <f t="shared" si="108"/>
        <v>Not Exists</v>
      </c>
      <c r="P2182" t="str">
        <f t="shared" si="109"/>
        <v>Not Exists</v>
      </c>
    </row>
    <row r="2183" spans="1:16">
      <c r="A2183">
        <v>1</v>
      </c>
      <c r="B2183">
        <v>1</v>
      </c>
      <c r="C2183">
        <v>1</v>
      </c>
      <c r="D2183">
        <v>1</v>
      </c>
      <c r="E2183" s="50" t="s">
        <v>2135</v>
      </c>
      <c r="F2183" s="50" t="s">
        <v>2143</v>
      </c>
      <c r="G2183" s="50" t="s">
        <v>251</v>
      </c>
      <c r="H2183" s="50">
        <v>1</v>
      </c>
      <c r="M2183" t="str">
        <f>IF(COUNTIF($A:$A,E2183)=0,"Not Exists","Exists")</f>
        <v>Not Exists</v>
      </c>
      <c r="N2183" t="str">
        <f t="shared" si="107"/>
        <v>Not Exists</v>
      </c>
      <c r="O2183" t="str">
        <f t="shared" si="108"/>
        <v>Not Exists</v>
      </c>
      <c r="P2183" t="str">
        <f t="shared" si="109"/>
        <v>Not Exists</v>
      </c>
    </row>
    <row r="2184" spans="1:16">
      <c r="A2184">
        <v>1</v>
      </c>
      <c r="B2184">
        <v>1</v>
      </c>
      <c r="C2184">
        <v>1</v>
      </c>
      <c r="D2184">
        <v>1</v>
      </c>
      <c r="E2184" s="50" t="s">
        <v>2135</v>
      </c>
      <c r="F2184" s="50" t="s">
        <v>908</v>
      </c>
      <c r="G2184" s="50" t="s">
        <v>256</v>
      </c>
      <c r="H2184" s="50">
        <v>4000</v>
      </c>
      <c r="M2184" t="str">
        <f>IF(COUNTIF($A:$A,E2184)=0,"Not Exists","Exists")</f>
        <v>Not Exists</v>
      </c>
      <c r="N2184" t="str">
        <f t="shared" si="107"/>
        <v>Exists</v>
      </c>
      <c r="O2184" t="str">
        <f t="shared" si="108"/>
        <v>Not Exists</v>
      </c>
      <c r="P2184" t="str">
        <f t="shared" si="109"/>
        <v>Not Exists</v>
      </c>
    </row>
    <row r="2185" spans="1:16">
      <c r="A2185">
        <v>1</v>
      </c>
      <c r="B2185">
        <v>1</v>
      </c>
      <c r="C2185">
        <v>1</v>
      </c>
      <c r="D2185">
        <v>1</v>
      </c>
      <c r="E2185" s="50" t="s">
        <v>2135</v>
      </c>
      <c r="F2185" s="50" t="s">
        <v>909</v>
      </c>
      <c r="G2185" s="50" t="s">
        <v>256</v>
      </c>
      <c r="H2185" s="50">
        <v>4000</v>
      </c>
      <c r="M2185" t="str">
        <f>IF(COUNTIF($A:$A,E2185)=0,"Not Exists","Exists")</f>
        <v>Not Exists</v>
      </c>
      <c r="N2185" t="str">
        <f t="shared" si="107"/>
        <v>Exists</v>
      </c>
      <c r="O2185" t="str">
        <f t="shared" si="108"/>
        <v>Not Exists</v>
      </c>
      <c r="P2185" t="str">
        <f t="shared" si="109"/>
        <v>Not Exists</v>
      </c>
    </row>
    <row r="2186" spans="1:16">
      <c r="A2186">
        <v>1</v>
      </c>
      <c r="B2186">
        <v>1</v>
      </c>
      <c r="C2186">
        <v>1</v>
      </c>
      <c r="D2186">
        <v>1</v>
      </c>
      <c r="E2186" s="50" t="s">
        <v>2135</v>
      </c>
      <c r="F2186" s="50" t="s">
        <v>911</v>
      </c>
      <c r="G2186" s="50" t="s">
        <v>256</v>
      </c>
      <c r="H2186" s="50">
        <v>4000</v>
      </c>
      <c r="M2186" t="str">
        <f>IF(COUNTIF($A:$A,E2186)=0,"Not Exists","Exists")</f>
        <v>Not Exists</v>
      </c>
      <c r="N2186" t="str">
        <f t="shared" si="107"/>
        <v>Exists</v>
      </c>
      <c r="O2186" t="str">
        <f t="shared" si="108"/>
        <v>Not Exists</v>
      </c>
      <c r="P2186" t="str">
        <f t="shared" si="109"/>
        <v>Not Exists</v>
      </c>
    </row>
    <row r="2187" spans="1:16">
      <c r="A2187">
        <v>1</v>
      </c>
      <c r="B2187">
        <v>1</v>
      </c>
      <c r="C2187">
        <v>1</v>
      </c>
      <c r="D2187">
        <v>1</v>
      </c>
      <c r="E2187" s="50" t="s">
        <v>2135</v>
      </c>
      <c r="F2187" s="50" t="s">
        <v>912</v>
      </c>
      <c r="G2187" s="50" t="s">
        <v>256</v>
      </c>
      <c r="H2187" s="50">
        <v>4000</v>
      </c>
      <c r="M2187" t="str">
        <f>IF(COUNTIF($A:$A,E2187)=0,"Not Exists","Exists")</f>
        <v>Not Exists</v>
      </c>
      <c r="N2187" t="str">
        <f t="shared" si="107"/>
        <v>Exists</v>
      </c>
      <c r="O2187" t="str">
        <f t="shared" si="108"/>
        <v>Not Exists</v>
      </c>
      <c r="P2187" t="str">
        <f t="shared" si="109"/>
        <v>Not Exists</v>
      </c>
    </row>
    <row r="2188" spans="1:16">
      <c r="A2188">
        <v>1</v>
      </c>
      <c r="B2188">
        <v>1</v>
      </c>
      <c r="C2188">
        <v>1</v>
      </c>
      <c r="D2188">
        <v>1</v>
      </c>
      <c r="E2188" s="50" t="s">
        <v>2135</v>
      </c>
      <c r="F2188" s="50" t="s">
        <v>915</v>
      </c>
      <c r="G2188" s="50" t="s">
        <v>256</v>
      </c>
      <c r="H2188" s="50">
        <v>4000</v>
      </c>
      <c r="M2188" t="str">
        <f>IF(COUNTIF($A:$A,E2188)=0,"Not Exists","Exists")</f>
        <v>Not Exists</v>
      </c>
      <c r="N2188" t="str">
        <f t="shared" si="107"/>
        <v>Exists</v>
      </c>
      <c r="O2188" t="str">
        <f t="shared" si="108"/>
        <v>Not Exists</v>
      </c>
      <c r="P2188" t="str">
        <f t="shared" si="109"/>
        <v>Not Exists</v>
      </c>
    </row>
    <row r="2189" spans="1:16">
      <c r="A2189">
        <v>1</v>
      </c>
      <c r="B2189">
        <v>1</v>
      </c>
      <c r="C2189">
        <v>1</v>
      </c>
      <c r="D2189">
        <v>1</v>
      </c>
      <c r="E2189" s="50" t="s">
        <v>2135</v>
      </c>
      <c r="F2189" s="50" t="s">
        <v>916</v>
      </c>
      <c r="G2189" s="50" t="s">
        <v>256</v>
      </c>
      <c r="H2189" s="50">
        <v>4000</v>
      </c>
      <c r="M2189" t="str">
        <f>IF(COUNTIF($A:$A,E2189)=0,"Not Exists","Exists")</f>
        <v>Not Exists</v>
      </c>
      <c r="N2189" t="str">
        <f t="shared" si="107"/>
        <v>Exists</v>
      </c>
      <c r="O2189" t="str">
        <f t="shared" si="108"/>
        <v>Not Exists</v>
      </c>
      <c r="P2189" t="str">
        <f t="shared" si="109"/>
        <v>Not Exists</v>
      </c>
    </row>
    <row r="2190" spans="1:16">
      <c r="A2190">
        <v>1</v>
      </c>
      <c r="B2190">
        <v>1</v>
      </c>
      <c r="C2190">
        <v>1</v>
      </c>
      <c r="D2190">
        <v>1</v>
      </c>
      <c r="E2190" s="50" t="s">
        <v>2135</v>
      </c>
      <c r="F2190" s="50" t="s">
        <v>315</v>
      </c>
      <c r="G2190" s="50" t="s">
        <v>251</v>
      </c>
      <c r="H2190" s="50">
        <v>17</v>
      </c>
      <c r="M2190" t="str">
        <f>IF(COUNTIF($A:$A,E2190)=0,"Not Exists","Exists")</f>
        <v>Not Exists</v>
      </c>
      <c r="N2190" t="str">
        <f t="shared" si="107"/>
        <v>Exists</v>
      </c>
      <c r="O2190" t="str">
        <f t="shared" si="108"/>
        <v>Not Exists</v>
      </c>
      <c r="P2190" t="str">
        <f t="shared" si="109"/>
        <v>Not Exists</v>
      </c>
    </row>
    <row r="2191" spans="1:16">
      <c r="A2191">
        <v>1</v>
      </c>
      <c r="B2191">
        <v>1</v>
      </c>
      <c r="C2191">
        <v>1</v>
      </c>
      <c r="D2191">
        <v>1</v>
      </c>
      <c r="E2191" s="50" t="s">
        <v>2135</v>
      </c>
      <c r="F2191" s="50" t="s">
        <v>316</v>
      </c>
      <c r="G2191" s="50" t="s">
        <v>256</v>
      </c>
      <c r="H2191" s="50">
        <v>50</v>
      </c>
      <c r="M2191" t="str">
        <f>IF(COUNTIF($A:$A,E2191)=0,"Not Exists","Exists")</f>
        <v>Not Exists</v>
      </c>
      <c r="N2191" t="str">
        <f t="shared" si="107"/>
        <v>Exists</v>
      </c>
      <c r="O2191" t="str">
        <f t="shared" si="108"/>
        <v>Not Exists</v>
      </c>
      <c r="P2191" t="str">
        <f t="shared" si="109"/>
        <v>Not Exists</v>
      </c>
    </row>
    <row r="2192" spans="1:16">
      <c r="A2192">
        <v>1</v>
      </c>
      <c r="B2192">
        <v>1</v>
      </c>
      <c r="C2192">
        <v>1</v>
      </c>
      <c r="D2192">
        <v>1</v>
      </c>
      <c r="E2192" s="50" t="s">
        <v>2135</v>
      </c>
      <c r="F2192" s="50" t="s">
        <v>317</v>
      </c>
      <c r="G2192" s="50" t="s">
        <v>251</v>
      </c>
      <c r="H2192" s="50">
        <v>17</v>
      </c>
      <c r="M2192" t="str">
        <f>IF(COUNTIF($A:$A,E2192)=0,"Not Exists","Exists")</f>
        <v>Not Exists</v>
      </c>
      <c r="N2192" t="str">
        <f t="shared" si="107"/>
        <v>Exists</v>
      </c>
      <c r="O2192" t="str">
        <f t="shared" si="108"/>
        <v>Not Exists</v>
      </c>
      <c r="P2192" t="str">
        <f t="shared" si="109"/>
        <v>Not Exists</v>
      </c>
    </row>
    <row r="2193" spans="1:16">
      <c r="A2193">
        <v>1</v>
      </c>
      <c r="B2193">
        <v>1</v>
      </c>
      <c r="C2193">
        <v>1</v>
      </c>
      <c r="D2193">
        <v>1</v>
      </c>
      <c r="E2193" s="50" t="s">
        <v>2135</v>
      </c>
      <c r="F2193" s="50" t="s">
        <v>318</v>
      </c>
      <c r="G2193" s="50" t="s">
        <v>256</v>
      </c>
      <c r="H2193" s="50">
        <v>50</v>
      </c>
      <c r="M2193" t="str">
        <f>IF(COUNTIF($A:$A,E2193)=0,"Not Exists","Exists")</f>
        <v>Not Exists</v>
      </c>
      <c r="N2193" t="str">
        <f t="shared" si="107"/>
        <v>Exists</v>
      </c>
      <c r="O2193" t="str">
        <f t="shared" si="108"/>
        <v>Not Exists</v>
      </c>
      <c r="P2193" t="str">
        <f t="shared" si="109"/>
        <v>Not Exists</v>
      </c>
    </row>
    <row r="2194" spans="1:16">
      <c r="A2194">
        <v>1</v>
      </c>
      <c r="B2194">
        <v>1</v>
      </c>
      <c r="C2194">
        <v>1</v>
      </c>
      <c r="D2194">
        <v>1</v>
      </c>
      <c r="E2194" s="50" t="s">
        <v>2144</v>
      </c>
      <c r="F2194" s="50" t="s">
        <v>2145</v>
      </c>
      <c r="G2194" s="50" t="s">
        <v>256</v>
      </c>
      <c r="H2194" s="50">
        <v>50</v>
      </c>
      <c r="M2194" t="str">
        <f>IF(COUNTIF($A:$A,E2194)=0,"Not Exists","Exists")</f>
        <v>Not Exists</v>
      </c>
      <c r="N2194" t="str">
        <f t="shared" si="107"/>
        <v>Not Exists</v>
      </c>
      <c r="O2194" t="str">
        <f t="shared" si="108"/>
        <v>Not Exists</v>
      </c>
      <c r="P2194" t="str">
        <f t="shared" si="109"/>
        <v>Not Exists</v>
      </c>
    </row>
    <row r="2195" spans="1:16">
      <c r="A2195">
        <v>1</v>
      </c>
      <c r="B2195">
        <v>1</v>
      </c>
      <c r="C2195">
        <v>1</v>
      </c>
      <c r="D2195">
        <v>1</v>
      </c>
      <c r="E2195" s="50" t="s">
        <v>2144</v>
      </c>
      <c r="F2195" s="50" t="s">
        <v>317</v>
      </c>
      <c r="G2195" s="50" t="s">
        <v>256</v>
      </c>
      <c r="H2195" s="50">
        <v>17</v>
      </c>
      <c r="M2195" t="str">
        <f>IF(COUNTIF($A:$A,E2195)=0,"Not Exists","Exists")</f>
        <v>Not Exists</v>
      </c>
      <c r="N2195" t="str">
        <f t="shared" si="107"/>
        <v>Exists</v>
      </c>
      <c r="O2195" t="str">
        <f t="shared" si="108"/>
        <v>Not Exists</v>
      </c>
      <c r="P2195" t="str">
        <f t="shared" si="109"/>
        <v>Not Exists</v>
      </c>
    </row>
    <row r="2196" spans="1:16">
      <c r="A2196">
        <v>1</v>
      </c>
      <c r="B2196">
        <v>1</v>
      </c>
      <c r="C2196">
        <v>1</v>
      </c>
      <c r="D2196">
        <v>1</v>
      </c>
      <c r="E2196" s="50" t="s">
        <v>2144</v>
      </c>
      <c r="F2196" s="50" t="s">
        <v>318</v>
      </c>
      <c r="G2196" s="50" t="s">
        <v>256</v>
      </c>
      <c r="H2196" s="50">
        <v>50</v>
      </c>
      <c r="M2196" t="str">
        <f>IF(COUNTIF($A:$A,E2196)=0,"Not Exists","Exists")</f>
        <v>Not Exists</v>
      </c>
      <c r="N2196" t="str">
        <f t="shared" si="107"/>
        <v>Exists</v>
      </c>
      <c r="O2196" t="str">
        <f t="shared" si="108"/>
        <v>Not Exists</v>
      </c>
      <c r="P2196" t="str">
        <f t="shared" si="109"/>
        <v>Not Exists</v>
      </c>
    </row>
    <row r="2197" spans="1:16">
      <c r="A2197">
        <v>1</v>
      </c>
      <c r="B2197">
        <v>1</v>
      </c>
      <c r="C2197">
        <v>1</v>
      </c>
      <c r="D2197">
        <v>1</v>
      </c>
      <c r="E2197" s="50" t="s">
        <v>2144</v>
      </c>
      <c r="F2197" s="50" t="s">
        <v>315</v>
      </c>
      <c r="G2197" s="50" t="s">
        <v>256</v>
      </c>
      <c r="H2197" s="50">
        <v>17</v>
      </c>
      <c r="M2197" t="str">
        <f>IF(COUNTIF($A:$A,E2197)=0,"Not Exists","Exists")</f>
        <v>Not Exists</v>
      </c>
      <c r="N2197" t="str">
        <f t="shared" si="107"/>
        <v>Exists</v>
      </c>
      <c r="O2197" t="str">
        <f t="shared" si="108"/>
        <v>Not Exists</v>
      </c>
      <c r="P2197" t="str">
        <f t="shared" si="109"/>
        <v>Not Exists</v>
      </c>
    </row>
    <row r="2198" spans="1:16">
      <c r="A2198">
        <v>1</v>
      </c>
      <c r="B2198">
        <v>1</v>
      </c>
      <c r="C2198">
        <v>1</v>
      </c>
      <c r="D2198">
        <v>1</v>
      </c>
      <c r="E2198" s="50" t="s">
        <v>2144</v>
      </c>
      <c r="F2198" s="50" t="s">
        <v>316</v>
      </c>
      <c r="G2198" s="50" t="s">
        <v>256</v>
      </c>
      <c r="H2198" s="50">
        <v>50</v>
      </c>
      <c r="M2198" t="str">
        <f>IF(COUNTIF($A:$A,E2198)=0,"Not Exists","Exists")</f>
        <v>Not Exists</v>
      </c>
      <c r="N2198" t="str">
        <f t="shared" si="107"/>
        <v>Exists</v>
      </c>
      <c r="O2198" t="str">
        <f t="shared" si="108"/>
        <v>Not Exists</v>
      </c>
      <c r="P2198" t="str">
        <f t="shared" si="109"/>
        <v>Not Exists</v>
      </c>
    </row>
    <row r="2199" spans="1:16">
      <c r="A2199">
        <v>1</v>
      </c>
      <c r="B2199">
        <v>1</v>
      </c>
      <c r="C2199">
        <v>1</v>
      </c>
      <c r="D2199">
        <v>1</v>
      </c>
      <c r="E2199" s="50" t="s">
        <v>2144</v>
      </c>
      <c r="F2199" s="50" t="s">
        <v>914</v>
      </c>
      <c r="G2199" s="50" t="s">
        <v>256</v>
      </c>
      <c r="H2199" s="50">
        <v>50</v>
      </c>
      <c r="M2199" t="str">
        <f>IF(COUNTIF($A:$A,E2199)=0,"Not Exists","Exists")</f>
        <v>Not Exists</v>
      </c>
      <c r="N2199" t="str">
        <f t="shared" si="107"/>
        <v>Exists</v>
      </c>
      <c r="O2199" t="str">
        <f t="shared" si="108"/>
        <v>Not Exists</v>
      </c>
      <c r="P2199" t="str">
        <f t="shared" si="109"/>
        <v>Not Exists</v>
      </c>
    </row>
    <row r="2200" spans="1:16">
      <c r="A2200">
        <v>1</v>
      </c>
      <c r="B2200">
        <v>1</v>
      </c>
      <c r="C2200">
        <v>1</v>
      </c>
      <c r="D2200">
        <v>1</v>
      </c>
      <c r="E2200" s="50" t="s">
        <v>2144</v>
      </c>
      <c r="F2200" s="50" t="s">
        <v>2146</v>
      </c>
      <c r="G2200" s="50" t="s">
        <v>256</v>
      </c>
      <c r="H2200" s="50">
        <v>50</v>
      </c>
      <c r="M2200" t="str">
        <f>IF(COUNTIF($A:$A,E2200)=0,"Not Exists","Exists")</f>
        <v>Not Exists</v>
      </c>
      <c r="N2200" t="str">
        <f t="shared" si="107"/>
        <v>Not Exists</v>
      </c>
      <c r="O2200" t="str">
        <f t="shared" si="108"/>
        <v>Not Exists</v>
      </c>
      <c r="P2200" t="str">
        <f t="shared" si="109"/>
        <v>Not Exists</v>
      </c>
    </row>
    <row r="2201" spans="1:16">
      <c r="A2201">
        <v>1</v>
      </c>
      <c r="B2201">
        <v>1</v>
      </c>
      <c r="C2201">
        <v>1</v>
      </c>
      <c r="D2201">
        <v>1</v>
      </c>
      <c r="E2201" s="50" t="s">
        <v>2144</v>
      </c>
      <c r="F2201" s="50" t="s">
        <v>2147</v>
      </c>
      <c r="G2201" s="50" t="s">
        <v>256</v>
      </c>
      <c r="H2201" s="50">
        <v>1</v>
      </c>
      <c r="M2201" t="str">
        <f>IF(COUNTIF($A:$A,E2201)=0,"Not Exists","Exists")</f>
        <v>Not Exists</v>
      </c>
      <c r="N2201" t="str">
        <f t="shared" si="107"/>
        <v>Not Exists</v>
      </c>
      <c r="O2201" t="str">
        <f t="shared" si="108"/>
        <v>Not Exists</v>
      </c>
      <c r="P2201" t="str">
        <f t="shared" si="109"/>
        <v>Not Exists</v>
      </c>
    </row>
    <row r="2202" spans="1:16">
      <c r="A2202">
        <v>1</v>
      </c>
      <c r="B2202">
        <v>1</v>
      </c>
      <c r="C2202">
        <v>1</v>
      </c>
      <c r="D2202">
        <v>1</v>
      </c>
      <c r="E2202" s="50" t="s">
        <v>2144</v>
      </c>
      <c r="F2202" s="50" t="s">
        <v>2148</v>
      </c>
      <c r="G2202" s="50" t="s">
        <v>427</v>
      </c>
      <c r="H2202" s="50">
        <v>4000</v>
      </c>
      <c r="M2202" t="str">
        <f>IF(COUNTIF($A:$A,E2202)=0,"Not Exists","Exists")</f>
        <v>Not Exists</v>
      </c>
      <c r="N2202" t="str">
        <f t="shared" si="107"/>
        <v>Not Exists</v>
      </c>
      <c r="O2202" t="str">
        <f t="shared" si="108"/>
        <v>Not Exists</v>
      </c>
      <c r="P2202" t="str">
        <f t="shared" si="109"/>
        <v>Not Exists</v>
      </c>
    </row>
    <row r="2203" spans="1:16">
      <c r="A2203">
        <v>1</v>
      </c>
      <c r="B2203">
        <v>1</v>
      </c>
      <c r="C2203">
        <v>1</v>
      </c>
      <c r="D2203">
        <v>1</v>
      </c>
      <c r="E2203" s="50" t="s">
        <v>2144</v>
      </c>
      <c r="F2203" s="50" t="s">
        <v>2149</v>
      </c>
      <c r="G2203" s="50" t="s">
        <v>427</v>
      </c>
      <c r="H2203" s="50">
        <v>4000</v>
      </c>
      <c r="M2203" t="str">
        <f>IF(COUNTIF($A:$A,E2203)=0,"Not Exists","Exists")</f>
        <v>Not Exists</v>
      </c>
      <c r="N2203" t="str">
        <f t="shared" si="107"/>
        <v>Not Exists</v>
      </c>
      <c r="O2203" t="str">
        <f t="shared" si="108"/>
        <v>Not Exists</v>
      </c>
      <c r="P2203" t="str">
        <f t="shared" si="109"/>
        <v>Not Exists</v>
      </c>
    </row>
    <row r="2204" spans="1:16">
      <c r="A2204">
        <v>1</v>
      </c>
      <c r="B2204">
        <v>1</v>
      </c>
      <c r="C2204">
        <v>1</v>
      </c>
      <c r="D2204">
        <v>1</v>
      </c>
      <c r="E2204" s="50" t="s">
        <v>2144</v>
      </c>
      <c r="F2204" s="50" t="s">
        <v>2137</v>
      </c>
      <c r="G2204" s="50" t="s">
        <v>256</v>
      </c>
      <c r="H2204" s="50">
        <v>50</v>
      </c>
      <c r="M2204" t="str">
        <f>IF(COUNTIF($A:$A,E2204)=0,"Not Exists","Exists")</f>
        <v>Not Exists</v>
      </c>
      <c r="N2204" t="str">
        <f t="shared" si="107"/>
        <v>Not Exists</v>
      </c>
      <c r="O2204" t="str">
        <f t="shared" si="108"/>
        <v>Not Exists</v>
      </c>
      <c r="P2204" t="str">
        <f t="shared" si="109"/>
        <v>Not Exists</v>
      </c>
    </row>
    <row r="2205" spans="1:16">
      <c r="A2205">
        <v>1</v>
      </c>
      <c r="B2205">
        <v>1</v>
      </c>
      <c r="C2205">
        <v>1</v>
      </c>
      <c r="D2205">
        <v>1</v>
      </c>
      <c r="E2205" s="50" t="s">
        <v>2144</v>
      </c>
      <c r="F2205" s="50" t="s">
        <v>2138</v>
      </c>
      <c r="G2205" s="50" t="s">
        <v>256</v>
      </c>
      <c r="H2205" s="50">
        <v>50</v>
      </c>
      <c r="M2205" t="str">
        <f>IF(COUNTIF($A:$A,E2205)=0,"Not Exists","Exists")</f>
        <v>Not Exists</v>
      </c>
      <c r="N2205" t="str">
        <f t="shared" si="107"/>
        <v>Not Exists</v>
      </c>
      <c r="O2205" t="str">
        <f t="shared" si="108"/>
        <v>Not Exists</v>
      </c>
      <c r="P2205" t="str">
        <f t="shared" si="109"/>
        <v>Not Exists</v>
      </c>
    </row>
    <row r="2206" spans="1:16">
      <c r="A2206">
        <v>1</v>
      </c>
      <c r="B2206">
        <v>1</v>
      </c>
      <c r="C2206">
        <v>1</v>
      </c>
      <c r="D2206">
        <v>1</v>
      </c>
      <c r="E2206" s="50" t="s">
        <v>2144</v>
      </c>
      <c r="F2206" s="50" t="s">
        <v>2139</v>
      </c>
      <c r="G2206" s="50" t="s">
        <v>256</v>
      </c>
      <c r="H2206" s="50">
        <v>50</v>
      </c>
      <c r="M2206" t="str">
        <f>IF(COUNTIF($A:$A,E2206)=0,"Not Exists","Exists")</f>
        <v>Not Exists</v>
      </c>
      <c r="N2206" t="str">
        <f t="shared" si="107"/>
        <v>Not Exists</v>
      </c>
      <c r="O2206" t="str">
        <f t="shared" si="108"/>
        <v>Not Exists</v>
      </c>
      <c r="P2206" t="str">
        <f t="shared" si="109"/>
        <v>Not Exists</v>
      </c>
    </row>
    <row r="2207" spans="1:16">
      <c r="A2207">
        <v>1</v>
      </c>
      <c r="B2207">
        <v>1</v>
      </c>
      <c r="C2207">
        <v>1</v>
      </c>
      <c r="D2207">
        <v>1</v>
      </c>
      <c r="E2207" s="50" t="s">
        <v>2144</v>
      </c>
      <c r="F2207" s="50" t="s">
        <v>2140</v>
      </c>
      <c r="G2207" s="50" t="s">
        <v>256</v>
      </c>
      <c r="H2207" s="50">
        <v>50</v>
      </c>
      <c r="M2207" t="str">
        <f>IF(COUNTIF($A:$A,E2207)=0,"Not Exists","Exists")</f>
        <v>Not Exists</v>
      </c>
      <c r="N2207" t="str">
        <f t="shared" si="107"/>
        <v>Not Exists</v>
      </c>
      <c r="O2207" t="str">
        <f t="shared" si="108"/>
        <v>Not Exists</v>
      </c>
      <c r="P2207" t="str">
        <f t="shared" si="109"/>
        <v>Not Exists</v>
      </c>
    </row>
    <row r="2208" spans="1:16">
      <c r="A2208">
        <v>1</v>
      </c>
      <c r="B2208">
        <v>1</v>
      </c>
      <c r="C2208">
        <v>1</v>
      </c>
      <c r="D2208">
        <v>1</v>
      </c>
      <c r="E2208" s="50" t="s">
        <v>2144</v>
      </c>
      <c r="F2208" s="50" t="s">
        <v>826</v>
      </c>
      <c r="G2208" s="50" t="s">
        <v>256</v>
      </c>
      <c r="H2208" s="50">
        <v>1</v>
      </c>
      <c r="M2208" t="str">
        <f>IF(COUNTIF($A:$A,E2208)=0,"Not Exists","Exists")</f>
        <v>Not Exists</v>
      </c>
      <c r="N2208" t="str">
        <f t="shared" si="107"/>
        <v>Exists</v>
      </c>
      <c r="O2208" t="str">
        <f t="shared" si="108"/>
        <v>Not Exists</v>
      </c>
      <c r="P2208" t="str">
        <f t="shared" si="109"/>
        <v>Not Exists</v>
      </c>
    </row>
    <row r="2209" spans="1:16">
      <c r="A2209">
        <v>1</v>
      </c>
      <c r="B2209">
        <v>1</v>
      </c>
      <c r="C2209">
        <v>1</v>
      </c>
      <c r="D2209">
        <v>1</v>
      </c>
      <c r="E2209" s="50" t="s">
        <v>2150</v>
      </c>
      <c r="F2209" s="50" t="s">
        <v>400</v>
      </c>
      <c r="G2209" s="50" t="s">
        <v>256</v>
      </c>
      <c r="H2209" s="50">
        <v>10</v>
      </c>
      <c r="M2209" t="str">
        <f>IF(COUNTIF($A:$A,E2209)=0,"Not Exists","Exists")</f>
        <v>Not Exists</v>
      </c>
      <c r="N2209" t="str">
        <f t="shared" si="107"/>
        <v>Exists</v>
      </c>
      <c r="O2209" t="str">
        <f t="shared" si="108"/>
        <v>Not Exists</v>
      </c>
      <c r="P2209" t="str">
        <f t="shared" si="109"/>
        <v>Not Exists</v>
      </c>
    </row>
    <row r="2210" spans="1:16">
      <c r="A2210">
        <v>1</v>
      </c>
      <c r="B2210">
        <v>1</v>
      </c>
      <c r="C2210">
        <v>1</v>
      </c>
      <c r="D2210">
        <v>1</v>
      </c>
      <c r="E2210" s="50" t="s">
        <v>2150</v>
      </c>
      <c r="F2210" s="50" t="s">
        <v>543</v>
      </c>
      <c r="G2210" s="50" t="s">
        <v>256</v>
      </c>
      <c r="H2210" s="50">
        <v>8</v>
      </c>
      <c r="M2210" t="str">
        <f>IF(COUNTIF($A:$A,E2210)=0,"Not Exists","Exists")</f>
        <v>Not Exists</v>
      </c>
      <c r="N2210" t="str">
        <f t="shared" si="107"/>
        <v>Exists</v>
      </c>
      <c r="O2210" t="str">
        <f t="shared" si="108"/>
        <v>Not Exists</v>
      </c>
      <c r="P2210" t="str">
        <f t="shared" si="109"/>
        <v>Not Exists</v>
      </c>
    </row>
    <row r="2211" spans="1:16">
      <c r="A2211">
        <v>1</v>
      </c>
      <c r="B2211">
        <v>1</v>
      </c>
      <c r="C2211">
        <v>1</v>
      </c>
      <c r="D2211">
        <v>1</v>
      </c>
      <c r="E2211" s="50" t="s">
        <v>2151</v>
      </c>
      <c r="F2211" s="50" t="s">
        <v>883</v>
      </c>
      <c r="G2211" s="50" t="s">
        <v>256</v>
      </c>
      <c r="H2211" s="50">
        <v>50</v>
      </c>
      <c r="M2211" t="str">
        <f>IF(COUNTIF($A:$A,E2211)=0,"Not Exists","Exists")</f>
        <v>Not Exists</v>
      </c>
      <c r="N2211" t="str">
        <f t="shared" si="107"/>
        <v>Exists</v>
      </c>
      <c r="O2211" t="str">
        <f t="shared" si="108"/>
        <v>Not Exists</v>
      </c>
      <c r="P2211" t="str">
        <f t="shared" si="109"/>
        <v>Not Exists</v>
      </c>
    </row>
    <row r="2212" spans="1:16">
      <c r="A2212">
        <v>1</v>
      </c>
      <c r="B2212">
        <v>1</v>
      </c>
      <c r="C2212">
        <v>1</v>
      </c>
      <c r="D2212">
        <v>1</v>
      </c>
      <c r="E2212" s="50" t="s">
        <v>2151</v>
      </c>
      <c r="F2212" s="50" t="s">
        <v>317</v>
      </c>
      <c r="G2212" s="50" t="s">
        <v>251</v>
      </c>
      <c r="H2212" s="50">
        <v>17</v>
      </c>
      <c r="M2212" t="str">
        <f>IF(COUNTIF($A:$A,E2212)=0,"Not Exists","Exists")</f>
        <v>Not Exists</v>
      </c>
      <c r="N2212" t="str">
        <f t="shared" si="107"/>
        <v>Exists</v>
      </c>
      <c r="O2212" t="str">
        <f t="shared" si="108"/>
        <v>Not Exists</v>
      </c>
      <c r="P2212" t="str">
        <f t="shared" si="109"/>
        <v>Not Exists</v>
      </c>
    </row>
    <row r="2213" spans="1:16">
      <c r="A2213">
        <v>1</v>
      </c>
      <c r="B2213">
        <v>1</v>
      </c>
      <c r="C2213">
        <v>1</v>
      </c>
      <c r="D2213">
        <v>1</v>
      </c>
      <c r="E2213" s="50" t="s">
        <v>2151</v>
      </c>
      <c r="F2213" s="50" t="s">
        <v>861</v>
      </c>
      <c r="G2213" s="50" t="s">
        <v>256</v>
      </c>
      <c r="H2213" s="50">
        <v>50</v>
      </c>
      <c r="M2213" t="str">
        <f>IF(COUNTIF($A:$A,E2213)=0,"Not Exists","Exists")</f>
        <v>Not Exists</v>
      </c>
      <c r="N2213" t="str">
        <f t="shared" si="107"/>
        <v>Exists</v>
      </c>
      <c r="O2213" t="str">
        <f t="shared" si="108"/>
        <v>Not Exists</v>
      </c>
      <c r="P2213" t="str">
        <f t="shared" si="109"/>
        <v>Not Exists</v>
      </c>
    </row>
    <row r="2214" spans="1:16">
      <c r="A2214">
        <v>1</v>
      </c>
      <c r="B2214">
        <v>1</v>
      </c>
      <c r="C2214">
        <v>1</v>
      </c>
      <c r="D2214">
        <v>1</v>
      </c>
      <c r="E2214" s="50" t="s">
        <v>2151</v>
      </c>
      <c r="F2214" s="50" t="s">
        <v>315</v>
      </c>
      <c r="G2214" s="50" t="s">
        <v>251</v>
      </c>
      <c r="H2214" s="50">
        <v>17</v>
      </c>
      <c r="M2214" t="str">
        <f>IF(COUNTIF($A:$A,E2214)=0,"Not Exists","Exists")</f>
        <v>Not Exists</v>
      </c>
      <c r="N2214" t="str">
        <f t="shared" si="107"/>
        <v>Exists</v>
      </c>
      <c r="O2214" t="str">
        <f t="shared" si="108"/>
        <v>Not Exists</v>
      </c>
      <c r="P2214" t="str">
        <f t="shared" si="109"/>
        <v>Not Exists</v>
      </c>
    </row>
    <row r="2215" spans="1:16">
      <c r="A2215">
        <v>1</v>
      </c>
      <c r="B2215">
        <v>1</v>
      </c>
      <c r="C2215">
        <v>1</v>
      </c>
      <c r="D2215">
        <v>1</v>
      </c>
      <c r="E2215" s="50" t="s">
        <v>2151</v>
      </c>
      <c r="F2215" s="50" t="s">
        <v>859</v>
      </c>
      <c r="G2215" s="50" t="s">
        <v>256</v>
      </c>
      <c r="H2215" s="50">
        <v>50</v>
      </c>
      <c r="M2215" t="str">
        <f>IF(COUNTIF($A:$A,E2215)=0,"Not Exists","Exists")</f>
        <v>Not Exists</v>
      </c>
      <c r="N2215" t="str">
        <f t="shared" si="107"/>
        <v>Exists</v>
      </c>
      <c r="O2215" t="str">
        <f t="shared" si="108"/>
        <v>Not Exists</v>
      </c>
      <c r="P2215" t="str">
        <f t="shared" si="109"/>
        <v>Not Exists</v>
      </c>
    </row>
    <row r="2216" spans="1:16">
      <c r="A2216">
        <v>1</v>
      </c>
      <c r="B2216">
        <v>1</v>
      </c>
      <c r="C2216">
        <v>1</v>
      </c>
      <c r="D2216">
        <v>1</v>
      </c>
      <c r="E2216" s="50" t="s">
        <v>2151</v>
      </c>
      <c r="F2216" s="50" t="s">
        <v>2152</v>
      </c>
      <c r="G2216" s="50" t="s">
        <v>256</v>
      </c>
      <c r="H2216" s="50">
        <v>400</v>
      </c>
      <c r="M2216" t="str">
        <f>IF(COUNTIF($A:$A,E2216)=0,"Not Exists","Exists")</f>
        <v>Not Exists</v>
      </c>
      <c r="N2216" t="str">
        <f t="shared" ref="N2216:N2255" si="110">IF(COUNTIF($A:$B,F2216)=0,"Not Exists","Exists")</f>
        <v>Not Exists</v>
      </c>
      <c r="O2216" t="str">
        <f t="shared" si="108"/>
        <v>Not Exists</v>
      </c>
      <c r="P2216" t="str">
        <f t="shared" si="109"/>
        <v>Not Exists</v>
      </c>
    </row>
    <row r="2217" spans="1:16">
      <c r="A2217">
        <v>1</v>
      </c>
      <c r="B2217">
        <v>1</v>
      </c>
      <c r="C2217">
        <v>1</v>
      </c>
      <c r="D2217">
        <v>1</v>
      </c>
      <c r="E2217" s="50" t="s">
        <v>2153</v>
      </c>
      <c r="F2217" s="50" t="s">
        <v>466</v>
      </c>
      <c r="G2217" s="50" t="s">
        <v>256</v>
      </c>
      <c r="H2217" s="50">
        <v>1</v>
      </c>
      <c r="M2217" t="str">
        <f>IF(COUNTIF($A:$A,E2217)=0,"Not Exists","Exists")</f>
        <v>Not Exists</v>
      </c>
      <c r="N2217" t="str">
        <f t="shared" si="110"/>
        <v>Exists</v>
      </c>
      <c r="O2217" t="str">
        <f t="shared" si="108"/>
        <v>Not Exists</v>
      </c>
      <c r="P2217" t="str">
        <f t="shared" si="109"/>
        <v>Not Exists</v>
      </c>
    </row>
    <row r="2218" spans="1:16">
      <c r="A2218">
        <v>1</v>
      </c>
      <c r="B2218">
        <v>1</v>
      </c>
      <c r="C2218">
        <v>1</v>
      </c>
      <c r="D2218">
        <v>1</v>
      </c>
      <c r="E2218" s="50" t="s">
        <v>2153</v>
      </c>
      <c r="F2218" s="50" t="s">
        <v>467</v>
      </c>
      <c r="G2218" s="50" t="s">
        <v>256</v>
      </c>
      <c r="H2218" s="50">
        <v>50</v>
      </c>
      <c r="M2218" t="str">
        <f>IF(COUNTIF($A:$A,E2218)=0,"Not Exists","Exists")</f>
        <v>Not Exists</v>
      </c>
      <c r="N2218" t="str">
        <f t="shared" si="110"/>
        <v>Not Exists</v>
      </c>
      <c r="O2218" t="str">
        <f t="shared" si="108"/>
        <v>Not Exists</v>
      </c>
      <c r="P2218" t="str">
        <f t="shared" si="109"/>
        <v>Not Exists</v>
      </c>
    </row>
    <row r="2219" spans="1:16">
      <c r="A2219">
        <v>1</v>
      </c>
      <c r="B2219">
        <v>1</v>
      </c>
      <c r="C2219">
        <v>1</v>
      </c>
      <c r="D2219">
        <v>1</v>
      </c>
      <c r="E2219" s="50" t="s">
        <v>2153</v>
      </c>
      <c r="F2219" s="50" t="s">
        <v>468</v>
      </c>
      <c r="G2219" s="50" t="s">
        <v>256</v>
      </c>
      <c r="H2219" s="50">
        <v>50</v>
      </c>
      <c r="M2219" t="str">
        <f>IF(COUNTIF($A:$A,E2219)=0,"Not Exists","Exists")</f>
        <v>Not Exists</v>
      </c>
      <c r="N2219" t="str">
        <f t="shared" si="110"/>
        <v>Not Exists</v>
      </c>
      <c r="O2219" t="str">
        <f t="shared" si="108"/>
        <v>Not Exists</v>
      </c>
      <c r="P2219" t="str">
        <f t="shared" si="109"/>
        <v>Not Exists</v>
      </c>
    </row>
    <row r="2220" spans="1:16">
      <c r="A2220">
        <v>1</v>
      </c>
      <c r="B2220">
        <v>1</v>
      </c>
      <c r="C2220">
        <v>1</v>
      </c>
      <c r="D2220">
        <v>1</v>
      </c>
      <c r="E2220" s="50" t="s">
        <v>2153</v>
      </c>
      <c r="F2220" s="50" t="s">
        <v>863</v>
      </c>
      <c r="G2220" s="50" t="s">
        <v>256</v>
      </c>
      <c r="H2220" s="50">
        <v>50</v>
      </c>
      <c r="M2220" t="str">
        <f>IF(COUNTIF($A:$A,E2220)=0,"Not Exists","Exists")</f>
        <v>Not Exists</v>
      </c>
      <c r="N2220" t="str">
        <f t="shared" si="110"/>
        <v>Exists</v>
      </c>
      <c r="O2220" t="str">
        <f t="shared" si="108"/>
        <v>Not Exists</v>
      </c>
      <c r="P2220" t="str">
        <f t="shared" si="109"/>
        <v>Not Exists</v>
      </c>
    </row>
    <row r="2221" spans="1:16">
      <c r="A2221">
        <v>1</v>
      </c>
      <c r="B2221">
        <v>1</v>
      </c>
      <c r="C2221">
        <v>1</v>
      </c>
      <c r="D2221">
        <v>1</v>
      </c>
      <c r="E2221" s="50" t="s">
        <v>2153</v>
      </c>
      <c r="F2221" s="50" t="s">
        <v>866</v>
      </c>
      <c r="G2221" s="50" t="s">
        <v>256</v>
      </c>
      <c r="H2221" s="50">
        <v>250</v>
      </c>
      <c r="M2221" t="str">
        <f>IF(COUNTIF($A:$A,E2221)=0,"Not Exists","Exists")</f>
        <v>Not Exists</v>
      </c>
      <c r="N2221" t="str">
        <f t="shared" si="110"/>
        <v>Exists</v>
      </c>
      <c r="O2221" t="str">
        <f t="shared" si="108"/>
        <v>Not Exists</v>
      </c>
      <c r="P2221" t="str">
        <f t="shared" si="109"/>
        <v>Not Exists</v>
      </c>
    </row>
    <row r="2222" spans="1:16">
      <c r="A2222">
        <v>1</v>
      </c>
      <c r="B2222">
        <v>1</v>
      </c>
      <c r="C2222">
        <v>1</v>
      </c>
      <c r="D2222">
        <v>1</v>
      </c>
      <c r="E2222" s="50" t="s">
        <v>2153</v>
      </c>
      <c r="F2222" s="50" t="s">
        <v>2154</v>
      </c>
      <c r="G2222" s="50" t="s">
        <v>256</v>
      </c>
      <c r="H2222" s="50">
        <v>50</v>
      </c>
      <c r="M2222" t="str">
        <f>IF(COUNTIF($A:$A,E2222)=0,"Not Exists","Exists")</f>
        <v>Not Exists</v>
      </c>
      <c r="N2222" t="str">
        <f t="shared" si="110"/>
        <v>Not Exists</v>
      </c>
      <c r="O2222" t="str">
        <f t="shared" si="108"/>
        <v>Not Exists</v>
      </c>
      <c r="P2222" t="str">
        <f t="shared" si="109"/>
        <v>Not Exists</v>
      </c>
    </row>
    <row r="2223" spans="1:16">
      <c r="A2223">
        <v>1</v>
      </c>
      <c r="B2223">
        <v>1</v>
      </c>
      <c r="C2223">
        <v>1</v>
      </c>
      <c r="D2223">
        <v>1</v>
      </c>
      <c r="E2223" s="50" t="s">
        <v>2153</v>
      </c>
      <c r="F2223" s="50" t="s">
        <v>2155</v>
      </c>
      <c r="G2223" s="50" t="s">
        <v>256</v>
      </c>
      <c r="H2223" s="50">
        <v>1</v>
      </c>
      <c r="M2223" t="str">
        <f>IF(COUNTIF($A:$A,E2223)=0,"Not Exists","Exists")</f>
        <v>Not Exists</v>
      </c>
      <c r="N2223" t="str">
        <f t="shared" si="110"/>
        <v>Not Exists</v>
      </c>
      <c r="O2223" t="str">
        <f t="shared" si="108"/>
        <v>Not Exists</v>
      </c>
      <c r="P2223" t="str">
        <f t="shared" si="109"/>
        <v>Not Exists</v>
      </c>
    </row>
    <row r="2224" spans="1:16">
      <c r="A2224">
        <v>1</v>
      </c>
      <c r="B2224">
        <v>1</v>
      </c>
      <c r="C2224">
        <v>1</v>
      </c>
      <c r="D2224">
        <v>1</v>
      </c>
      <c r="E2224" s="50" t="s">
        <v>2153</v>
      </c>
      <c r="F2224" s="50" t="s">
        <v>2156</v>
      </c>
      <c r="G2224" s="50" t="s">
        <v>256</v>
      </c>
      <c r="H2224" s="50">
        <v>1</v>
      </c>
      <c r="M2224" t="str">
        <f>IF(COUNTIF($A:$A,E2224)=0,"Not Exists","Exists")</f>
        <v>Not Exists</v>
      </c>
      <c r="N2224" t="str">
        <f t="shared" si="110"/>
        <v>Not Exists</v>
      </c>
      <c r="O2224" t="str">
        <f t="shared" si="108"/>
        <v>Not Exists</v>
      </c>
      <c r="P2224" t="str">
        <f t="shared" si="109"/>
        <v>Not Exists</v>
      </c>
    </row>
    <row r="2225" spans="1:16">
      <c r="A2225">
        <v>1</v>
      </c>
      <c r="B2225">
        <v>1</v>
      </c>
      <c r="C2225">
        <v>1</v>
      </c>
      <c r="D2225">
        <v>1</v>
      </c>
      <c r="E2225" s="50" t="s">
        <v>2153</v>
      </c>
      <c r="F2225" s="50" t="s">
        <v>2157</v>
      </c>
      <c r="G2225" s="50" t="s">
        <v>256</v>
      </c>
      <c r="H2225" s="50">
        <v>1</v>
      </c>
      <c r="M2225" t="str">
        <f>IF(COUNTIF($A:$A,E2225)=0,"Not Exists","Exists")</f>
        <v>Not Exists</v>
      </c>
      <c r="N2225" t="str">
        <f t="shared" si="110"/>
        <v>Not Exists</v>
      </c>
      <c r="O2225" t="str">
        <f t="shared" si="108"/>
        <v>Not Exists</v>
      </c>
      <c r="P2225" t="str">
        <f t="shared" si="109"/>
        <v>Not Exists</v>
      </c>
    </row>
    <row r="2226" spans="1:16">
      <c r="A2226">
        <v>1</v>
      </c>
      <c r="B2226">
        <v>1</v>
      </c>
      <c r="C2226">
        <v>1</v>
      </c>
      <c r="D2226">
        <v>1</v>
      </c>
      <c r="E2226" s="50" t="s">
        <v>2153</v>
      </c>
      <c r="F2226" s="50" t="s">
        <v>826</v>
      </c>
      <c r="G2226" s="50" t="s">
        <v>256</v>
      </c>
      <c r="H2226" s="50">
        <v>1</v>
      </c>
      <c r="M2226" t="str">
        <f>IF(COUNTIF($A:$A,E2226)=0,"Not Exists","Exists")</f>
        <v>Not Exists</v>
      </c>
      <c r="N2226" t="str">
        <f t="shared" si="110"/>
        <v>Exists</v>
      </c>
      <c r="O2226" t="str">
        <f t="shared" si="108"/>
        <v>Not Exists</v>
      </c>
      <c r="P2226" t="str">
        <f t="shared" si="109"/>
        <v>Not Exists</v>
      </c>
    </row>
    <row r="2227" spans="1:16">
      <c r="A2227">
        <v>1</v>
      </c>
      <c r="B2227">
        <v>1</v>
      </c>
      <c r="C2227">
        <v>1</v>
      </c>
      <c r="D2227">
        <v>1</v>
      </c>
      <c r="E2227" s="50" t="s">
        <v>2153</v>
      </c>
      <c r="F2227" s="50" t="s">
        <v>400</v>
      </c>
      <c r="G2227" s="50" t="s">
        <v>256</v>
      </c>
      <c r="H2227" s="50">
        <v>50</v>
      </c>
      <c r="M2227" t="str">
        <f>IF(COUNTIF($A:$A,E2227)=0,"Not Exists","Exists")</f>
        <v>Not Exists</v>
      </c>
      <c r="N2227" t="str">
        <f t="shared" si="110"/>
        <v>Exists</v>
      </c>
      <c r="O2227" t="str">
        <f t="shared" si="108"/>
        <v>Not Exists</v>
      </c>
      <c r="P2227" t="str">
        <f t="shared" si="109"/>
        <v>Not Exists</v>
      </c>
    </row>
    <row r="2228" spans="1:16">
      <c r="A2228">
        <v>1</v>
      </c>
      <c r="B2228">
        <v>1</v>
      </c>
      <c r="C2228">
        <v>1</v>
      </c>
      <c r="D2228">
        <v>1</v>
      </c>
      <c r="E2228" s="50" t="s">
        <v>2153</v>
      </c>
      <c r="F2228" s="50" t="s">
        <v>2158</v>
      </c>
      <c r="G2228" s="50" t="s">
        <v>256</v>
      </c>
      <c r="H2228" s="50">
        <v>2000</v>
      </c>
      <c r="M2228" t="str">
        <f>IF(COUNTIF($A:$A,E2228)=0,"Not Exists","Exists")</f>
        <v>Not Exists</v>
      </c>
      <c r="N2228" t="str">
        <f t="shared" si="110"/>
        <v>Not Exists</v>
      </c>
      <c r="O2228" t="str">
        <f t="shared" si="108"/>
        <v>Not Exists</v>
      </c>
      <c r="P2228" t="str">
        <f t="shared" si="109"/>
        <v>Not Exists</v>
      </c>
    </row>
    <row r="2229" spans="1:16">
      <c r="A2229">
        <v>1</v>
      </c>
      <c r="B2229">
        <v>1</v>
      </c>
      <c r="C2229">
        <v>1</v>
      </c>
      <c r="D2229">
        <v>1</v>
      </c>
      <c r="E2229" s="50" t="s">
        <v>2153</v>
      </c>
      <c r="F2229" s="50" t="s">
        <v>2159</v>
      </c>
      <c r="G2229" s="50" t="s">
        <v>256</v>
      </c>
      <c r="H2229" s="50">
        <v>2000</v>
      </c>
      <c r="M2229" t="str">
        <f>IF(COUNTIF($A:$A,E2229)=0,"Not Exists","Exists")</f>
        <v>Not Exists</v>
      </c>
      <c r="N2229" t="str">
        <f t="shared" si="110"/>
        <v>Not Exists</v>
      </c>
      <c r="O2229" t="str">
        <f t="shared" si="108"/>
        <v>Not Exists</v>
      </c>
      <c r="P2229" t="str">
        <f t="shared" si="109"/>
        <v>Not Exists</v>
      </c>
    </row>
    <row r="2230" spans="1:16">
      <c r="A2230">
        <v>1</v>
      </c>
      <c r="B2230">
        <v>1</v>
      </c>
      <c r="C2230">
        <v>1</v>
      </c>
      <c r="D2230">
        <v>1</v>
      </c>
      <c r="E2230" s="50" t="s">
        <v>2153</v>
      </c>
      <c r="F2230" s="50" t="s">
        <v>315</v>
      </c>
      <c r="G2230" s="50" t="s">
        <v>256</v>
      </c>
      <c r="H2230" s="50">
        <v>17</v>
      </c>
      <c r="M2230" t="str">
        <f>IF(COUNTIF($A:$A,E2230)=0,"Not Exists","Exists")</f>
        <v>Not Exists</v>
      </c>
      <c r="N2230" t="str">
        <f t="shared" si="110"/>
        <v>Exists</v>
      </c>
      <c r="O2230" t="str">
        <f t="shared" si="108"/>
        <v>Not Exists</v>
      </c>
      <c r="P2230" t="str">
        <f t="shared" si="109"/>
        <v>Not Exists</v>
      </c>
    </row>
    <row r="2231" spans="1:16">
      <c r="A2231">
        <v>1</v>
      </c>
      <c r="B2231">
        <v>1</v>
      </c>
      <c r="C2231">
        <v>1</v>
      </c>
      <c r="D2231">
        <v>1</v>
      </c>
      <c r="E2231" s="50" t="s">
        <v>2153</v>
      </c>
      <c r="F2231" s="50" t="s">
        <v>317</v>
      </c>
      <c r="G2231" s="50" t="s">
        <v>256</v>
      </c>
      <c r="H2231" s="50">
        <v>17</v>
      </c>
      <c r="M2231" t="str">
        <f>IF(COUNTIF($A:$A,E2231)=0,"Not Exists","Exists")</f>
        <v>Not Exists</v>
      </c>
      <c r="N2231" t="str">
        <f t="shared" si="110"/>
        <v>Exists</v>
      </c>
      <c r="O2231" t="str">
        <f t="shared" si="108"/>
        <v>Not Exists</v>
      </c>
      <c r="P2231" t="str">
        <f t="shared" si="109"/>
        <v>Not Exists</v>
      </c>
    </row>
    <row r="2232" spans="1:16">
      <c r="A2232">
        <v>1</v>
      </c>
      <c r="B2232">
        <v>1</v>
      </c>
      <c r="C2232">
        <v>1</v>
      </c>
      <c r="D2232">
        <v>1</v>
      </c>
      <c r="E2232" s="50" t="s">
        <v>2153</v>
      </c>
      <c r="F2232" s="50" t="s">
        <v>316</v>
      </c>
      <c r="G2232" s="50" t="s">
        <v>256</v>
      </c>
      <c r="H2232" s="50">
        <v>50</v>
      </c>
      <c r="M2232" t="str">
        <f>IF(COUNTIF($A:$A,E2232)=0,"Not Exists","Exists")</f>
        <v>Not Exists</v>
      </c>
      <c r="N2232" t="str">
        <f t="shared" si="110"/>
        <v>Exists</v>
      </c>
      <c r="O2232" t="str">
        <f t="shared" si="108"/>
        <v>Not Exists</v>
      </c>
      <c r="P2232" t="str">
        <f t="shared" si="109"/>
        <v>Not Exists</v>
      </c>
    </row>
    <row r="2233" spans="1:16">
      <c r="A2233">
        <v>1</v>
      </c>
      <c r="B2233">
        <v>1</v>
      </c>
      <c r="C2233">
        <v>1</v>
      </c>
      <c r="D2233">
        <v>1</v>
      </c>
      <c r="E2233" s="50" t="s">
        <v>2153</v>
      </c>
      <c r="F2233" s="50" t="s">
        <v>318</v>
      </c>
      <c r="G2233" s="50" t="s">
        <v>256</v>
      </c>
      <c r="H2233" s="50">
        <v>50</v>
      </c>
      <c r="M2233" t="str">
        <f>IF(COUNTIF($A:$A,E2233)=0,"Not Exists","Exists")</f>
        <v>Not Exists</v>
      </c>
      <c r="N2233" t="str">
        <f t="shared" si="110"/>
        <v>Exists</v>
      </c>
      <c r="O2233" t="str">
        <f t="shared" si="108"/>
        <v>Not Exists</v>
      </c>
      <c r="P2233" t="str">
        <f t="shared" si="109"/>
        <v>Not Exists</v>
      </c>
    </row>
    <row r="2234" spans="1:16">
      <c r="A2234">
        <v>1</v>
      </c>
      <c r="B2234">
        <v>1</v>
      </c>
      <c r="C2234">
        <v>1</v>
      </c>
      <c r="D2234">
        <v>1</v>
      </c>
      <c r="E2234" s="50" t="s">
        <v>881</v>
      </c>
      <c r="F2234" s="50" t="s">
        <v>882</v>
      </c>
      <c r="G2234" s="50" t="s">
        <v>256</v>
      </c>
      <c r="H2234" s="50">
        <v>2</v>
      </c>
      <c r="M2234" t="str">
        <f>IF(COUNTIF($A:$A,E2234)=0,"Not Exists","Exists")</f>
        <v>Exists</v>
      </c>
      <c r="N2234" t="str">
        <f t="shared" si="110"/>
        <v>Exists</v>
      </c>
      <c r="O2234" t="str">
        <f t="shared" si="108"/>
        <v>Not Exists</v>
      </c>
      <c r="P2234" t="str">
        <f t="shared" si="109"/>
        <v>Not Exists</v>
      </c>
    </row>
    <row r="2235" spans="1:16">
      <c r="A2235">
        <v>1</v>
      </c>
      <c r="B2235">
        <v>1</v>
      </c>
      <c r="C2235">
        <v>1</v>
      </c>
      <c r="D2235">
        <v>1</v>
      </c>
      <c r="E2235" s="50" t="s">
        <v>881</v>
      </c>
      <c r="F2235" s="50" t="s">
        <v>883</v>
      </c>
      <c r="G2235" s="50" t="s">
        <v>256</v>
      </c>
      <c r="H2235" s="50">
        <v>30</v>
      </c>
      <c r="M2235" t="str">
        <f>IF(COUNTIF($A:$A,E2235)=0,"Not Exists","Exists")</f>
        <v>Exists</v>
      </c>
      <c r="N2235" t="str">
        <f t="shared" si="110"/>
        <v>Exists</v>
      </c>
      <c r="O2235" t="str">
        <f t="shared" si="108"/>
        <v>Not Exists</v>
      </c>
      <c r="P2235" t="str">
        <f t="shared" si="109"/>
        <v>Not Exists</v>
      </c>
    </row>
    <row r="2236" spans="1:16">
      <c r="A2236">
        <v>1</v>
      </c>
      <c r="B2236">
        <v>1</v>
      </c>
      <c r="C2236">
        <v>1</v>
      </c>
      <c r="D2236">
        <v>1</v>
      </c>
      <c r="E2236" s="50" t="s">
        <v>881</v>
      </c>
      <c r="F2236" s="50" t="s">
        <v>886</v>
      </c>
      <c r="G2236" s="50" t="s">
        <v>256</v>
      </c>
      <c r="H2236" s="50">
        <v>50</v>
      </c>
      <c r="M2236" t="str">
        <f>IF(COUNTIF($A:$A,E2236)=0,"Not Exists","Exists")</f>
        <v>Exists</v>
      </c>
      <c r="N2236" t="str">
        <f t="shared" si="110"/>
        <v>Exists</v>
      </c>
      <c r="O2236" t="str">
        <f t="shared" si="108"/>
        <v>Not Exists</v>
      </c>
      <c r="P2236" t="str">
        <f t="shared" si="109"/>
        <v>Not Exists</v>
      </c>
    </row>
    <row r="2237" spans="1:16">
      <c r="A2237">
        <v>1</v>
      </c>
      <c r="B2237">
        <v>1</v>
      </c>
      <c r="C2237">
        <v>1</v>
      </c>
      <c r="D2237">
        <v>1</v>
      </c>
      <c r="E2237" s="50" t="s">
        <v>881</v>
      </c>
      <c r="F2237" s="50" t="s">
        <v>434</v>
      </c>
      <c r="G2237" s="50" t="s">
        <v>254</v>
      </c>
      <c r="H2237" s="50">
        <v>22</v>
      </c>
      <c r="M2237" t="str">
        <f>IF(COUNTIF($A:$A,E2237)=0,"Not Exists","Exists")</f>
        <v>Exists</v>
      </c>
      <c r="N2237" t="str">
        <f t="shared" si="110"/>
        <v>Exists</v>
      </c>
      <c r="O2237" t="str">
        <f t="shared" si="108"/>
        <v>Not Exists</v>
      </c>
      <c r="P2237" t="str">
        <f t="shared" si="109"/>
        <v>Not Exists</v>
      </c>
    </row>
    <row r="2238" spans="1:16">
      <c r="A2238">
        <v>1</v>
      </c>
      <c r="B2238">
        <v>1</v>
      </c>
      <c r="C2238">
        <v>1</v>
      </c>
      <c r="D2238">
        <v>1</v>
      </c>
      <c r="E2238" s="50" t="s">
        <v>881</v>
      </c>
      <c r="F2238" s="50" t="s">
        <v>888</v>
      </c>
      <c r="G2238" s="50" t="s">
        <v>256</v>
      </c>
      <c r="H2238" s="50">
        <v>1</v>
      </c>
      <c r="M2238" t="str">
        <f>IF(COUNTIF($A:$A,E2238)=0,"Not Exists","Exists")</f>
        <v>Exists</v>
      </c>
      <c r="N2238" t="str">
        <f t="shared" si="110"/>
        <v>Exists</v>
      </c>
      <c r="O2238" t="str">
        <f t="shared" si="108"/>
        <v>Not Exists</v>
      </c>
      <c r="P2238" t="str">
        <f t="shared" si="109"/>
        <v>Not Exists</v>
      </c>
    </row>
    <row r="2239" spans="1:16">
      <c r="A2239">
        <v>1</v>
      </c>
      <c r="B2239">
        <v>1</v>
      </c>
      <c r="C2239">
        <v>1</v>
      </c>
      <c r="D2239">
        <v>1</v>
      </c>
      <c r="E2239" s="50" t="s">
        <v>881</v>
      </c>
      <c r="F2239" s="50" t="s">
        <v>889</v>
      </c>
      <c r="G2239" s="50" t="s">
        <v>256</v>
      </c>
      <c r="H2239" s="50">
        <v>2</v>
      </c>
      <c r="M2239" t="str">
        <f>IF(COUNTIF($A:$A,E2239)=0,"Not Exists","Exists")</f>
        <v>Exists</v>
      </c>
      <c r="N2239" t="str">
        <f t="shared" si="110"/>
        <v>Exists</v>
      </c>
      <c r="O2239" t="str">
        <f t="shared" si="108"/>
        <v>Not Exists</v>
      </c>
      <c r="P2239" t="str">
        <f t="shared" si="109"/>
        <v>Not Exists</v>
      </c>
    </row>
    <row r="2240" spans="1:16">
      <c r="A2240">
        <v>1</v>
      </c>
      <c r="B2240">
        <v>1</v>
      </c>
      <c r="C2240">
        <v>1</v>
      </c>
      <c r="D2240">
        <v>1</v>
      </c>
      <c r="E2240" s="50" t="s">
        <v>881</v>
      </c>
      <c r="F2240" s="50" t="s">
        <v>884</v>
      </c>
      <c r="G2240" s="50" t="s">
        <v>256</v>
      </c>
      <c r="H2240" s="50">
        <v>8</v>
      </c>
      <c r="M2240" t="str">
        <f>IF(COUNTIF($A:$A,E2240)=0,"Not Exists","Exists")</f>
        <v>Exists</v>
      </c>
      <c r="N2240" t="str">
        <f t="shared" si="110"/>
        <v>Exists</v>
      </c>
      <c r="O2240" t="str">
        <f t="shared" si="108"/>
        <v>Not Exists</v>
      </c>
      <c r="P2240" t="str">
        <f t="shared" si="109"/>
        <v>Not Exists</v>
      </c>
    </row>
    <row r="2241" spans="1:16">
      <c r="A2241">
        <v>1</v>
      </c>
      <c r="B2241">
        <v>1</v>
      </c>
      <c r="C2241">
        <v>1</v>
      </c>
      <c r="D2241">
        <v>1</v>
      </c>
      <c r="E2241" s="50" t="s">
        <v>881</v>
      </c>
      <c r="F2241" s="50" t="s">
        <v>885</v>
      </c>
      <c r="G2241" s="50" t="s">
        <v>256</v>
      </c>
      <c r="H2241" s="50">
        <v>9</v>
      </c>
      <c r="M2241" t="str">
        <f>IF(COUNTIF($A:$A,E2241)=0,"Not Exists","Exists")</f>
        <v>Exists</v>
      </c>
      <c r="N2241" t="str">
        <f t="shared" si="110"/>
        <v>Exists</v>
      </c>
      <c r="O2241" t="str">
        <f t="shared" si="108"/>
        <v>Not Exists</v>
      </c>
      <c r="P2241" t="str">
        <f t="shared" si="109"/>
        <v>Not Exists</v>
      </c>
    </row>
    <row r="2242" spans="1:16">
      <c r="A2242">
        <v>1</v>
      </c>
      <c r="B2242">
        <v>1</v>
      </c>
      <c r="C2242">
        <v>1</v>
      </c>
      <c r="D2242">
        <v>1</v>
      </c>
      <c r="E2242" s="50" t="s">
        <v>881</v>
      </c>
      <c r="F2242" s="50" t="s">
        <v>890</v>
      </c>
      <c r="G2242" s="50" t="s">
        <v>256</v>
      </c>
      <c r="H2242" s="50">
        <v>1</v>
      </c>
      <c r="M2242" t="str">
        <f>IF(COUNTIF($A:$A,E2242)=0,"Not Exists","Exists")</f>
        <v>Exists</v>
      </c>
      <c r="N2242" t="str">
        <f t="shared" si="110"/>
        <v>Exists</v>
      </c>
      <c r="O2242" t="str">
        <f t="shared" si="108"/>
        <v>Not Exists</v>
      </c>
      <c r="P2242" t="str">
        <f t="shared" si="109"/>
        <v>Not Exists</v>
      </c>
    </row>
    <row r="2243" spans="1:16">
      <c r="A2243">
        <v>1</v>
      </c>
      <c r="B2243">
        <v>1</v>
      </c>
      <c r="C2243">
        <v>1</v>
      </c>
      <c r="D2243">
        <v>1</v>
      </c>
      <c r="E2243" s="50" t="s">
        <v>881</v>
      </c>
      <c r="F2243" s="50" t="s">
        <v>891</v>
      </c>
      <c r="G2243" s="50" t="s">
        <v>256</v>
      </c>
      <c r="H2243" s="50">
        <v>4000</v>
      </c>
      <c r="M2243" t="str">
        <f>IF(COUNTIF($A:$A,E2243)=0,"Not Exists","Exists")</f>
        <v>Exists</v>
      </c>
      <c r="N2243" t="str">
        <f t="shared" si="110"/>
        <v>Exists</v>
      </c>
      <c r="O2243" t="str">
        <f t="shared" si="108"/>
        <v>Not Exists</v>
      </c>
      <c r="P2243" t="str">
        <f t="shared" si="109"/>
        <v>Not Exists</v>
      </c>
    </row>
    <row r="2244" spans="1:16">
      <c r="A2244">
        <v>1</v>
      </c>
      <c r="B2244">
        <v>1</v>
      </c>
      <c r="C2244">
        <v>1</v>
      </c>
      <c r="D2244">
        <v>1</v>
      </c>
      <c r="E2244" s="50" t="s">
        <v>881</v>
      </c>
      <c r="F2244" s="50" t="s">
        <v>892</v>
      </c>
      <c r="G2244" s="50" t="s">
        <v>256</v>
      </c>
      <c r="H2244" s="50">
        <v>100</v>
      </c>
      <c r="M2244" t="str">
        <f>IF(COUNTIF($A:$A,E2244)=0,"Not Exists","Exists")</f>
        <v>Exists</v>
      </c>
      <c r="N2244" t="str">
        <f t="shared" si="110"/>
        <v>Exists</v>
      </c>
      <c r="O2244" t="str">
        <f t="shared" ref="O2244:O2307" si="111">IF(COUNTIF($E:$E,A2244)=0,"Not Exists","Exists")</f>
        <v>Not Exists</v>
      </c>
      <c r="P2244" t="str">
        <f t="shared" ref="P2244:P2307" si="112">IF(COUNTIF($F:$F,B2244)=0,"Not Exists","Exists")</f>
        <v>Not Exists</v>
      </c>
    </row>
    <row r="2245" spans="1:16">
      <c r="A2245">
        <v>1</v>
      </c>
      <c r="B2245">
        <v>1</v>
      </c>
      <c r="C2245">
        <v>1</v>
      </c>
      <c r="D2245">
        <v>1</v>
      </c>
      <c r="E2245" s="50" t="s">
        <v>881</v>
      </c>
      <c r="F2245" s="50" t="s">
        <v>424</v>
      </c>
      <c r="G2245" s="50" t="s">
        <v>256</v>
      </c>
      <c r="H2245" s="50">
        <v>36</v>
      </c>
      <c r="M2245" t="str">
        <f>IF(COUNTIF($A:$A,E2245)=0,"Not Exists","Exists")</f>
        <v>Exists</v>
      </c>
      <c r="N2245" t="str">
        <f t="shared" si="110"/>
        <v>Exists</v>
      </c>
      <c r="O2245" t="str">
        <f t="shared" si="111"/>
        <v>Not Exists</v>
      </c>
      <c r="P2245" t="str">
        <f t="shared" si="112"/>
        <v>Not Exists</v>
      </c>
    </row>
    <row r="2246" spans="1:16">
      <c r="A2246">
        <v>1</v>
      </c>
      <c r="B2246">
        <v>1</v>
      </c>
      <c r="C2246">
        <v>1</v>
      </c>
      <c r="D2246">
        <v>1</v>
      </c>
      <c r="E2246" s="50" t="s">
        <v>881</v>
      </c>
      <c r="F2246" s="50" t="s">
        <v>355</v>
      </c>
      <c r="G2246" s="50" t="s">
        <v>256</v>
      </c>
      <c r="H2246" s="50">
        <v>30</v>
      </c>
      <c r="M2246" t="str">
        <f>IF(COUNTIF($A:$A,E2246)=0,"Not Exists","Exists")</f>
        <v>Exists</v>
      </c>
      <c r="N2246" t="str">
        <f t="shared" si="110"/>
        <v>Exists</v>
      </c>
      <c r="O2246" t="str">
        <f t="shared" si="111"/>
        <v>Not Exists</v>
      </c>
      <c r="P2246" t="str">
        <f t="shared" si="112"/>
        <v>Not Exists</v>
      </c>
    </row>
    <row r="2247" spans="1:16">
      <c r="A2247">
        <v>1</v>
      </c>
      <c r="B2247">
        <v>1</v>
      </c>
      <c r="C2247">
        <v>1</v>
      </c>
      <c r="D2247">
        <v>1</v>
      </c>
      <c r="E2247" s="50" t="s">
        <v>881</v>
      </c>
      <c r="F2247" s="50" t="s">
        <v>893</v>
      </c>
      <c r="G2247" s="50" t="s">
        <v>256</v>
      </c>
      <c r="H2247" s="50">
        <v>8</v>
      </c>
      <c r="M2247" t="str">
        <f>IF(COUNTIF($A:$A,E2247)=0,"Not Exists","Exists")</f>
        <v>Exists</v>
      </c>
      <c r="N2247" t="str">
        <f t="shared" si="110"/>
        <v>Exists</v>
      </c>
      <c r="O2247" t="str">
        <f t="shared" si="111"/>
        <v>Not Exists</v>
      </c>
      <c r="P2247" t="str">
        <f t="shared" si="112"/>
        <v>Not Exists</v>
      </c>
    </row>
    <row r="2248" spans="1:16">
      <c r="A2248">
        <v>1</v>
      </c>
      <c r="B2248">
        <v>1</v>
      </c>
      <c r="C2248">
        <v>1</v>
      </c>
      <c r="D2248">
        <v>1</v>
      </c>
      <c r="E2248" s="50" t="s">
        <v>881</v>
      </c>
      <c r="F2248" s="50" t="s">
        <v>894</v>
      </c>
      <c r="G2248" s="50" t="s">
        <v>256</v>
      </c>
      <c r="H2248" s="50">
        <v>9</v>
      </c>
      <c r="M2248" t="str">
        <f>IF(COUNTIF($A:$A,E2248)=0,"Not Exists","Exists")</f>
        <v>Exists</v>
      </c>
      <c r="N2248" t="str">
        <f t="shared" si="110"/>
        <v>Exists</v>
      </c>
      <c r="O2248" t="str">
        <f t="shared" si="111"/>
        <v>Not Exists</v>
      </c>
      <c r="P2248" t="str">
        <f t="shared" si="112"/>
        <v>Not Exists</v>
      </c>
    </row>
    <row r="2249" spans="1:16">
      <c r="A2249">
        <v>1</v>
      </c>
      <c r="B2249">
        <v>1</v>
      </c>
      <c r="C2249">
        <v>1</v>
      </c>
      <c r="D2249">
        <v>1</v>
      </c>
      <c r="E2249" s="50" t="s">
        <v>881</v>
      </c>
      <c r="F2249" s="50" t="s">
        <v>2160</v>
      </c>
      <c r="G2249" s="50" t="s">
        <v>256</v>
      </c>
      <c r="H2249" s="50">
        <v>10</v>
      </c>
      <c r="M2249" t="str">
        <f>IF(COUNTIF($A:$A,E2249)=0,"Not Exists","Exists")</f>
        <v>Exists</v>
      </c>
      <c r="N2249" t="str">
        <f t="shared" si="110"/>
        <v>Not Exists</v>
      </c>
      <c r="O2249" t="str">
        <f t="shared" si="111"/>
        <v>Not Exists</v>
      </c>
      <c r="P2249" t="str">
        <f t="shared" si="112"/>
        <v>Not Exists</v>
      </c>
    </row>
    <row r="2250" spans="1:16">
      <c r="A2250">
        <v>1</v>
      </c>
      <c r="B2250">
        <v>1</v>
      </c>
      <c r="C2250">
        <v>1</v>
      </c>
      <c r="D2250">
        <v>1</v>
      </c>
      <c r="E2250" s="50" t="s">
        <v>881</v>
      </c>
      <c r="F2250" s="50" t="s">
        <v>2161</v>
      </c>
      <c r="G2250" s="50" t="s">
        <v>256</v>
      </c>
      <c r="H2250" s="50">
        <v>10</v>
      </c>
      <c r="M2250" t="str">
        <f>IF(COUNTIF($A:$A,E2250)=0,"Not Exists","Exists")</f>
        <v>Exists</v>
      </c>
      <c r="N2250" t="str">
        <f t="shared" si="110"/>
        <v>Not Exists</v>
      </c>
      <c r="O2250" t="str">
        <f t="shared" si="111"/>
        <v>Not Exists</v>
      </c>
      <c r="P2250" t="str">
        <f t="shared" si="112"/>
        <v>Not Exists</v>
      </c>
    </row>
    <row r="2251" spans="1:16">
      <c r="A2251">
        <v>1</v>
      </c>
      <c r="B2251">
        <v>1</v>
      </c>
      <c r="C2251">
        <v>1</v>
      </c>
      <c r="D2251">
        <v>1</v>
      </c>
      <c r="E2251" s="50" t="s">
        <v>881</v>
      </c>
      <c r="F2251" s="50" t="s">
        <v>2162</v>
      </c>
      <c r="G2251" s="50" t="s">
        <v>256</v>
      </c>
      <c r="H2251" s="50">
        <v>200</v>
      </c>
      <c r="M2251" t="str">
        <f>IF(COUNTIF($A:$A,E2251)=0,"Not Exists","Exists")</f>
        <v>Exists</v>
      </c>
      <c r="N2251" t="str">
        <f t="shared" si="110"/>
        <v>Not Exists</v>
      </c>
      <c r="O2251" t="str">
        <f t="shared" si="111"/>
        <v>Not Exists</v>
      </c>
      <c r="P2251" t="str">
        <f t="shared" si="112"/>
        <v>Not Exists</v>
      </c>
    </row>
    <row r="2252" spans="1:16">
      <c r="A2252">
        <v>1</v>
      </c>
      <c r="B2252">
        <v>1</v>
      </c>
      <c r="C2252">
        <v>1</v>
      </c>
      <c r="D2252">
        <v>1</v>
      </c>
      <c r="E2252" s="50" t="s">
        <v>881</v>
      </c>
      <c r="F2252" s="50" t="s">
        <v>315</v>
      </c>
      <c r="G2252" s="50" t="s">
        <v>256</v>
      </c>
      <c r="H2252" s="50">
        <v>17</v>
      </c>
      <c r="M2252" t="str">
        <f>IF(COUNTIF($A:$A,E2252)=0,"Not Exists","Exists")</f>
        <v>Exists</v>
      </c>
      <c r="N2252" t="str">
        <f t="shared" si="110"/>
        <v>Exists</v>
      </c>
      <c r="O2252" t="str">
        <f t="shared" si="111"/>
        <v>Not Exists</v>
      </c>
      <c r="P2252" t="str">
        <f t="shared" si="112"/>
        <v>Not Exists</v>
      </c>
    </row>
    <row r="2253" spans="1:16">
      <c r="A2253">
        <v>1</v>
      </c>
      <c r="B2253">
        <v>1</v>
      </c>
      <c r="C2253">
        <v>1</v>
      </c>
      <c r="D2253">
        <v>1</v>
      </c>
      <c r="E2253" s="50" t="s">
        <v>881</v>
      </c>
      <c r="F2253" s="50" t="s">
        <v>316</v>
      </c>
      <c r="G2253" s="50" t="s">
        <v>256</v>
      </c>
      <c r="H2253" s="50">
        <v>50</v>
      </c>
      <c r="M2253" t="str">
        <f>IF(COUNTIF($A:$A,E2253)=0,"Not Exists","Exists")</f>
        <v>Exists</v>
      </c>
      <c r="N2253" t="str">
        <f t="shared" si="110"/>
        <v>Exists</v>
      </c>
      <c r="O2253" t="str">
        <f t="shared" si="111"/>
        <v>Not Exists</v>
      </c>
      <c r="P2253" t="str">
        <f t="shared" si="112"/>
        <v>Not Exists</v>
      </c>
    </row>
    <row r="2254" spans="1:16">
      <c r="A2254">
        <v>1</v>
      </c>
      <c r="B2254">
        <v>1</v>
      </c>
      <c r="C2254">
        <v>1</v>
      </c>
      <c r="D2254">
        <v>1</v>
      </c>
      <c r="E2254" s="50" t="s">
        <v>881</v>
      </c>
      <c r="F2254" s="50" t="s">
        <v>317</v>
      </c>
      <c r="G2254" s="50" t="s">
        <v>256</v>
      </c>
      <c r="H2254" s="50">
        <v>17</v>
      </c>
      <c r="M2254" t="str">
        <f>IF(COUNTIF($A:$A,E2254)=0,"Not Exists","Exists")</f>
        <v>Exists</v>
      </c>
      <c r="N2254" t="str">
        <f t="shared" si="110"/>
        <v>Exists</v>
      </c>
      <c r="O2254" t="str">
        <f t="shared" si="111"/>
        <v>Not Exists</v>
      </c>
      <c r="P2254" t="str">
        <f t="shared" si="112"/>
        <v>Not Exists</v>
      </c>
    </row>
    <row r="2255" spans="1:16">
      <c r="A2255">
        <v>1</v>
      </c>
      <c r="B2255">
        <v>1</v>
      </c>
      <c r="C2255">
        <v>1</v>
      </c>
      <c r="D2255">
        <v>1</v>
      </c>
      <c r="E2255" s="50" t="s">
        <v>881</v>
      </c>
      <c r="F2255" s="50" t="s">
        <v>318</v>
      </c>
      <c r="G2255" s="50" t="s">
        <v>256</v>
      </c>
      <c r="H2255" s="50">
        <v>50</v>
      </c>
      <c r="M2255" t="str">
        <f>IF(COUNTIF($A:$A,E2255)=0,"Not Exists","Exists")</f>
        <v>Exists</v>
      </c>
      <c r="N2255" t="str">
        <f t="shared" si="110"/>
        <v>Exists</v>
      </c>
      <c r="O2255" t="str">
        <f t="shared" si="111"/>
        <v>Not Exists</v>
      </c>
      <c r="P2255" t="str">
        <f t="shared" si="112"/>
        <v>Not Exists</v>
      </c>
    </row>
    <row r="2256" spans="1:16">
      <c r="A2256">
        <v>1</v>
      </c>
      <c r="B2256">
        <v>1</v>
      </c>
      <c r="C2256">
        <v>1</v>
      </c>
      <c r="D2256">
        <v>1</v>
      </c>
      <c r="E2256" s="50" t="s">
        <v>2163</v>
      </c>
      <c r="F2256" s="50" t="s">
        <v>2164</v>
      </c>
      <c r="G2256" s="50" t="s">
        <v>256</v>
      </c>
      <c r="H2256" s="50">
        <v>30</v>
      </c>
      <c r="M2256" t="str">
        <f>IF(COUNTIF($A:$A,E2256)=0,"Not Exists","Exists")</f>
        <v>Not Exists</v>
      </c>
      <c r="N2256" t="str">
        <f t="shared" ref="N2256:N2319" si="113">IF(COUNTIF($A:$B,F2256)=0,"Not Exists","Exists")</f>
        <v>Not Exists</v>
      </c>
      <c r="O2256" t="str">
        <f t="shared" si="111"/>
        <v>Not Exists</v>
      </c>
      <c r="P2256" t="str">
        <f t="shared" si="112"/>
        <v>Not Exists</v>
      </c>
    </row>
    <row r="2257" spans="1:16">
      <c r="A2257">
        <v>1</v>
      </c>
      <c r="B2257">
        <v>1</v>
      </c>
      <c r="C2257">
        <v>1</v>
      </c>
      <c r="D2257">
        <v>1</v>
      </c>
      <c r="E2257" s="50" t="s">
        <v>2163</v>
      </c>
      <c r="F2257" s="50" t="s">
        <v>2165</v>
      </c>
      <c r="G2257" s="50" t="s">
        <v>256</v>
      </c>
      <c r="H2257" s="50">
        <v>100</v>
      </c>
      <c r="M2257" t="str">
        <f>IF(COUNTIF($A:$A,E2257)=0,"Not Exists","Exists")</f>
        <v>Not Exists</v>
      </c>
      <c r="N2257" t="str">
        <f t="shared" si="113"/>
        <v>Not Exists</v>
      </c>
      <c r="O2257" t="str">
        <f t="shared" si="111"/>
        <v>Not Exists</v>
      </c>
      <c r="P2257" t="str">
        <f t="shared" si="112"/>
        <v>Not Exists</v>
      </c>
    </row>
    <row r="2258" spans="1:16">
      <c r="A2258">
        <v>1</v>
      </c>
      <c r="B2258">
        <v>1</v>
      </c>
      <c r="C2258">
        <v>1</v>
      </c>
      <c r="D2258">
        <v>1</v>
      </c>
      <c r="E2258" s="50" t="s">
        <v>2163</v>
      </c>
      <c r="F2258" s="50" t="s">
        <v>2166</v>
      </c>
      <c r="G2258" s="50" t="s">
        <v>256</v>
      </c>
      <c r="H2258" s="50">
        <v>1</v>
      </c>
      <c r="M2258" t="str">
        <f>IF(COUNTIF($A:$A,E2258)=0,"Not Exists","Exists")</f>
        <v>Not Exists</v>
      </c>
      <c r="N2258" t="str">
        <f t="shared" si="113"/>
        <v>Not Exists</v>
      </c>
      <c r="O2258" t="str">
        <f t="shared" si="111"/>
        <v>Not Exists</v>
      </c>
      <c r="P2258" t="str">
        <f t="shared" si="112"/>
        <v>Not Exists</v>
      </c>
    </row>
    <row r="2259" spans="1:16">
      <c r="A2259">
        <v>1</v>
      </c>
      <c r="B2259">
        <v>1</v>
      </c>
      <c r="C2259">
        <v>1</v>
      </c>
      <c r="D2259">
        <v>1</v>
      </c>
      <c r="E2259" s="50" t="s">
        <v>2163</v>
      </c>
      <c r="F2259" s="50" t="s">
        <v>2167</v>
      </c>
      <c r="G2259" s="50" t="s">
        <v>256</v>
      </c>
      <c r="H2259" s="50">
        <v>100</v>
      </c>
      <c r="M2259" t="str">
        <f>IF(COUNTIF($A:$A,E2259)=0,"Not Exists","Exists")</f>
        <v>Not Exists</v>
      </c>
      <c r="N2259" t="str">
        <f t="shared" si="113"/>
        <v>Not Exists</v>
      </c>
      <c r="O2259" t="str">
        <f t="shared" si="111"/>
        <v>Not Exists</v>
      </c>
      <c r="P2259" t="str">
        <f t="shared" si="112"/>
        <v>Not Exists</v>
      </c>
    </row>
    <row r="2260" spans="1:16">
      <c r="A2260">
        <v>1</v>
      </c>
      <c r="B2260">
        <v>1</v>
      </c>
      <c r="C2260">
        <v>1</v>
      </c>
      <c r="D2260">
        <v>1</v>
      </c>
      <c r="E2260" s="50" t="s">
        <v>2163</v>
      </c>
      <c r="F2260" s="50" t="s">
        <v>2168</v>
      </c>
      <c r="G2260" s="50" t="s">
        <v>254</v>
      </c>
      <c r="H2260" s="50">
        <v>22</v>
      </c>
      <c r="M2260" t="str">
        <f>IF(COUNTIF($A:$A,E2260)=0,"Not Exists","Exists")</f>
        <v>Not Exists</v>
      </c>
      <c r="N2260" t="str">
        <f t="shared" si="113"/>
        <v>Not Exists</v>
      </c>
      <c r="O2260" t="str">
        <f t="shared" si="111"/>
        <v>Not Exists</v>
      </c>
      <c r="P2260" t="str">
        <f t="shared" si="112"/>
        <v>Not Exists</v>
      </c>
    </row>
    <row r="2261" spans="1:16">
      <c r="A2261">
        <v>1</v>
      </c>
      <c r="B2261">
        <v>1</v>
      </c>
      <c r="C2261">
        <v>1</v>
      </c>
      <c r="D2261">
        <v>1</v>
      </c>
      <c r="E2261" s="50" t="s">
        <v>2163</v>
      </c>
      <c r="F2261" s="50" t="s">
        <v>2169</v>
      </c>
      <c r="G2261" s="50" t="s">
        <v>256</v>
      </c>
      <c r="H2261" s="50">
        <v>1</v>
      </c>
      <c r="M2261" t="str">
        <f>IF(COUNTIF($A:$A,E2261)=0,"Not Exists","Exists")</f>
        <v>Not Exists</v>
      </c>
      <c r="N2261" t="str">
        <f t="shared" si="113"/>
        <v>Not Exists</v>
      </c>
      <c r="O2261" t="str">
        <f t="shared" si="111"/>
        <v>Not Exists</v>
      </c>
      <c r="P2261" t="str">
        <f t="shared" si="112"/>
        <v>Not Exists</v>
      </c>
    </row>
    <row r="2262" spans="1:16">
      <c r="A2262">
        <v>1</v>
      </c>
      <c r="B2262">
        <v>1</v>
      </c>
      <c r="C2262">
        <v>1</v>
      </c>
      <c r="D2262">
        <v>1</v>
      </c>
      <c r="E2262" s="50" t="s">
        <v>2163</v>
      </c>
      <c r="F2262" s="50" t="s">
        <v>2170</v>
      </c>
      <c r="G2262" s="50" t="s">
        <v>254</v>
      </c>
      <c r="H2262" s="50">
        <v>22</v>
      </c>
      <c r="M2262" t="str">
        <f>IF(COUNTIF($A:$A,E2262)=0,"Not Exists","Exists")</f>
        <v>Not Exists</v>
      </c>
      <c r="N2262" t="str">
        <f t="shared" si="113"/>
        <v>Not Exists</v>
      </c>
      <c r="O2262" t="str">
        <f t="shared" si="111"/>
        <v>Not Exists</v>
      </c>
      <c r="P2262" t="str">
        <f t="shared" si="112"/>
        <v>Not Exists</v>
      </c>
    </row>
    <row r="2263" spans="1:16">
      <c r="A2263">
        <v>1</v>
      </c>
      <c r="B2263">
        <v>1</v>
      </c>
      <c r="C2263">
        <v>1</v>
      </c>
      <c r="D2263">
        <v>1</v>
      </c>
      <c r="E2263" s="50" t="s">
        <v>2163</v>
      </c>
      <c r="F2263" s="50" t="s">
        <v>373</v>
      </c>
      <c r="G2263" s="50" t="s">
        <v>256</v>
      </c>
      <c r="H2263" s="50">
        <v>1</v>
      </c>
      <c r="M2263" t="str">
        <f>IF(COUNTIF($A:$A,E2263)=0,"Not Exists","Exists")</f>
        <v>Not Exists</v>
      </c>
      <c r="N2263" t="str">
        <f t="shared" si="113"/>
        <v>Exists</v>
      </c>
      <c r="O2263" t="str">
        <f t="shared" si="111"/>
        <v>Not Exists</v>
      </c>
      <c r="P2263" t="str">
        <f t="shared" si="112"/>
        <v>Not Exists</v>
      </c>
    </row>
    <row r="2264" spans="1:16">
      <c r="A2264">
        <v>1</v>
      </c>
      <c r="B2264">
        <v>1</v>
      </c>
      <c r="C2264">
        <v>1</v>
      </c>
      <c r="D2264">
        <v>1</v>
      </c>
      <c r="E2264" s="50" t="s">
        <v>2163</v>
      </c>
      <c r="F2264" s="50" t="s">
        <v>315</v>
      </c>
      <c r="G2264" s="50" t="s">
        <v>256</v>
      </c>
      <c r="H2264" s="50">
        <v>17</v>
      </c>
      <c r="M2264" t="str">
        <f>IF(COUNTIF($A:$A,E2264)=0,"Not Exists","Exists")</f>
        <v>Not Exists</v>
      </c>
      <c r="N2264" t="str">
        <f t="shared" si="113"/>
        <v>Exists</v>
      </c>
      <c r="O2264" t="str">
        <f t="shared" si="111"/>
        <v>Not Exists</v>
      </c>
      <c r="P2264" t="str">
        <f t="shared" si="112"/>
        <v>Not Exists</v>
      </c>
    </row>
    <row r="2265" spans="1:16">
      <c r="A2265">
        <v>1</v>
      </c>
      <c r="B2265">
        <v>1</v>
      </c>
      <c r="C2265">
        <v>1</v>
      </c>
      <c r="D2265">
        <v>1</v>
      </c>
      <c r="E2265" s="50" t="s">
        <v>2163</v>
      </c>
      <c r="F2265" s="50" t="s">
        <v>316</v>
      </c>
      <c r="G2265" s="50" t="s">
        <v>256</v>
      </c>
      <c r="H2265" s="50">
        <v>50</v>
      </c>
      <c r="M2265" t="str">
        <f>IF(COUNTIF($A:$A,E2265)=0,"Not Exists","Exists")</f>
        <v>Not Exists</v>
      </c>
      <c r="N2265" t="str">
        <f t="shared" si="113"/>
        <v>Exists</v>
      </c>
      <c r="O2265" t="str">
        <f t="shared" si="111"/>
        <v>Not Exists</v>
      </c>
      <c r="P2265" t="str">
        <f t="shared" si="112"/>
        <v>Not Exists</v>
      </c>
    </row>
    <row r="2266" spans="1:16">
      <c r="A2266">
        <v>1</v>
      </c>
      <c r="B2266">
        <v>1</v>
      </c>
      <c r="C2266">
        <v>1</v>
      </c>
      <c r="D2266">
        <v>1</v>
      </c>
      <c r="E2266" s="50" t="s">
        <v>2163</v>
      </c>
      <c r="F2266" s="50" t="s">
        <v>317</v>
      </c>
      <c r="G2266" s="50" t="s">
        <v>256</v>
      </c>
      <c r="H2266" s="50">
        <v>17</v>
      </c>
      <c r="M2266" t="str">
        <f>IF(COUNTIF($A:$A,E2266)=0,"Not Exists","Exists")</f>
        <v>Not Exists</v>
      </c>
      <c r="N2266" t="str">
        <f t="shared" si="113"/>
        <v>Exists</v>
      </c>
      <c r="O2266" t="str">
        <f t="shared" si="111"/>
        <v>Not Exists</v>
      </c>
      <c r="P2266" t="str">
        <f t="shared" si="112"/>
        <v>Not Exists</v>
      </c>
    </row>
    <row r="2267" spans="1:16">
      <c r="A2267">
        <v>1</v>
      </c>
      <c r="B2267">
        <v>1</v>
      </c>
      <c r="C2267">
        <v>1</v>
      </c>
      <c r="D2267">
        <v>1</v>
      </c>
      <c r="E2267" s="50" t="s">
        <v>2163</v>
      </c>
      <c r="F2267" s="50" t="s">
        <v>318</v>
      </c>
      <c r="G2267" s="50" t="s">
        <v>256</v>
      </c>
      <c r="H2267" s="50">
        <v>50</v>
      </c>
      <c r="M2267" t="str">
        <f>IF(COUNTIF($A:$A,E2267)=0,"Not Exists","Exists")</f>
        <v>Not Exists</v>
      </c>
      <c r="N2267" t="str">
        <f t="shared" si="113"/>
        <v>Exists</v>
      </c>
      <c r="O2267" t="str">
        <f t="shared" si="111"/>
        <v>Not Exists</v>
      </c>
      <c r="P2267" t="str">
        <f t="shared" si="112"/>
        <v>Not Exists</v>
      </c>
    </row>
    <row r="2268" spans="1:16">
      <c r="A2268">
        <v>1</v>
      </c>
      <c r="B2268">
        <v>1</v>
      </c>
      <c r="C2268">
        <v>1</v>
      </c>
      <c r="D2268">
        <v>1</v>
      </c>
      <c r="E2268" s="50" t="s">
        <v>2171</v>
      </c>
      <c r="F2268" s="50" t="s">
        <v>2109</v>
      </c>
      <c r="G2268" s="50" t="s">
        <v>256</v>
      </c>
      <c r="H2268" s="50">
        <v>50</v>
      </c>
      <c r="M2268" t="str">
        <f>IF(COUNTIF($A:$A,E2268)=0,"Not Exists","Exists")</f>
        <v>Not Exists</v>
      </c>
      <c r="N2268" t="str">
        <f t="shared" si="113"/>
        <v>Not Exists</v>
      </c>
      <c r="O2268" t="str">
        <f t="shared" si="111"/>
        <v>Not Exists</v>
      </c>
      <c r="P2268" t="str">
        <f t="shared" si="112"/>
        <v>Not Exists</v>
      </c>
    </row>
    <row r="2269" spans="1:16">
      <c r="A2269">
        <v>1</v>
      </c>
      <c r="B2269">
        <v>1</v>
      </c>
      <c r="C2269">
        <v>1</v>
      </c>
      <c r="D2269">
        <v>1</v>
      </c>
      <c r="E2269" s="50" t="s">
        <v>2171</v>
      </c>
      <c r="F2269" s="50" t="s">
        <v>2172</v>
      </c>
      <c r="G2269" s="50" t="s">
        <v>256</v>
      </c>
      <c r="H2269" s="50">
        <v>200</v>
      </c>
      <c r="M2269" t="str">
        <f>IF(COUNTIF($A:$A,E2269)=0,"Not Exists","Exists")</f>
        <v>Not Exists</v>
      </c>
      <c r="N2269" t="str">
        <f t="shared" si="113"/>
        <v>Not Exists</v>
      </c>
      <c r="O2269" t="str">
        <f t="shared" si="111"/>
        <v>Not Exists</v>
      </c>
      <c r="P2269" t="str">
        <f t="shared" si="112"/>
        <v>Not Exists</v>
      </c>
    </row>
    <row r="2270" spans="1:16">
      <c r="A2270">
        <v>1</v>
      </c>
      <c r="B2270">
        <v>1</v>
      </c>
      <c r="C2270">
        <v>1</v>
      </c>
      <c r="D2270">
        <v>1</v>
      </c>
      <c r="E2270" s="50" t="s">
        <v>2171</v>
      </c>
      <c r="F2270" s="50" t="s">
        <v>2173</v>
      </c>
      <c r="G2270" s="50" t="s">
        <v>256</v>
      </c>
      <c r="H2270" s="50">
        <v>2</v>
      </c>
      <c r="M2270" t="str">
        <f>IF(COUNTIF($A:$A,E2270)=0,"Not Exists","Exists")</f>
        <v>Not Exists</v>
      </c>
      <c r="N2270" t="str">
        <f t="shared" si="113"/>
        <v>Not Exists</v>
      </c>
      <c r="O2270" t="str">
        <f t="shared" si="111"/>
        <v>Not Exists</v>
      </c>
      <c r="P2270" t="str">
        <f t="shared" si="112"/>
        <v>Not Exists</v>
      </c>
    </row>
    <row r="2271" spans="1:16">
      <c r="A2271">
        <v>1</v>
      </c>
      <c r="B2271">
        <v>1</v>
      </c>
      <c r="C2271">
        <v>1</v>
      </c>
      <c r="D2271">
        <v>1</v>
      </c>
      <c r="E2271" s="50" t="s">
        <v>2171</v>
      </c>
      <c r="F2271" s="50" t="s">
        <v>317</v>
      </c>
      <c r="G2271" s="50" t="s">
        <v>251</v>
      </c>
      <c r="H2271" s="50">
        <v>17</v>
      </c>
      <c r="M2271" t="str">
        <f>IF(COUNTIF($A:$A,E2271)=0,"Not Exists","Exists")</f>
        <v>Not Exists</v>
      </c>
      <c r="N2271" t="str">
        <f t="shared" si="113"/>
        <v>Exists</v>
      </c>
      <c r="O2271" t="str">
        <f t="shared" si="111"/>
        <v>Not Exists</v>
      </c>
      <c r="P2271" t="str">
        <f t="shared" si="112"/>
        <v>Not Exists</v>
      </c>
    </row>
    <row r="2272" spans="1:16">
      <c r="A2272">
        <v>1</v>
      </c>
      <c r="B2272">
        <v>1</v>
      </c>
      <c r="C2272">
        <v>1</v>
      </c>
      <c r="D2272">
        <v>1</v>
      </c>
      <c r="E2272" s="50" t="s">
        <v>2171</v>
      </c>
      <c r="F2272" s="50" t="s">
        <v>318</v>
      </c>
      <c r="G2272" s="50" t="s">
        <v>256</v>
      </c>
      <c r="H2272" s="50">
        <v>50</v>
      </c>
      <c r="M2272" t="str">
        <f>IF(COUNTIF($A:$A,E2272)=0,"Not Exists","Exists")</f>
        <v>Not Exists</v>
      </c>
      <c r="N2272" t="str">
        <f t="shared" si="113"/>
        <v>Exists</v>
      </c>
      <c r="O2272" t="str">
        <f t="shared" si="111"/>
        <v>Not Exists</v>
      </c>
      <c r="P2272" t="str">
        <f t="shared" si="112"/>
        <v>Not Exists</v>
      </c>
    </row>
    <row r="2273" spans="1:16">
      <c r="A2273">
        <v>1</v>
      </c>
      <c r="B2273">
        <v>1</v>
      </c>
      <c r="C2273">
        <v>1</v>
      </c>
      <c r="D2273">
        <v>1</v>
      </c>
      <c r="E2273" s="50" t="s">
        <v>2171</v>
      </c>
      <c r="F2273" s="50" t="s">
        <v>315</v>
      </c>
      <c r="G2273" s="50" t="s">
        <v>251</v>
      </c>
      <c r="H2273" s="50">
        <v>17</v>
      </c>
      <c r="M2273" t="str">
        <f>IF(COUNTIF($A:$A,E2273)=0,"Not Exists","Exists")</f>
        <v>Not Exists</v>
      </c>
      <c r="N2273" t="str">
        <f t="shared" si="113"/>
        <v>Exists</v>
      </c>
      <c r="O2273" t="str">
        <f t="shared" si="111"/>
        <v>Not Exists</v>
      </c>
      <c r="P2273" t="str">
        <f t="shared" si="112"/>
        <v>Not Exists</v>
      </c>
    </row>
    <row r="2274" spans="1:16">
      <c r="A2274">
        <v>1</v>
      </c>
      <c r="B2274">
        <v>1</v>
      </c>
      <c r="C2274">
        <v>1</v>
      </c>
      <c r="D2274">
        <v>1</v>
      </c>
      <c r="E2274" s="50" t="s">
        <v>2171</v>
      </c>
      <c r="F2274" s="50" t="s">
        <v>316</v>
      </c>
      <c r="G2274" s="50" t="s">
        <v>256</v>
      </c>
      <c r="H2274" s="50">
        <v>50</v>
      </c>
      <c r="M2274" t="str">
        <f>IF(COUNTIF($A:$A,E2274)=0,"Not Exists","Exists")</f>
        <v>Not Exists</v>
      </c>
      <c r="N2274" t="str">
        <f t="shared" si="113"/>
        <v>Exists</v>
      </c>
      <c r="O2274" t="str">
        <f t="shared" si="111"/>
        <v>Not Exists</v>
      </c>
      <c r="P2274" t="str">
        <f t="shared" si="112"/>
        <v>Not Exists</v>
      </c>
    </row>
    <row r="2275" spans="1:16">
      <c r="A2275">
        <v>1</v>
      </c>
      <c r="B2275">
        <v>1</v>
      </c>
      <c r="C2275">
        <v>1</v>
      </c>
      <c r="D2275">
        <v>1</v>
      </c>
      <c r="E2275" s="50" t="s">
        <v>2174</v>
      </c>
      <c r="F2275" s="50" t="s">
        <v>466</v>
      </c>
      <c r="G2275" s="50" t="s">
        <v>256</v>
      </c>
      <c r="H2275" s="50">
        <v>1</v>
      </c>
      <c r="M2275" t="str">
        <f>IF(COUNTIF($A:$A,E2275)=0,"Not Exists","Exists")</f>
        <v>Not Exists</v>
      </c>
      <c r="N2275" t="str">
        <f t="shared" si="113"/>
        <v>Exists</v>
      </c>
      <c r="O2275" t="str">
        <f t="shared" si="111"/>
        <v>Not Exists</v>
      </c>
      <c r="P2275" t="str">
        <f t="shared" si="112"/>
        <v>Not Exists</v>
      </c>
    </row>
    <row r="2276" spans="1:16">
      <c r="A2276">
        <v>1</v>
      </c>
      <c r="B2276">
        <v>1</v>
      </c>
      <c r="C2276">
        <v>1</v>
      </c>
      <c r="D2276">
        <v>1</v>
      </c>
      <c r="E2276" s="50" t="s">
        <v>2174</v>
      </c>
      <c r="F2276" s="50" t="s">
        <v>467</v>
      </c>
      <c r="G2276" s="50" t="s">
        <v>256</v>
      </c>
      <c r="H2276" s="50">
        <v>50</v>
      </c>
      <c r="M2276" t="str">
        <f>IF(COUNTIF($A:$A,E2276)=0,"Not Exists","Exists")</f>
        <v>Not Exists</v>
      </c>
      <c r="N2276" t="str">
        <f t="shared" si="113"/>
        <v>Not Exists</v>
      </c>
      <c r="O2276" t="str">
        <f t="shared" si="111"/>
        <v>Not Exists</v>
      </c>
      <c r="P2276" t="str">
        <f t="shared" si="112"/>
        <v>Not Exists</v>
      </c>
    </row>
    <row r="2277" spans="1:16">
      <c r="A2277">
        <v>1</v>
      </c>
      <c r="B2277">
        <v>1</v>
      </c>
      <c r="C2277">
        <v>1</v>
      </c>
      <c r="D2277">
        <v>1</v>
      </c>
      <c r="E2277" s="50" t="s">
        <v>2174</v>
      </c>
      <c r="F2277" s="50" t="s">
        <v>468</v>
      </c>
      <c r="G2277" s="50" t="s">
        <v>256</v>
      </c>
      <c r="H2277" s="50">
        <v>50</v>
      </c>
      <c r="M2277" t="str">
        <f>IF(COUNTIF($A:$A,E2277)=0,"Not Exists","Exists")</f>
        <v>Not Exists</v>
      </c>
      <c r="N2277" t="str">
        <f t="shared" si="113"/>
        <v>Not Exists</v>
      </c>
      <c r="O2277" t="str">
        <f t="shared" si="111"/>
        <v>Not Exists</v>
      </c>
      <c r="P2277" t="str">
        <f t="shared" si="112"/>
        <v>Not Exists</v>
      </c>
    </row>
    <row r="2278" spans="1:16">
      <c r="A2278">
        <v>1</v>
      </c>
      <c r="B2278">
        <v>1</v>
      </c>
      <c r="C2278">
        <v>1</v>
      </c>
      <c r="D2278">
        <v>1</v>
      </c>
      <c r="E2278" s="50" t="s">
        <v>2174</v>
      </c>
      <c r="F2278" s="50" t="s">
        <v>863</v>
      </c>
      <c r="G2278" s="50" t="s">
        <v>256</v>
      </c>
      <c r="H2278" s="50">
        <v>50</v>
      </c>
      <c r="M2278" t="str">
        <f>IF(COUNTIF($A:$A,E2278)=0,"Not Exists","Exists")</f>
        <v>Not Exists</v>
      </c>
      <c r="N2278" t="str">
        <f t="shared" si="113"/>
        <v>Exists</v>
      </c>
      <c r="O2278" t="str">
        <f t="shared" si="111"/>
        <v>Not Exists</v>
      </c>
      <c r="P2278" t="str">
        <f t="shared" si="112"/>
        <v>Not Exists</v>
      </c>
    </row>
    <row r="2279" spans="1:16">
      <c r="A2279">
        <v>1</v>
      </c>
      <c r="B2279">
        <v>1</v>
      </c>
      <c r="C2279">
        <v>1</v>
      </c>
      <c r="D2279">
        <v>1</v>
      </c>
      <c r="E2279" s="50" t="s">
        <v>2174</v>
      </c>
      <c r="F2279" s="50" t="s">
        <v>2175</v>
      </c>
      <c r="G2279" s="50" t="s">
        <v>256</v>
      </c>
      <c r="H2279" s="50">
        <v>250</v>
      </c>
      <c r="M2279" t="str">
        <f>IF(COUNTIF($A:$A,E2279)=0,"Not Exists","Exists")</f>
        <v>Not Exists</v>
      </c>
      <c r="N2279" t="str">
        <f t="shared" si="113"/>
        <v>Not Exists</v>
      </c>
      <c r="O2279" t="str">
        <f t="shared" si="111"/>
        <v>Not Exists</v>
      </c>
      <c r="P2279" t="str">
        <f t="shared" si="112"/>
        <v>Not Exists</v>
      </c>
    </row>
    <row r="2280" spans="1:16">
      <c r="A2280">
        <v>1</v>
      </c>
      <c r="B2280">
        <v>1</v>
      </c>
      <c r="C2280">
        <v>1</v>
      </c>
      <c r="D2280">
        <v>1</v>
      </c>
      <c r="E2280" s="50" t="s">
        <v>2174</v>
      </c>
      <c r="F2280" s="50" t="s">
        <v>2154</v>
      </c>
      <c r="G2280" s="50" t="s">
        <v>256</v>
      </c>
      <c r="H2280" s="50">
        <v>50</v>
      </c>
      <c r="M2280" t="str">
        <f>IF(COUNTIF($A:$A,E2280)=0,"Not Exists","Exists")</f>
        <v>Not Exists</v>
      </c>
      <c r="N2280" t="str">
        <f t="shared" si="113"/>
        <v>Not Exists</v>
      </c>
      <c r="O2280" t="str">
        <f t="shared" si="111"/>
        <v>Not Exists</v>
      </c>
      <c r="P2280" t="str">
        <f t="shared" si="112"/>
        <v>Not Exists</v>
      </c>
    </row>
    <row r="2281" spans="1:16">
      <c r="A2281">
        <v>1</v>
      </c>
      <c r="B2281">
        <v>1</v>
      </c>
      <c r="C2281">
        <v>1</v>
      </c>
      <c r="D2281">
        <v>1</v>
      </c>
      <c r="E2281" s="50" t="s">
        <v>2174</v>
      </c>
      <c r="F2281" s="50" t="s">
        <v>2176</v>
      </c>
      <c r="G2281" s="50" t="s">
        <v>256</v>
      </c>
      <c r="H2281" s="50">
        <v>250</v>
      </c>
      <c r="M2281" t="str">
        <f>IF(COUNTIF($A:$A,E2281)=0,"Not Exists","Exists")</f>
        <v>Not Exists</v>
      </c>
      <c r="N2281" t="str">
        <f t="shared" si="113"/>
        <v>Not Exists</v>
      </c>
      <c r="O2281" t="str">
        <f t="shared" si="111"/>
        <v>Not Exists</v>
      </c>
      <c r="P2281" t="str">
        <f t="shared" si="112"/>
        <v>Not Exists</v>
      </c>
    </row>
    <row r="2282" spans="1:16">
      <c r="A2282">
        <v>1</v>
      </c>
      <c r="B2282">
        <v>1</v>
      </c>
      <c r="C2282">
        <v>1</v>
      </c>
      <c r="D2282">
        <v>1</v>
      </c>
      <c r="E2282" s="50" t="s">
        <v>2174</v>
      </c>
      <c r="F2282" s="50" t="s">
        <v>2155</v>
      </c>
      <c r="G2282" s="50" t="s">
        <v>256</v>
      </c>
      <c r="H2282" s="50">
        <v>1</v>
      </c>
      <c r="M2282" t="str">
        <f>IF(COUNTIF($A:$A,E2282)=0,"Not Exists","Exists")</f>
        <v>Not Exists</v>
      </c>
      <c r="N2282" t="str">
        <f t="shared" si="113"/>
        <v>Not Exists</v>
      </c>
      <c r="O2282" t="str">
        <f t="shared" si="111"/>
        <v>Not Exists</v>
      </c>
      <c r="P2282" t="str">
        <f t="shared" si="112"/>
        <v>Not Exists</v>
      </c>
    </row>
    <row r="2283" spans="1:16">
      <c r="A2283">
        <v>1</v>
      </c>
      <c r="B2283">
        <v>1</v>
      </c>
      <c r="C2283">
        <v>1</v>
      </c>
      <c r="D2283">
        <v>1</v>
      </c>
      <c r="E2283" s="50" t="s">
        <v>2174</v>
      </c>
      <c r="F2283" s="50" t="s">
        <v>2156</v>
      </c>
      <c r="G2283" s="50" t="s">
        <v>256</v>
      </c>
      <c r="H2283" s="50">
        <v>1</v>
      </c>
      <c r="M2283" t="str">
        <f>IF(COUNTIF($A:$A,E2283)=0,"Not Exists","Exists")</f>
        <v>Not Exists</v>
      </c>
      <c r="N2283" t="str">
        <f t="shared" si="113"/>
        <v>Not Exists</v>
      </c>
      <c r="O2283" t="str">
        <f t="shared" si="111"/>
        <v>Not Exists</v>
      </c>
      <c r="P2283" t="str">
        <f t="shared" si="112"/>
        <v>Not Exists</v>
      </c>
    </row>
    <row r="2284" spans="1:16">
      <c r="A2284">
        <v>1</v>
      </c>
      <c r="B2284">
        <v>1</v>
      </c>
      <c r="C2284">
        <v>1</v>
      </c>
      <c r="D2284">
        <v>1</v>
      </c>
      <c r="E2284" s="50" t="s">
        <v>2174</v>
      </c>
      <c r="F2284" s="50" t="s">
        <v>2157</v>
      </c>
      <c r="G2284" s="50" t="s">
        <v>256</v>
      </c>
      <c r="H2284" s="50">
        <v>1</v>
      </c>
      <c r="M2284" t="str">
        <f>IF(COUNTIF($A:$A,E2284)=0,"Not Exists","Exists")</f>
        <v>Not Exists</v>
      </c>
      <c r="N2284" t="str">
        <f t="shared" si="113"/>
        <v>Not Exists</v>
      </c>
      <c r="O2284" t="str">
        <f t="shared" si="111"/>
        <v>Not Exists</v>
      </c>
      <c r="P2284" t="str">
        <f t="shared" si="112"/>
        <v>Not Exists</v>
      </c>
    </row>
    <row r="2285" spans="1:16">
      <c r="A2285">
        <v>1</v>
      </c>
      <c r="B2285">
        <v>1</v>
      </c>
      <c r="C2285">
        <v>1</v>
      </c>
      <c r="D2285">
        <v>1</v>
      </c>
      <c r="E2285" s="50" t="s">
        <v>2174</v>
      </c>
      <c r="F2285" s="50" t="s">
        <v>826</v>
      </c>
      <c r="G2285" s="50" t="s">
        <v>256</v>
      </c>
      <c r="H2285" s="50">
        <v>1</v>
      </c>
      <c r="M2285" t="str">
        <f>IF(COUNTIF($A:$A,E2285)=0,"Not Exists","Exists")</f>
        <v>Not Exists</v>
      </c>
      <c r="N2285" t="str">
        <f t="shared" si="113"/>
        <v>Exists</v>
      </c>
      <c r="O2285" t="str">
        <f t="shared" si="111"/>
        <v>Not Exists</v>
      </c>
      <c r="P2285" t="str">
        <f t="shared" si="112"/>
        <v>Not Exists</v>
      </c>
    </row>
    <row r="2286" spans="1:16">
      <c r="A2286">
        <v>1</v>
      </c>
      <c r="B2286">
        <v>1</v>
      </c>
      <c r="C2286">
        <v>1</v>
      </c>
      <c r="D2286">
        <v>1</v>
      </c>
      <c r="E2286" s="50" t="s">
        <v>2174</v>
      </c>
      <c r="F2286" s="50" t="s">
        <v>400</v>
      </c>
      <c r="G2286" s="50" t="s">
        <v>256</v>
      </c>
      <c r="H2286" s="50">
        <v>50</v>
      </c>
      <c r="M2286" t="str">
        <f>IF(COUNTIF($A:$A,E2286)=0,"Not Exists","Exists")</f>
        <v>Not Exists</v>
      </c>
      <c r="N2286" t="str">
        <f t="shared" si="113"/>
        <v>Exists</v>
      </c>
      <c r="O2286" t="str">
        <f t="shared" si="111"/>
        <v>Not Exists</v>
      </c>
      <c r="P2286" t="str">
        <f t="shared" si="112"/>
        <v>Not Exists</v>
      </c>
    </row>
    <row r="2287" spans="1:16">
      <c r="A2287">
        <v>1</v>
      </c>
      <c r="B2287">
        <v>1</v>
      </c>
      <c r="C2287">
        <v>1</v>
      </c>
      <c r="D2287">
        <v>1</v>
      </c>
      <c r="E2287" s="50" t="s">
        <v>2174</v>
      </c>
      <c r="F2287" s="50" t="s">
        <v>2158</v>
      </c>
      <c r="G2287" s="50" t="s">
        <v>256</v>
      </c>
      <c r="H2287" s="50">
        <v>2000</v>
      </c>
      <c r="M2287" t="str">
        <f>IF(COUNTIF($A:$A,E2287)=0,"Not Exists","Exists")</f>
        <v>Not Exists</v>
      </c>
      <c r="N2287" t="str">
        <f t="shared" si="113"/>
        <v>Not Exists</v>
      </c>
      <c r="O2287" t="str">
        <f t="shared" si="111"/>
        <v>Not Exists</v>
      </c>
      <c r="P2287" t="str">
        <f t="shared" si="112"/>
        <v>Not Exists</v>
      </c>
    </row>
    <row r="2288" spans="1:16">
      <c r="A2288">
        <v>1</v>
      </c>
      <c r="B2288">
        <v>1</v>
      </c>
      <c r="C2288">
        <v>1</v>
      </c>
      <c r="D2288">
        <v>1</v>
      </c>
      <c r="E2288" s="50" t="s">
        <v>2174</v>
      </c>
      <c r="F2288" s="50" t="s">
        <v>2159</v>
      </c>
      <c r="G2288" s="50" t="s">
        <v>256</v>
      </c>
      <c r="H2288" s="50">
        <v>2000</v>
      </c>
      <c r="M2288" t="str">
        <f>IF(COUNTIF($A:$A,E2288)=0,"Not Exists","Exists")</f>
        <v>Not Exists</v>
      </c>
      <c r="N2288" t="str">
        <f t="shared" si="113"/>
        <v>Not Exists</v>
      </c>
      <c r="O2288" t="str">
        <f t="shared" si="111"/>
        <v>Not Exists</v>
      </c>
      <c r="P2288" t="str">
        <f t="shared" si="112"/>
        <v>Not Exists</v>
      </c>
    </row>
    <row r="2289" spans="1:16">
      <c r="A2289">
        <v>1</v>
      </c>
      <c r="B2289">
        <v>1</v>
      </c>
      <c r="C2289">
        <v>1</v>
      </c>
      <c r="D2289">
        <v>1</v>
      </c>
      <c r="E2289" s="50" t="s">
        <v>2174</v>
      </c>
      <c r="F2289" s="50" t="s">
        <v>315</v>
      </c>
      <c r="G2289" s="50" t="s">
        <v>256</v>
      </c>
      <c r="H2289" s="50">
        <v>17</v>
      </c>
      <c r="M2289" t="str">
        <f>IF(COUNTIF($A:$A,E2289)=0,"Not Exists","Exists")</f>
        <v>Not Exists</v>
      </c>
      <c r="N2289" t="str">
        <f t="shared" si="113"/>
        <v>Exists</v>
      </c>
      <c r="O2289" t="str">
        <f t="shared" si="111"/>
        <v>Not Exists</v>
      </c>
      <c r="P2289" t="str">
        <f t="shared" si="112"/>
        <v>Not Exists</v>
      </c>
    </row>
    <row r="2290" spans="1:16">
      <c r="A2290">
        <v>1</v>
      </c>
      <c r="B2290">
        <v>1</v>
      </c>
      <c r="C2290">
        <v>1</v>
      </c>
      <c r="D2290">
        <v>1</v>
      </c>
      <c r="E2290" s="50" t="s">
        <v>2174</v>
      </c>
      <c r="F2290" s="50" t="s">
        <v>317</v>
      </c>
      <c r="G2290" s="50" t="s">
        <v>256</v>
      </c>
      <c r="H2290" s="50">
        <v>17</v>
      </c>
      <c r="M2290" t="str">
        <f>IF(COUNTIF($A:$A,E2290)=0,"Not Exists","Exists")</f>
        <v>Not Exists</v>
      </c>
      <c r="N2290" t="str">
        <f t="shared" si="113"/>
        <v>Exists</v>
      </c>
      <c r="O2290" t="str">
        <f t="shared" si="111"/>
        <v>Not Exists</v>
      </c>
      <c r="P2290" t="str">
        <f t="shared" si="112"/>
        <v>Not Exists</v>
      </c>
    </row>
    <row r="2291" spans="1:16">
      <c r="A2291">
        <v>1</v>
      </c>
      <c r="B2291">
        <v>1</v>
      </c>
      <c r="C2291">
        <v>1</v>
      </c>
      <c r="D2291">
        <v>1</v>
      </c>
      <c r="E2291" s="50" t="s">
        <v>2174</v>
      </c>
      <c r="F2291" s="50" t="s">
        <v>316</v>
      </c>
      <c r="G2291" s="50" t="s">
        <v>256</v>
      </c>
      <c r="H2291" s="50">
        <v>50</v>
      </c>
      <c r="M2291" t="str">
        <f>IF(COUNTIF($A:$A,E2291)=0,"Not Exists","Exists")</f>
        <v>Not Exists</v>
      </c>
      <c r="N2291" t="str">
        <f t="shared" si="113"/>
        <v>Exists</v>
      </c>
      <c r="O2291" t="str">
        <f t="shared" si="111"/>
        <v>Not Exists</v>
      </c>
      <c r="P2291" t="str">
        <f t="shared" si="112"/>
        <v>Not Exists</v>
      </c>
    </row>
    <row r="2292" spans="1:16">
      <c r="A2292">
        <v>1</v>
      </c>
      <c r="B2292">
        <v>1</v>
      </c>
      <c r="C2292">
        <v>1</v>
      </c>
      <c r="D2292">
        <v>1</v>
      </c>
      <c r="E2292" s="50" t="s">
        <v>2174</v>
      </c>
      <c r="F2292" s="50" t="s">
        <v>318</v>
      </c>
      <c r="G2292" s="50" t="s">
        <v>256</v>
      </c>
      <c r="H2292" s="50">
        <v>50</v>
      </c>
      <c r="M2292" t="str">
        <f>IF(COUNTIF($A:$A,E2292)=0,"Not Exists","Exists")</f>
        <v>Not Exists</v>
      </c>
      <c r="N2292" t="str">
        <f t="shared" si="113"/>
        <v>Exists</v>
      </c>
      <c r="O2292" t="str">
        <f t="shared" si="111"/>
        <v>Not Exists</v>
      </c>
      <c r="P2292" t="str">
        <f t="shared" si="112"/>
        <v>Not Exists</v>
      </c>
    </row>
    <row r="2293" spans="1:16">
      <c r="A2293">
        <v>1</v>
      </c>
      <c r="B2293">
        <v>1</v>
      </c>
      <c r="C2293">
        <v>1</v>
      </c>
      <c r="D2293">
        <v>1</v>
      </c>
      <c r="E2293" s="50" t="s">
        <v>2177</v>
      </c>
      <c r="F2293" s="50" t="s">
        <v>2178</v>
      </c>
      <c r="G2293" s="50" t="s">
        <v>256</v>
      </c>
      <c r="H2293" s="50">
        <v>50</v>
      </c>
      <c r="M2293" t="str">
        <f>IF(COUNTIF($A:$A,E2293)=0,"Not Exists","Exists")</f>
        <v>Not Exists</v>
      </c>
      <c r="N2293" t="str">
        <f t="shared" si="113"/>
        <v>Not Exists</v>
      </c>
      <c r="O2293" t="str">
        <f t="shared" si="111"/>
        <v>Not Exists</v>
      </c>
      <c r="P2293" t="str">
        <f t="shared" si="112"/>
        <v>Not Exists</v>
      </c>
    </row>
    <row r="2294" spans="1:16">
      <c r="A2294">
        <v>1</v>
      </c>
      <c r="B2294">
        <v>1</v>
      </c>
      <c r="C2294">
        <v>1</v>
      </c>
      <c r="D2294">
        <v>1</v>
      </c>
      <c r="E2294" s="50" t="s">
        <v>2177</v>
      </c>
      <c r="F2294" s="50" t="s">
        <v>2179</v>
      </c>
      <c r="G2294" s="50" t="s">
        <v>254</v>
      </c>
      <c r="H2294" s="50">
        <v>22</v>
      </c>
      <c r="M2294" t="str">
        <f>IF(COUNTIF($A:$A,E2294)=0,"Not Exists","Exists")</f>
        <v>Not Exists</v>
      </c>
      <c r="N2294" t="str">
        <f t="shared" si="113"/>
        <v>Not Exists</v>
      </c>
      <c r="O2294" t="str">
        <f t="shared" si="111"/>
        <v>Not Exists</v>
      </c>
      <c r="P2294" t="str">
        <f t="shared" si="112"/>
        <v>Not Exists</v>
      </c>
    </row>
    <row r="2295" spans="1:16">
      <c r="A2295">
        <v>1</v>
      </c>
      <c r="B2295">
        <v>1</v>
      </c>
      <c r="C2295">
        <v>1</v>
      </c>
      <c r="D2295">
        <v>1</v>
      </c>
      <c r="E2295" s="50" t="s">
        <v>2177</v>
      </c>
      <c r="F2295" s="50" t="s">
        <v>317</v>
      </c>
      <c r="G2295" s="50" t="s">
        <v>256</v>
      </c>
      <c r="H2295" s="50">
        <v>17</v>
      </c>
      <c r="M2295" t="str">
        <f>IF(COUNTIF($A:$A,E2295)=0,"Not Exists","Exists")</f>
        <v>Not Exists</v>
      </c>
      <c r="N2295" t="str">
        <f t="shared" si="113"/>
        <v>Exists</v>
      </c>
      <c r="O2295" t="str">
        <f t="shared" si="111"/>
        <v>Not Exists</v>
      </c>
      <c r="P2295" t="str">
        <f t="shared" si="112"/>
        <v>Not Exists</v>
      </c>
    </row>
    <row r="2296" spans="1:16">
      <c r="A2296">
        <v>1</v>
      </c>
      <c r="B2296">
        <v>1</v>
      </c>
      <c r="C2296">
        <v>1</v>
      </c>
      <c r="D2296">
        <v>1</v>
      </c>
      <c r="E2296" s="50" t="s">
        <v>2177</v>
      </c>
      <c r="F2296" s="50" t="s">
        <v>318</v>
      </c>
      <c r="G2296" s="50" t="s">
        <v>256</v>
      </c>
      <c r="H2296" s="50">
        <v>50</v>
      </c>
      <c r="M2296" t="str">
        <f>IF(COUNTIF($A:$A,E2296)=0,"Not Exists","Exists")</f>
        <v>Not Exists</v>
      </c>
      <c r="N2296" t="str">
        <f t="shared" si="113"/>
        <v>Exists</v>
      </c>
      <c r="O2296" t="str">
        <f t="shared" si="111"/>
        <v>Not Exists</v>
      </c>
      <c r="P2296" t="str">
        <f t="shared" si="112"/>
        <v>Not Exists</v>
      </c>
    </row>
    <row r="2297" spans="1:16">
      <c r="A2297">
        <v>1</v>
      </c>
      <c r="B2297">
        <v>1</v>
      </c>
      <c r="C2297">
        <v>1</v>
      </c>
      <c r="D2297">
        <v>1</v>
      </c>
      <c r="E2297" s="50" t="s">
        <v>2177</v>
      </c>
      <c r="F2297" s="50" t="s">
        <v>315</v>
      </c>
      <c r="G2297" s="50" t="s">
        <v>256</v>
      </c>
      <c r="H2297" s="50">
        <v>17</v>
      </c>
      <c r="M2297" t="str">
        <f>IF(COUNTIF($A:$A,E2297)=0,"Not Exists","Exists")</f>
        <v>Not Exists</v>
      </c>
      <c r="N2297" t="str">
        <f t="shared" si="113"/>
        <v>Exists</v>
      </c>
      <c r="O2297" t="str">
        <f t="shared" si="111"/>
        <v>Not Exists</v>
      </c>
      <c r="P2297" t="str">
        <f t="shared" si="112"/>
        <v>Not Exists</v>
      </c>
    </row>
    <row r="2298" spans="1:16">
      <c r="A2298">
        <v>1</v>
      </c>
      <c r="B2298">
        <v>1</v>
      </c>
      <c r="C2298">
        <v>1</v>
      </c>
      <c r="D2298">
        <v>1</v>
      </c>
      <c r="E2298" s="50" t="s">
        <v>2177</v>
      </c>
      <c r="F2298" s="50" t="s">
        <v>316</v>
      </c>
      <c r="G2298" s="50" t="s">
        <v>256</v>
      </c>
      <c r="H2298" s="50">
        <v>50</v>
      </c>
      <c r="M2298" t="str">
        <f>IF(COUNTIF($A:$A,E2298)=0,"Not Exists","Exists")</f>
        <v>Not Exists</v>
      </c>
      <c r="N2298" t="str">
        <f t="shared" si="113"/>
        <v>Exists</v>
      </c>
      <c r="O2298" t="str">
        <f t="shared" si="111"/>
        <v>Not Exists</v>
      </c>
      <c r="P2298" t="str">
        <f t="shared" si="112"/>
        <v>Not Exists</v>
      </c>
    </row>
    <row r="2299" spans="1:16">
      <c r="A2299">
        <v>1</v>
      </c>
      <c r="B2299">
        <v>1</v>
      </c>
      <c r="C2299">
        <v>1</v>
      </c>
      <c r="D2299">
        <v>1</v>
      </c>
      <c r="E2299" s="50" t="s">
        <v>2177</v>
      </c>
      <c r="F2299" s="50" t="s">
        <v>2180</v>
      </c>
      <c r="G2299" s="50" t="s">
        <v>256</v>
      </c>
      <c r="H2299" s="50">
        <v>200</v>
      </c>
      <c r="M2299" t="str">
        <f>IF(COUNTIF($A:$A,E2299)=0,"Not Exists","Exists")</f>
        <v>Not Exists</v>
      </c>
      <c r="N2299" t="str">
        <f t="shared" si="113"/>
        <v>Not Exists</v>
      </c>
      <c r="O2299" t="str">
        <f t="shared" si="111"/>
        <v>Not Exists</v>
      </c>
      <c r="P2299" t="str">
        <f t="shared" si="112"/>
        <v>Not Exists</v>
      </c>
    </row>
    <row r="2300" spans="1:16">
      <c r="A2300">
        <v>1</v>
      </c>
      <c r="B2300">
        <v>1</v>
      </c>
      <c r="C2300">
        <v>1</v>
      </c>
      <c r="D2300">
        <v>1</v>
      </c>
      <c r="E2300" s="50" t="s">
        <v>2177</v>
      </c>
      <c r="F2300" s="50" t="s">
        <v>2181</v>
      </c>
      <c r="G2300" s="50" t="s">
        <v>256</v>
      </c>
      <c r="H2300" s="50">
        <v>50</v>
      </c>
      <c r="M2300" t="str">
        <f>IF(COUNTIF($A:$A,E2300)=0,"Not Exists","Exists")</f>
        <v>Not Exists</v>
      </c>
      <c r="N2300" t="str">
        <f t="shared" si="113"/>
        <v>Not Exists</v>
      </c>
      <c r="O2300" t="str">
        <f t="shared" si="111"/>
        <v>Not Exists</v>
      </c>
      <c r="P2300" t="str">
        <f t="shared" si="112"/>
        <v>Not Exists</v>
      </c>
    </row>
    <row r="2301" spans="1:16">
      <c r="A2301">
        <v>1</v>
      </c>
      <c r="B2301">
        <v>1</v>
      </c>
      <c r="C2301">
        <v>1</v>
      </c>
      <c r="D2301">
        <v>1</v>
      </c>
      <c r="E2301" s="50" t="s">
        <v>2177</v>
      </c>
      <c r="F2301" s="50" t="s">
        <v>2182</v>
      </c>
      <c r="G2301" s="50" t="s">
        <v>256</v>
      </c>
      <c r="H2301" s="50">
        <v>40</v>
      </c>
      <c r="M2301" t="str">
        <f>IF(COUNTIF($A:$A,E2301)=0,"Not Exists","Exists")</f>
        <v>Not Exists</v>
      </c>
      <c r="N2301" t="str">
        <f t="shared" si="113"/>
        <v>Not Exists</v>
      </c>
      <c r="O2301" t="str">
        <f t="shared" si="111"/>
        <v>Not Exists</v>
      </c>
      <c r="P2301" t="str">
        <f t="shared" si="112"/>
        <v>Not Exists</v>
      </c>
    </row>
    <row r="2302" spans="1:16">
      <c r="A2302">
        <v>1</v>
      </c>
      <c r="B2302">
        <v>1</v>
      </c>
      <c r="C2302">
        <v>1</v>
      </c>
      <c r="D2302">
        <v>1</v>
      </c>
      <c r="E2302" s="50" t="s">
        <v>2183</v>
      </c>
      <c r="F2302" s="50" t="s">
        <v>2178</v>
      </c>
      <c r="G2302" s="50" t="s">
        <v>256</v>
      </c>
      <c r="H2302" s="50">
        <v>50</v>
      </c>
      <c r="M2302" t="str">
        <f>IF(COUNTIF($A:$A,E2302)=0,"Not Exists","Exists")</f>
        <v>Not Exists</v>
      </c>
      <c r="N2302" t="str">
        <f t="shared" si="113"/>
        <v>Not Exists</v>
      </c>
      <c r="O2302" t="str">
        <f t="shared" si="111"/>
        <v>Not Exists</v>
      </c>
      <c r="P2302" t="str">
        <f t="shared" si="112"/>
        <v>Not Exists</v>
      </c>
    </row>
    <row r="2303" spans="1:16">
      <c r="A2303">
        <v>1</v>
      </c>
      <c r="B2303">
        <v>1</v>
      </c>
      <c r="C2303">
        <v>1</v>
      </c>
      <c r="D2303">
        <v>1</v>
      </c>
      <c r="E2303" s="50" t="s">
        <v>2183</v>
      </c>
      <c r="F2303" s="50" t="s">
        <v>317</v>
      </c>
      <c r="G2303" s="50" t="s">
        <v>256</v>
      </c>
      <c r="H2303" s="50">
        <v>17</v>
      </c>
      <c r="M2303" t="str">
        <f>IF(COUNTIF($A:$A,E2303)=0,"Not Exists","Exists")</f>
        <v>Not Exists</v>
      </c>
      <c r="N2303" t="str">
        <f t="shared" si="113"/>
        <v>Exists</v>
      </c>
      <c r="O2303" t="str">
        <f t="shared" si="111"/>
        <v>Not Exists</v>
      </c>
      <c r="P2303" t="str">
        <f t="shared" si="112"/>
        <v>Not Exists</v>
      </c>
    </row>
    <row r="2304" spans="1:16">
      <c r="A2304">
        <v>1</v>
      </c>
      <c r="B2304">
        <v>1</v>
      </c>
      <c r="C2304">
        <v>1</v>
      </c>
      <c r="D2304">
        <v>1</v>
      </c>
      <c r="E2304" s="50" t="s">
        <v>2183</v>
      </c>
      <c r="F2304" s="50" t="s">
        <v>318</v>
      </c>
      <c r="G2304" s="50" t="s">
        <v>256</v>
      </c>
      <c r="H2304" s="50">
        <v>50</v>
      </c>
      <c r="M2304" t="str">
        <f>IF(COUNTIF($A:$A,E2304)=0,"Not Exists","Exists")</f>
        <v>Not Exists</v>
      </c>
      <c r="N2304" t="str">
        <f t="shared" si="113"/>
        <v>Exists</v>
      </c>
      <c r="O2304" t="str">
        <f t="shared" si="111"/>
        <v>Not Exists</v>
      </c>
      <c r="P2304" t="str">
        <f t="shared" si="112"/>
        <v>Not Exists</v>
      </c>
    </row>
    <row r="2305" spans="1:16">
      <c r="A2305">
        <v>1</v>
      </c>
      <c r="B2305">
        <v>1</v>
      </c>
      <c r="C2305">
        <v>1</v>
      </c>
      <c r="D2305">
        <v>1</v>
      </c>
      <c r="E2305" s="50" t="s">
        <v>2183</v>
      </c>
      <c r="F2305" s="50" t="s">
        <v>315</v>
      </c>
      <c r="G2305" s="50" t="s">
        <v>256</v>
      </c>
      <c r="H2305" s="50">
        <v>17</v>
      </c>
      <c r="M2305" t="str">
        <f>IF(COUNTIF($A:$A,E2305)=0,"Not Exists","Exists")</f>
        <v>Not Exists</v>
      </c>
      <c r="N2305" t="str">
        <f t="shared" si="113"/>
        <v>Exists</v>
      </c>
      <c r="O2305" t="str">
        <f t="shared" si="111"/>
        <v>Not Exists</v>
      </c>
      <c r="P2305" t="str">
        <f t="shared" si="112"/>
        <v>Not Exists</v>
      </c>
    </row>
    <row r="2306" spans="1:16">
      <c r="A2306">
        <v>1</v>
      </c>
      <c r="B2306">
        <v>1</v>
      </c>
      <c r="C2306">
        <v>1</v>
      </c>
      <c r="D2306">
        <v>1</v>
      </c>
      <c r="E2306" s="50" t="s">
        <v>2183</v>
      </c>
      <c r="F2306" s="50" t="s">
        <v>316</v>
      </c>
      <c r="G2306" s="50" t="s">
        <v>256</v>
      </c>
      <c r="H2306" s="50">
        <v>50</v>
      </c>
      <c r="M2306" t="str">
        <f>IF(COUNTIF($A:$A,E2306)=0,"Not Exists","Exists")</f>
        <v>Not Exists</v>
      </c>
      <c r="N2306" t="str">
        <f t="shared" si="113"/>
        <v>Exists</v>
      </c>
      <c r="O2306" t="str">
        <f t="shared" si="111"/>
        <v>Not Exists</v>
      </c>
      <c r="P2306" t="str">
        <f t="shared" si="112"/>
        <v>Not Exists</v>
      </c>
    </row>
    <row r="2307" spans="1:16">
      <c r="A2307">
        <v>1</v>
      </c>
      <c r="B2307">
        <v>1</v>
      </c>
      <c r="C2307">
        <v>1</v>
      </c>
      <c r="D2307">
        <v>1</v>
      </c>
      <c r="E2307" s="50" t="s">
        <v>2183</v>
      </c>
      <c r="F2307" s="50" t="s">
        <v>2184</v>
      </c>
      <c r="G2307" s="50" t="s">
        <v>256</v>
      </c>
      <c r="H2307" s="50">
        <v>450</v>
      </c>
      <c r="M2307" t="str">
        <f>IF(COUNTIF($A:$A,E2307)=0,"Not Exists","Exists")</f>
        <v>Not Exists</v>
      </c>
      <c r="N2307" t="str">
        <f t="shared" si="113"/>
        <v>Not Exists</v>
      </c>
      <c r="O2307" t="str">
        <f t="shared" si="111"/>
        <v>Not Exists</v>
      </c>
      <c r="P2307" t="str">
        <f t="shared" si="112"/>
        <v>Not Exists</v>
      </c>
    </row>
    <row r="2308" spans="1:16">
      <c r="A2308">
        <v>1</v>
      </c>
      <c r="B2308">
        <v>1</v>
      </c>
      <c r="C2308">
        <v>1</v>
      </c>
      <c r="D2308">
        <v>1</v>
      </c>
      <c r="E2308" s="50" t="s">
        <v>2183</v>
      </c>
      <c r="F2308" s="50" t="s">
        <v>2185</v>
      </c>
      <c r="G2308" s="50" t="s">
        <v>256</v>
      </c>
      <c r="H2308" s="50">
        <v>50</v>
      </c>
      <c r="M2308" t="str">
        <f>IF(COUNTIF($A:$A,E2308)=0,"Not Exists","Exists")</f>
        <v>Not Exists</v>
      </c>
      <c r="N2308" t="str">
        <f t="shared" si="113"/>
        <v>Not Exists</v>
      </c>
      <c r="O2308" t="str">
        <f t="shared" ref="O2308:O2371" si="114">IF(COUNTIF($E:$E,A2308)=0,"Not Exists","Exists")</f>
        <v>Not Exists</v>
      </c>
      <c r="P2308" t="str">
        <f t="shared" ref="P2308:P2371" si="115">IF(COUNTIF($F:$F,B2308)=0,"Not Exists","Exists")</f>
        <v>Not Exists</v>
      </c>
    </row>
    <row r="2309" spans="1:16">
      <c r="A2309">
        <v>1</v>
      </c>
      <c r="B2309">
        <v>1</v>
      </c>
      <c r="C2309">
        <v>1</v>
      </c>
      <c r="D2309">
        <v>1</v>
      </c>
      <c r="E2309" s="50" t="s">
        <v>2183</v>
      </c>
      <c r="F2309" s="50" t="s">
        <v>2186</v>
      </c>
      <c r="G2309" s="50" t="s">
        <v>256</v>
      </c>
      <c r="H2309" s="50">
        <v>50</v>
      </c>
      <c r="M2309" t="str">
        <f>IF(COUNTIF($A:$A,E2309)=0,"Not Exists","Exists")</f>
        <v>Not Exists</v>
      </c>
      <c r="N2309" t="str">
        <f t="shared" si="113"/>
        <v>Not Exists</v>
      </c>
      <c r="O2309" t="str">
        <f t="shared" si="114"/>
        <v>Not Exists</v>
      </c>
      <c r="P2309" t="str">
        <f t="shared" si="115"/>
        <v>Not Exists</v>
      </c>
    </row>
    <row r="2310" spans="1:16">
      <c r="A2310">
        <v>1</v>
      </c>
      <c r="B2310">
        <v>1</v>
      </c>
      <c r="C2310">
        <v>1</v>
      </c>
      <c r="D2310">
        <v>1</v>
      </c>
      <c r="E2310" s="50" t="s">
        <v>2183</v>
      </c>
      <c r="F2310" s="50" t="s">
        <v>2187</v>
      </c>
      <c r="G2310" s="50" t="s">
        <v>256</v>
      </c>
      <c r="H2310" s="50">
        <v>8</v>
      </c>
      <c r="M2310" t="str">
        <f>IF(COUNTIF($A:$A,E2310)=0,"Not Exists","Exists")</f>
        <v>Not Exists</v>
      </c>
      <c r="N2310" t="str">
        <f t="shared" si="113"/>
        <v>Not Exists</v>
      </c>
      <c r="O2310" t="str">
        <f t="shared" si="114"/>
        <v>Not Exists</v>
      </c>
      <c r="P2310" t="str">
        <f t="shared" si="115"/>
        <v>Not Exists</v>
      </c>
    </row>
    <row r="2311" spans="1:16">
      <c r="A2311">
        <v>1</v>
      </c>
      <c r="B2311">
        <v>1</v>
      </c>
      <c r="C2311">
        <v>1</v>
      </c>
      <c r="D2311">
        <v>1</v>
      </c>
      <c r="E2311" s="50" t="s">
        <v>2183</v>
      </c>
      <c r="F2311" s="50" t="s">
        <v>2188</v>
      </c>
      <c r="G2311" s="50" t="s">
        <v>256</v>
      </c>
      <c r="H2311" s="50">
        <v>8</v>
      </c>
      <c r="M2311" t="str">
        <f>IF(COUNTIF($A:$A,E2311)=0,"Not Exists","Exists")</f>
        <v>Not Exists</v>
      </c>
      <c r="N2311" t="str">
        <f t="shared" si="113"/>
        <v>Not Exists</v>
      </c>
      <c r="O2311" t="str">
        <f t="shared" si="114"/>
        <v>Not Exists</v>
      </c>
      <c r="P2311" t="str">
        <f t="shared" si="115"/>
        <v>Not Exists</v>
      </c>
    </row>
    <row r="2312" spans="1:16">
      <c r="A2312">
        <v>1</v>
      </c>
      <c r="B2312">
        <v>1</v>
      </c>
      <c r="C2312">
        <v>1</v>
      </c>
      <c r="D2312">
        <v>1</v>
      </c>
      <c r="E2312" s="50" t="s">
        <v>2183</v>
      </c>
      <c r="F2312" s="50" t="s">
        <v>2189</v>
      </c>
      <c r="G2312" s="50" t="s">
        <v>256</v>
      </c>
      <c r="H2312" s="50">
        <v>8</v>
      </c>
      <c r="M2312" t="str">
        <f>IF(COUNTIF($A:$A,E2312)=0,"Not Exists","Exists")</f>
        <v>Not Exists</v>
      </c>
      <c r="N2312" t="str">
        <f t="shared" si="113"/>
        <v>Not Exists</v>
      </c>
      <c r="O2312" t="str">
        <f t="shared" si="114"/>
        <v>Not Exists</v>
      </c>
      <c r="P2312" t="str">
        <f t="shared" si="115"/>
        <v>Not Exists</v>
      </c>
    </row>
    <row r="2313" spans="1:16">
      <c r="A2313">
        <v>1</v>
      </c>
      <c r="B2313">
        <v>1</v>
      </c>
      <c r="C2313">
        <v>1</v>
      </c>
      <c r="D2313">
        <v>1</v>
      </c>
      <c r="E2313" s="50" t="s">
        <v>2183</v>
      </c>
      <c r="F2313" s="50" t="s">
        <v>2190</v>
      </c>
      <c r="G2313" s="50" t="s">
        <v>256</v>
      </c>
      <c r="H2313" s="50">
        <v>8</v>
      </c>
      <c r="M2313" t="str">
        <f>IF(COUNTIF($A:$A,E2313)=0,"Not Exists","Exists")</f>
        <v>Not Exists</v>
      </c>
      <c r="N2313" t="str">
        <f t="shared" si="113"/>
        <v>Not Exists</v>
      </c>
      <c r="O2313" t="str">
        <f t="shared" si="114"/>
        <v>Not Exists</v>
      </c>
      <c r="P2313" t="str">
        <f t="shared" si="115"/>
        <v>Not Exists</v>
      </c>
    </row>
    <row r="2314" spans="1:16">
      <c r="A2314">
        <v>1</v>
      </c>
      <c r="B2314">
        <v>1</v>
      </c>
      <c r="C2314">
        <v>1</v>
      </c>
      <c r="D2314">
        <v>1</v>
      </c>
      <c r="E2314" s="50" t="s">
        <v>2183</v>
      </c>
      <c r="F2314" s="50" t="s">
        <v>373</v>
      </c>
      <c r="G2314" s="50" t="s">
        <v>256</v>
      </c>
      <c r="H2314" s="50">
        <v>2</v>
      </c>
      <c r="M2314" t="str">
        <f>IF(COUNTIF($A:$A,E2314)=0,"Not Exists","Exists")</f>
        <v>Not Exists</v>
      </c>
      <c r="N2314" t="str">
        <f t="shared" si="113"/>
        <v>Exists</v>
      </c>
      <c r="O2314" t="str">
        <f t="shared" si="114"/>
        <v>Not Exists</v>
      </c>
      <c r="P2314" t="str">
        <f t="shared" si="115"/>
        <v>Not Exists</v>
      </c>
    </row>
    <row r="2315" spans="1:16">
      <c r="A2315">
        <v>1</v>
      </c>
      <c r="B2315">
        <v>1</v>
      </c>
      <c r="C2315">
        <v>1</v>
      </c>
      <c r="D2315">
        <v>1</v>
      </c>
      <c r="E2315" s="50" t="s">
        <v>2191</v>
      </c>
      <c r="F2315" s="50" t="s">
        <v>2181</v>
      </c>
      <c r="G2315" s="50" t="s">
        <v>256</v>
      </c>
      <c r="H2315" s="50">
        <v>50</v>
      </c>
      <c r="M2315" t="str">
        <f>IF(COUNTIF($A:$A,E2315)=0,"Not Exists","Exists")</f>
        <v>Not Exists</v>
      </c>
      <c r="N2315" t="str">
        <f t="shared" si="113"/>
        <v>Not Exists</v>
      </c>
      <c r="O2315" t="str">
        <f t="shared" si="114"/>
        <v>Not Exists</v>
      </c>
      <c r="P2315" t="str">
        <f t="shared" si="115"/>
        <v>Not Exists</v>
      </c>
    </row>
    <row r="2316" spans="1:16">
      <c r="A2316">
        <v>1</v>
      </c>
      <c r="B2316">
        <v>1</v>
      </c>
      <c r="C2316">
        <v>1</v>
      </c>
      <c r="D2316">
        <v>1</v>
      </c>
      <c r="E2316" s="50" t="s">
        <v>2191</v>
      </c>
      <c r="F2316" s="50" t="s">
        <v>317</v>
      </c>
      <c r="G2316" s="50" t="s">
        <v>251</v>
      </c>
      <c r="H2316" s="50">
        <v>17</v>
      </c>
      <c r="M2316" t="str">
        <f>IF(COUNTIF($A:$A,E2316)=0,"Not Exists","Exists")</f>
        <v>Not Exists</v>
      </c>
      <c r="N2316" t="str">
        <f t="shared" si="113"/>
        <v>Exists</v>
      </c>
      <c r="O2316" t="str">
        <f t="shared" si="114"/>
        <v>Not Exists</v>
      </c>
      <c r="P2316" t="str">
        <f t="shared" si="115"/>
        <v>Not Exists</v>
      </c>
    </row>
    <row r="2317" spans="1:16">
      <c r="A2317">
        <v>1</v>
      </c>
      <c r="B2317">
        <v>1</v>
      </c>
      <c r="C2317">
        <v>1</v>
      </c>
      <c r="D2317">
        <v>1</v>
      </c>
      <c r="E2317" s="50" t="s">
        <v>2191</v>
      </c>
      <c r="F2317" s="50" t="s">
        <v>318</v>
      </c>
      <c r="G2317" s="50" t="s">
        <v>256</v>
      </c>
      <c r="H2317" s="50">
        <v>50</v>
      </c>
      <c r="M2317" t="str">
        <f>IF(COUNTIF($A:$A,E2317)=0,"Not Exists","Exists")</f>
        <v>Not Exists</v>
      </c>
      <c r="N2317" t="str">
        <f t="shared" si="113"/>
        <v>Exists</v>
      </c>
      <c r="O2317" t="str">
        <f t="shared" si="114"/>
        <v>Not Exists</v>
      </c>
      <c r="P2317" t="str">
        <f t="shared" si="115"/>
        <v>Not Exists</v>
      </c>
    </row>
    <row r="2318" spans="1:16">
      <c r="A2318">
        <v>1</v>
      </c>
      <c r="B2318">
        <v>1</v>
      </c>
      <c r="C2318">
        <v>1</v>
      </c>
      <c r="D2318">
        <v>1</v>
      </c>
      <c r="E2318" s="50" t="s">
        <v>2191</v>
      </c>
      <c r="F2318" s="50" t="s">
        <v>315</v>
      </c>
      <c r="G2318" s="50" t="s">
        <v>251</v>
      </c>
      <c r="H2318" s="50">
        <v>17</v>
      </c>
      <c r="M2318" t="str">
        <f>IF(COUNTIF($A:$A,E2318)=0,"Not Exists","Exists")</f>
        <v>Not Exists</v>
      </c>
      <c r="N2318" t="str">
        <f t="shared" si="113"/>
        <v>Exists</v>
      </c>
      <c r="O2318" t="str">
        <f t="shared" si="114"/>
        <v>Not Exists</v>
      </c>
      <c r="P2318" t="str">
        <f t="shared" si="115"/>
        <v>Not Exists</v>
      </c>
    </row>
    <row r="2319" spans="1:16">
      <c r="A2319">
        <v>1</v>
      </c>
      <c r="B2319">
        <v>1</v>
      </c>
      <c r="C2319">
        <v>1</v>
      </c>
      <c r="D2319">
        <v>1</v>
      </c>
      <c r="E2319" s="50" t="s">
        <v>2191</v>
      </c>
      <c r="F2319" s="50" t="s">
        <v>316</v>
      </c>
      <c r="G2319" s="50" t="s">
        <v>256</v>
      </c>
      <c r="H2319" s="50">
        <v>50</v>
      </c>
      <c r="M2319" t="str">
        <f>IF(COUNTIF($A:$A,E2319)=0,"Not Exists","Exists")</f>
        <v>Not Exists</v>
      </c>
      <c r="N2319" t="str">
        <f t="shared" si="113"/>
        <v>Exists</v>
      </c>
      <c r="O2319" t="str">
        <f t="shared" si="114"/>
        <v>Not Exists</v>
      </c>
      <c r="P2319" t="str">
        <f t="shared" si="115"/>
        <v>Not Exists</v>
      </c>
    </row>
    <row r="2320" spans="1:16">
      <c r="A2320">
        <v>1</v>
      </c>
      <c r="B2320">
        <v>1</v>
      </c>
      <c r="C2320">
        <v>1</v>
      </c>
      <c r="D2320">
        <v>1</v>
      </c>
      <c r="E2320" s="50" t="s">
        <v>2191</v>
      </c>
      <c r="F2320" s="50" t="s">
        <v>2192</v>
      </c>
      <c r="G2320" s="50" t="s">
        <v>256</v>
      </c>
      <c r="H2320" s="50">
        <v>450</v>
      </c>
      <c r="M2320" t="str">
        <f>IF(COUNTIF($A:$A,E2320)=0,"Not Exists","Exists")</f>
        <v>Not Exists</v>
      </c>
      <c r="N2320" t="str">
        <f t="shared" ref="N2320:N2369" si="116">IF(COUNTIF($A:$B,F2320)=0,"Not Exists","Exists")</f>
        <v>Not Exists</v>
      </c>
      <c r="O2320" t="str">
        <f t="shared" si="114"/>
        <v>Not Exists</v>
      </c>
      <c r="P2320" t="str">
        <f t="shared" si="115"/>
        <v>Not Exists</v>
      </c>
    </row>
    <row r="2321" spans="1:16">
      <c r="A2321">
        <v>1</v>
      </c>
      <c r="B2321">
        <v>1</v>
      </c>
      <c r="C2321">
        <v>1</v>
      </c>
      <c r="D2321">
        <v>1</v>
      </c>
      <c r="E2321" s="50" t="s">
        <v>2191</v>
      </c>
      <c r="F2321" s="50" t="s">
        <v>2193</v>
      </c>
      <c r="G2321" s="50" t="s">
        <v>256</v>
      </c>
      <c r="H2321" s="50">
        <v>50</v>
      </c>
      <c r="M2321" t="str">
        <f>IF(COUNTIF($A:$A,E2321)=0,"Not Exists","Exists")</f>
        <v>Not Exists</v>
      </c>
      <c r="N2321" t="str">
        <f t="shared" si="116"/>
        <v>Not Exists</v>
      </c>
      <c r="O2321" t="str">
        <f t="shared" si="114"/>
        <v>Not Exists</v>
      </c>
      <c r="P2321" t="str">
        <f t="shared" si="115"/>
        <v>Not Exists</v>
      </c>
    </row>
    <row r="2322" spans="1:16">
      <c r="A2322">
        <v>1</v>
      </c>
      <c r="B2322">
        <v>1</v>
      </c>
      <c r="C2322">
        <v>1</v>
      </c>
      <c r="D2322">
        <v>1</v>
      </c>
      <c r="E2322" s="50" t="s">
        <v>2191</v>
      </c>
      <c r="F2322" s="50" t="s">
        <v>2194</v>
      </c>
      <c r="G2322" s="50" t="s">
        <v>256</v>
      </c>
      <c r="H2322" s="50">
        <v>100</v>
      </c>
      <c r="M2322" t="str">
        <f>IF(COUNTIF($A:$A,E2322)=0,"Not Exists","Exists")</f>
        <v>Not Exists</v>
      </c>
      <c r="N2322" t="str">
        <f t="shared" si="116"/>
        <v>Not Exists</v>
      </c>
      <c r="O2322" t="str">
        <f t="shared" si="114"/>
        <v>Not Exists</v>
      </c>
      <c r="P2322" t="str">
        <f t="shared" si="115"/>
        <v>Not Exists</v>
      </c>
    </row>
    <row r="2323" spans="1:16">
      <c r="A2323">
        <v>1</v>
      </c>
      <c r="B2323">
        <v>1</v>
      </c>
      <c r="C2323">
        <v>1</v>
      </c>
      <c r="D2323">
        <v>1</v>
      </c>
      <c r="E2323" s="50" t="s">
        <v>2191</v>
      </c>
      <c r="F2323" s="50" t="s">
        <v>2195</v>
      </c>
      <c r="G2323" s="50" t="s">
        <v>256</v>
      </c>
      <c r="H2323" s="50">
        <v>2</v>
      </c>
      <c r="M2323" t="str">
        <f>IF(COUNTIF($A:$A,E2323)=0,"Not Exists","Exists")</f>
        <v>Not Exists</v>
      </c>
      <c r="N2323" t="str">
        <f t="shared" si="116"/>
        <v>Not Exists</v>
      </c>
      <c r="O2323" t="str">
        <f t="shared" si="114"/>
        <v>Not Exists</v>
      </c>
      <c r="P2323" t="str">
        <f t="shared" si="115"/>
        <v>Not Exists</v>
      </c>
    </row>
    <row r="2324" spans="1:16">
      <c r="A2324">
        <v>1</v>
      </c>
      <c r="B2324">
        <v>1</v>
      </c>
      <c r="C2324">
        <v>1</v>
      </c>
      <c r="D2324">
        <v>1</v>
      </c>
      <c r="E2324" s="50" t="s">
        <v>2191</v>
      </c>
      <c r="F2324" s="50" t="s">
        <v>2196</v>
      </c>
      <c r="G2324" s="50" t="s">
        <v>256</v>
      </c>
      <c r="H2324" s="50">
        <v>2</v>
      </c>
      <c r="M2324" t="str">
        <f>IF(COUNTIF($A:$A,E2324)=0,"Not Exists","Exists")</f>
        <v>Not Exists</v>
      </c>
      <c r="N2324" t="str">
        <f t="shared" si="116"/>
        <v>Not Exists</v>
      </c>
      <c r="O2324" t="str">
        <f t="shared" si="114"/>
        <v>Not Exists</v>
      </c>
      <c r="P2324" t="str">
        <f t="shared" si="115"/>
        <v>Not Exists</v>
      </c>
    </row>
    <row r="2325" spans="1:16">
      <c r="A2325">
        <v>1</v>
      </c>
      <c r="B2325">
        <v>1</v>
      </c>
      <c r="C2325">
        <v>1</v>
      </c>
      <c r="D2325">
        <v>1</v>
      </c>
      <c r="E2325" s="50" t="s">
        <v>2191</v>
      </c>
      <c r="F2325" s="50" t="s">
        <v>2197</v>
      </c>
      <c r="G2325" s="50" t="s">
        <v>256</v>
      </c>
      <c r="H2325" s="50">
        <v>100</v>
      </c>
      <c r="M2325" t="str">
        <f>IF(COUNTIF($A:$A,E2325)=0,"Not Exists","Exists")</f>
        <v>Not Exists</v>
      </c>
      <c r="N2325" t="str">
        <f t="shared" si="116"/>
        <v>Not Exists</v>
      </c>
      <c r="O2325" t="str">
        <f t="shared" si="114"/>
        <v>Not Exists</v>
      </c>
      <c r="P2325" t="str">
        <f t="shared" si="115"/>
        <v>Not Exists</v>
      </c>
    </row>
    <row r="2326" spans="1:16">
      <c r="A2326">
        <v>1</v>
      </c>
      <c r="B2326">
        <v>1</v>
      </c>
      <c r="C2326">
        <v>1</v>
      </c>
      <c r="D2326">
        <v>1</v>
      </c>
      <c r="E2326" s="50" t="s">
        <v>2191</v>
      </c>
      <c r="F2326" s="50" t="s">
        <v>2198</v>
      </c>
      <c r="G2326" s="50" t="s">
        <v>256</v>
      </c>
      <c r="H2326" s="50">
        <v>450</v>
      </c>
      <c r="M2326" t="str">
        <f>IF(COUNTIF($A:$A,E2326)=0,"Not Exists","Exists")</f>
        <v>Not Exists</v>
      </c>
      <c r="N2326" t="str">
        <f t="shared" si="116"/>
        <v>Not Exists</v>
      </c>
      <c r="O2326" t="str">
        <f t="shared" si="114"/>
        <v>Not Exists</v>
      </c>
      <c r="P2326" t="str">
        <f t="shared" si="115"/>
        <v>Not Exists</v>
      </c>
    </row>
    <row r="2327" spans="1:16">
      <c r="A2327">
        <v>1</v>
      </c>
      <c r="B2327">
        <v>1</v>
      </c>
      <c r="C2327">
        <v>1</v>
      </c>
      <c r="D2327">
        <v>1</v>
      </c>
      <c r="E2327" s="50" t="s">
        <v>2199</v>
      </c>
      <c r="F2327" s="50" t="s">
        <v>430</v>
      </c>
      <c r="G2327" s="50" t="s">
        <v>256</v>
      </c>
      <c r="H2327" s="50">
        <v>50</v>
      </c>
      <c r="M2327" t="str">
        <f>IF(COUNTIF($A:$A,E2327)=0,"Not Exists","Exists")</f>
        <v>Not Exists</v>
      </c>
      <c r="N2327" t="str">
        <f t="shared" si="116"/>
        <v>Exists</v>
      </c>
      <c r="O2327" t="str">
        <f t="shared" si="114"/>
        <v>Not Exists</v>
      </c>
      <c r="P2327" t="str">
        <f t="shared" si="115"/>
        <v>Not Exists</v>
      </c>
    </row>
    <row r="2328" spans="1:16">
      <c r="A2328">
        <v>1</v>
      </c>
      <c r="B2328">
        <v>1</v>
      </c>
      <c r="C2328">
        <v>1</v>
      </c>
      <c r="D2328">
        <v>1</v>
      </c>
      <c r="E2328" s="50" t="s">
        <v>2199</v>
      </c>
      <c r="F2328" s="50" t="s">
        <v>2178</v>
      </c>
      <c r="G2328" s="50" t="s">
        <v>256</v>
      </c>
      <c r="H2328" s="50">
        <v>50</v>
      </c>
      <c r="M2328" t="str">
        <f>IF(COUNTIF($A:$A,E2328)=0,"Not Exists","Exists")</f>
        <v>Not Exists</v>
      </c>
      <c r="N2328" t="str">
        <f t="shared" si="116"/>
        <v>Not Exists</v>
      </c>
      <c r="O2328" t="str">
        <f t="shared" si="114"/>
        <v>Not Exists</v>
      </c>
      <c r="P2328" t="str">
        <f t="shared" si="115"/>
        <v>Not Exists</v>
      </c>
    </row>
    <row r="2329" spans="1:16">
      <c r="A2329">
        <v>1</v>
      </c>
      <c r="B2329">
        <v>1</v>
      </c>
      <c r="C2329">
        <v>1</v>
      </c>
      <c r="D2329">
        <v>1</v>
      </c>
      <c r="E2329" s="50" t="s">
        <v>2199</v>
      </c>
      <c r="F2329" s="50" t="s">
        <v>317</v>
      </c>
      <c r="G2329" s="50" t="s">
        <v>256</v>
      </c>
      <c r="H2329" s="50">
        <v>17</v>
      </c>
      <c r="M2329" t="str">
        <f>IF(COUNTIF($A:$A,E2329)=0,"Not Exists","Exists")</f>
        <v>Not Exists</v>
      </c>
      <c r="N2329" t="str">
        <f t="shared" si="116"/>
        <v>Exists</v>
      </c>
      <c r="O2329" t="str">
        <f t="shared" si="114"/>
        <v>Not Exists</v>
      </c>
      <c r="P2329" t="str">
        <f t="shared" si="115"/>
        <v>Not Exists</v>
      </c>
    </row>
    <row r="2330" spans="1:16">
      <c r="A2330">
        <v>1</v>
      </c>
      <c r="B2330">
        <v>1</v>
      </c>
      <c r="C2330">
        <v>1</v>
      </c>
      <c r="D2330">
        <v>1</v>
      </c>
      <c r="E2330" s="50" t="s">
        <v>2199</v>
      </c>
      <c r="F2330" s="50" t="s">
        <v>318</v>
      </c>
      <c r="G2330" s="50" t="s">
        <v>256</v>
      </c>
      <c r="H2330" s="50">
        <v>50</v>
      </c>
      <c r="M2330" t="str">
        <f>IF(COUNTIF($A:$A,E2330)=0,"Not Exists","Exists")</f>
        <v>Not Exists</v>
      </c>
      <c r="N2330" t="str">
        <f t="shared" si="116"/>
        <v>Exists</v>
      </c>
      <c r="O2330" t="str">
        <f t="shared" si="114"/>
        <v>Not Exists</v>
      </c>
      <c r="P2330" t="str">
        <f t="shared" si="115"/>
        <v>Not Exists</v>
      </c>
    </row>
    <row r="2331" spans="1:16">
      <c r="A2331">
        <v>1</v>
      </c>
      <c r="B2331">
        <v>1</v>
      </c>
      <c r="C2331">
        <v>1</v>
      </c>
      <c r="D2331">
        <v>1</v>
      </c>
      <c r="E2331" s="50" t="s">
        <v>2199</v>
      </c>
      <c r="F2331" s="50" t="s">
        <v>315</v>
      </c>
      <c r="G2331" s="50" t="s">
        <v>256</v>
      </c>
      <c r="H2331" s="50">
        <v>17</v>
      </c>
      <c r="M2331" t="str">
        <f>IF(COUNTIF($A:$A,E2331)=0,"Not Exists","Exists")</f>
        <v>Not Exists</v>
      </c>
      <c r="N2331" t="str">
        <f t="shared" si="116"/>
        <v>Exists</v>
      </c>
      <c r="O2331" t="str">
        <f t="shared" si="114"/>
        <v>Not Exists</v>
      </c>
      <c r="P2331" t="str">
        <f t="shared" si="115"/>
        <v>Not Exists</v>
      </c>
    </row>
    <row r="2332" spans="1:16">
      <c r="A2332">
        <v>1</v>
      </c>
      <c r="B2332">
        <v>1</v>
      </c>
      <c r="C2332">
        <v>1</v>
      </c>
      <c r="D2332">
        <v>1</v>
      </c>
      <c r="E2332" s="50" t="s">
        <v>2199</v>
      </c>
      <c r="F2332" s="50" t="s">
        <v>316</v>
      </c>
      <c r="G2332" s="50" t="s">
        <v>256</v>
      </c>
      <c r="H2332" s="50">
        <v>50</v>
      </c>
      <c r="M2332" t="str">
        <f>IF(COUNTIF($A:$A,E2332)=0,"Not Exists","Exists")</f>
        <v>Not Exists</v>
      </c>
      <c r="N2332" t="str">
        <f t="shared" si="116"/>
        <v>Exists</v>
      </c>
      <c r="O2332" t="str">
        <f t="shared" si="114"/>
        <v>Not Exists</v>
      </c>
      <c r="P2332" t="str">
        <f t="shared" si="115"/>
        <v>Not Exists</v>
      </c>
    </row>
    <row r="2333" spans="1:16">
      <c r="A2333">
        <v>1</v>
      </c>
      <c r="B2333">
        <v>1</v>
      </c>
      <c r="C2333">
        <v>1</v>
      </c>
      <c r="D2333">
        <v>1</v>
      </c>
      <c r="E2333" s="50" t="s">
        <v>2199</v>
      </c>
      <c r="F2333" s="50" t="s">
        <v>2184</v>
      </c>
      <c r="G2333" s="50" t="s">
        <v>256</v>
      </c>
      <c r="H2333" s="50">
        <v>450</v>
      </c>
      <c r="M2333" t="str">
        <f>IF(COUNTIF($A:$A,E2333)=0,"Not Exists","Exists")</f>
        <v>Not Exists</v>
      </c>
      <c r="N2333" t="str">
        <f t="shared" si="116"/>
        <v>Not Exists</v>
      </c>
      <c r="O2333" t="str">
        <f t="shared" si="114"/>
        <v>Not Exists</v>
      </c>
      <c r="P2333" t="str">
        <f t="shared" si="115"/>
        <v>Not Exists</v>
      </c>
    </row>
    <row r="2334" spans="1:16">
      <c r="A2334">
        <v>1</v>
      </c>
      <c r="B2334">
        <v>1</v>
      </c>
      <c r="C2334">
        <v>1</v>
      </c>
      <c r="D2334">
        <v>1</v>
      </c>
      <c r="E2334" s="50" t="s">
        <v>2199</v>
      </c>
      <c r="F2334" s="50" t="s">
        <v>2200</v>
      </c>
      <c r="G2334" s="50" t="s">
        <v>256</v>
      </c>
      <c r="H2334" s="50">
        <v>50</v>
      </c>
      <c r="M2334" t="str">
        <f>IF(COUNTIF($A:$A,E2334)=0,"Not Exists","Exists")</f>
        <v>Not Exists</v>
      </c>
      <c r="N2334" t="str">
        <f t="shared" si="116"/>
        <v>Not Exists</v>
      </c>
      <c r="O2334" t="str">
        <f t="shared" si="114"/>
        <v>Not Exists</v>
      </c>
      <c r="P2334" t="str">
        <f t="shared" si="115"/>
        <v>Not Exists</v>
      </c>
    </row>
    <row r="2335" spans="1:16">
      <c r="A2335">
        <v>1</v>
      </c>
      <c r="B2335">
        <v>1</v>
      </c>
      <c r="C2335">
        <v>1</v>
      </c>
      <c r="D2335">
        <v>1</v>
      </c>
      <c r="E2335" s="50" t="s">
        <v>2199</v>
      </c>
      <c r="F2335" s="50" t="s">
        <v>2201</v>
      </c>
      <c r="G2335" s="50" t="s">
        <v>256</v>
      </c>
      <c r="H2335" s="50">
        <v>50</v>
      </c>
      <c r="M2335" t="str">
        <f>IF(COUNTIF($A:$A,E2335)=0,"Not Exists","Exists")</f>
        <v>Not Exists</v>
      </c>
      <c r="N2335" t="str">
        <f t="shared" si="116"/>
        <v>Not Exists</v>
      </c>
      <c r="O2335" t="str">
        <f t="shared" si="114"/>
        <v>Not Exists</v>
      </c>
      <c r="P2335" t="str">
        <f t="shared" si="115"/>
        <v>Not Exists</v>
      </c>
    </row>
    <row r="2336" spans="1:16">
      <c r="A2336">
        <v>1</v>
      </c>
      <c r="B2336">
        <v>1</v>
      </c>
      <c r="C2336">
        <v>1</v>
      </c>
      <c r="D2336">
        <v>1</v>
      </c>
      <c r="E2336" s="50" t="s">
        <v>2199</v>
      </c>
      <c r="F2336" s="50" t="s">
        <v>2187</v>
      </c>
      <c r="G2336" s="50" t="s">
        <v>256</v>
      </c>
      <c r="H2336" s="50">
        <v>8</v>
      </c>
      <c r="M2336" t="str">
        <f>IF(COUNTIF($A:$A,E2336)=0,"Not Exists","Exists")</f>
        <v>Not Exists</v>
      </c>
      <c r="N2336" t="str">
        <f t="shared" si="116"/>
        <v>Not Exists</v>
      </c>
      <c r="O2336" t="str">
        <f t="shared" si="114"/>
        <v>Not Exists</v>
      </c>
      <c r="P2336" t="str">
        <f t="shared" si="115"/>
        <v>Not Exists</v>
      </c>
    </row>
    <row r="2337" spans="1:16">
      <c r="A2337">
        <v>1</v>
      </c>
      <c r="B2337">
        <v>1</v>
      </c>
      <c r="C2337">
        <v>1</v>
      </c>
      <c r="D2337">
        <v>1</v>
      </c>
      <c r="E2337" s="50" t="s">
        <v>2199</v>
      </c>
      <c r="F2337" s="50" t="s">
        <v>2188</v>
      </c>
      <c r="G2337" s="50" t="s">
        <v>256</v>
      </c>
      <c r="H2337" s="50">
        <v>8</v>
      </c>
      <c r="M2337" t="str">
        <f>IF(COUNTIF($A:$A,E2337)=0,"Not Exists","Exists")</f>
        <v>Not Exists</v>
      </c>
      <c r="N2337" t="str">
        <f t="shared" si="116"/>
        <v>Not Exists</v>
      </c>
      <c r="O2337" t="str">
        <f t="shared" si="114"/>
        <v>Not Exists</v>
      </c>
      <c r="P2337" t="str">
        <f t="shared" si="115"/>
        <v>Not Exists</v>
      </c>
    </row>
    <row r="2338" spans="1:16">
      <c r="A2338">
        <v>1</v>
      </c>
      <c r="B2338">
        <v>1</v>
      </c>
      <c r="C2338">
        <v>1</v>
      </c>
      <c r="D2338">
        <v>1</v>
      </c>
      <c r="E2338" s="50" t="s">
        <v>2199</v>
      </c>
      <c r="F2338" s="50" t="s">
        <v>2189</v>
      </c>
      <c r="G2338" s="50" t="s">
        <v>256</v>
      </c>
      <c r="H2338" s="50">
        <v>8</v>
      </c>
      <c r="M2338" t="str">
        <f>IF(COUNTIF($A:$A,E2338)=0,"Not Exists","Exists")</f>
        <v>Not Exists</v>
      </c>
      <c r="N2338" t="str">
        <f t="shared" si="116"/>
        <v>Not Exists</v>
      </c>
      <c r="O2338" t="str">
        <f t="shared" si="114"/>
        <v>Not Exists</v>
      </c>
      <c r="P2338" t="str">
        <f t="shared" si="115"/>
        <v>Not Exists</v>
      </c>
    </row>
    <row r="2339" spans="1:16">
      <c r="A2339">
        <v>1</v>
      </c>
      <c r="B2339">
        <v>1</v>
      </c>
      <c r="C2339">
        <v>1</v>
      </c>
      <c r="D2339">
        <v>1</v>
      </c>
      <c r="E2339" s="50" t="s">
        <v>2199</v>
      </c>
      <c r="F2339" s="50" t="s">
        <v>2190</v>
      </c>
      <c r="G2339" s="50" t="s">
        <v>256</v>
      </c>
      <c r="H2339" s="50">
        <v>8</v>
      </c>
      <c r="M2339" t="str">
        <f>IF(COUNTIF($A:$A,E2339)=0,"Not Exists","Exists")</f>
        <v>Not Exists</v>
      </c>
      <c r="N2339" t="str">
        <f t="shared" si="116"/>
        <v>Not Exists</v>
      </c>
      <c r="O2339" t="str">
        <f t="shared" si="114"/>
        <v>Not Exists</v>
      </c>
      <c r="P2339" t="str">
        <f t="shared" si="115"/>
        <v>Not Exists</v>
      </c>
    </row>
    <row r="2340" spans="1:16">
      <c r="A2340">
        <v>1</v>
      </c>
      <c r="B2340">
        <v>1</v>
      </c>
      <c r="C2340">
        <v>1</v>
      </c>
      <c r="D2340">
        <v>1</v>
      </c>
      <c r="E2340" s="50" t="s">
        <v>2199</v>
      </c>
      <c r="F2340" s="50" t="s">
        <v>373</v>
      </c>
      <c r="G2340" s="50" t="s">
        <v>256</v>
      </c>
      <c r="H2340" s="50">
        <v>2</v>
      </c>
      <c r="M2340" t="str">
        <f>IF(COUNTIF($A:$A,E2340)=0,"Not Exists","Exists")</f>
        <v>Not Exists</v>
      </c>
      <c r="N2340" t="str">
        <f t="shared" si="116"/>
        <v>Exists</v>
      </c>
      <c r="O2340" t="str">
        <f t="shared" si="114"/>
        <v>Not Exists</v>
      </c>
      <c r="P2340" t="str">
        <f t="shared" si="115"/>
        <v>Not Exists</v>
      </c>
    </row>
    <row r="2341" spans="1:16">
      <c r="A2341">
        <v>1</v>
      </c>
      <c r="B2341">
        <v>1</v>
      </c>
      <c r="C2341">
        <v>1</v>
      </c>
      <c r="D2341">
        <v>1</v>
      </c>
      <c r="E2341" s="50" t="s">
        <v>2199</v>
      </c>
      <c r="F2341" s="50" t="s">
        <v>2202</v>
      </c>
      <c r="G2341" s="50" t="s">
        <v>256</v>
      </c>
      <c r="H2341" s="50">
        <v>1000</v>
      </c>
      <c r="M2341" t="str">
        <f>IF(COUNTIF($A:$A,E2341)=0,"Not Exists","Exists")</f>
        <v>Not Exists</v>
      </c>
      <c r="N2341" t="str">
        <f t="shared" si="116"/>
        <v>Not Exists</v>
      </c>
      <c r="O2341" t="str">
        <f t="shared" si="114"/>
        <v>Not Exists</v>
      </c>
      <c r="P2341" t="str">
        <f t="shared" si="115"/>
        <v>Not Exists</v>
      </c>
    </row>
    <row r="2342" spans="1:16">
      <c r="A2342">
        <v>1</v>
      </c>
      <c r="B2342">
        <v>1</v>
      </c>
      <c r="C2342">
        <v>1</v>
      </c>
      <c r="D2342">
        <v>1</v>
      </c>
      <c r="E2342" s="50" t="s">
        <v>925</v>
      </c>
      <c r="F2342" s="50" t="s">
        <v>926</v>
      </c>
      <c r="G2342" s="50" t="s">
        <v>256</v>
      </c>
      <c r="H2342" s="50">
        <v>57</v>
      </c>
      <c r="M2342" t="str">
        <f>IF(COUNTIF($A:$A,E2342)=0,"Not Exists","Exists")</f>
        <v>Exists</v>
      </c>
      <c r="N2342" t="str">
        <f t="shared" si="116"/>
        <v>Exists</v>
      </c>
      <c r="O2342" t="str">
        <f t="shared" si="114"/>
        <v>Not Exists</v>
      </c>
      <c r="P2342" t="str">
        <f t="shared" si="115"/>
        <v>Not Exists</v>
      </c>
    </row>
    <row r="2343" spans="1:16">
      <c r="A2343">
        <v>1</v>
      </c>
      <c r="B2343">
        <v>1</v>
      </c>
      <c r="C2343">
        <v>1</v>
      </c>
      <c r="D2343">
        <v>1</v>
      </c>
      <c r="E2343" s="50" t="s">
        <v>925</v>
      </c>
      <c r="F2343" s="50" t="s">
        <v>424</v>
      </c>
      <c r="G2343" s="50" t="s">
        <v>256</v>
      </c>
      <c r="H2343" s="50">
        <v>50</v>
      </c>
      <c r="M2343" t="str">
        <f>IF(COUNTIF($A:$A,E2343)=0,"Not Exists","Exists")</f>
        <v>Exists</v>
      </c>
      <c r="N2343" t="str">
        <f t="shared" si="116"/>
        <v>Exists</v>
      </c>
      <c r="O2343" t="str">
        <f t="shared" si="114"/>
        <v>Not Exists</v>
      </c>
      <c r="P2343" t="str">
        <f t="shared" si="115"/>
        <v>Not Exists</v>
      </c>
    </row>
    <row r="2344" spans="1:16">
      <c r="A2344">
        <v>1</v>
      </c>
      <c r="B2344">
        <v>1</v>
      </c>
      <c r="C2344">
        <v>1</v>
      </c>
      <c r="D2344">
        <v>1</v>
      </c>
      <c r="E2344" s="50" t="s">
        <v>925</v>
      </c>
      <c r="F2344" s="50" t="s">
        <v>927</v>
      </c>
      <c r="G2344" s="50" t="s">
        <v>254</v>
      </c>
      <c r="H2344" s="50">
        <v>22</v>
      </c>
      <c r="M2344" t="str">
        <f>IF(COUNTIF($A:$A,E2344)=0,"Not Exists","Exists")</f>
        <v>Exists</v>
      </c>
      <c r="N2344" t="str">
        <f t="shared" si="116"/>
        <v>Exists</v>
      </c>
      <c r="O2344" t="str">
        <f t="shared" si="114"/>
        <v>Not Exists</v>
      </c>
      <c r="P2344" t="str">
        <f t="shared" si="115"/>
        <v>Not Exists</v>
      </c>
    </row>
    <row r="2345" spans="1:16">
      <c r="A2345">
        <v>1</v>
      </c>
      <c r="B2345">
        <v>1</v>
      </c>
      <c r="C2345">
        <v>1</v>
      </c>
      <c r="D2345">
        <v>1</v>
      </c>
      <c r="E2345" s="50" t="s">
        <v>925</v>
      </c>
      <c r="F2345" s="50" t="s">
        <v>930</v>
      </c>
      <c r="G2345" s="50" t="s">
        <v>256</v>
      </c>
      <c r="H2345" s="50">
        <v>50</v>
      </c>
      <c r="M2345" t="str">
        <f>IF(COUNTIF($A:$A,E2345)=0,"Not Exists","Exists")</f>
        <v>Exists</v>
      </c>
      <c r="N2345" t="str">
        <f t="shared" si="116"/>
        <v>Exists</v>
      </c>
      <c r="O2345" t="str">
        <f t="shared" si="114"/>
        <v>Not Exists</v>
      </c>
      <c r="P2345" t="str">
        <f t="shared" si="115"/>
        <v>Not Exists</v>
      </c>
    </row>
    <row r="2346" spans="1:16">
      <c r="A2346">
        <v>1</v>
      </c>
      <c r="B2346">
        <v>1</v>
      </c>
      <c r="C2346">
        <v>1</v>
      </c>
      <c r="D2346">
        <v>1</v>
      </c>
      <c r="E2346" s="50" t="s">
        <v>925</v>
      </c>
      <c r="F2346" s="50" t="s">
        <v>931</v>
      </c>
      <c r="G2346" s="50" t="s">
        <v>256</v>
      </c>
      <c r="H2346" s="50">
        <v>50</v>
      </c>
      <c r="M2346" t="str">
        <f>IF(COUNTIF($A:$A,E2346)=0,"Not Exists","Exists")</f>
        <v>Exists</v>
      </c>
      <c r="N2346" t="str">
        <f t="shared" si="116"/>
        <v>Exists</v>
      </c>
      <c r="O2346" t="str">
        <f t="shared" si="114"/>
        <v>Not Exists</v>
      </c>
      <c r="P2346" t="str">
        <f t="shared" si="115"/>
        <v>Not Exists</v>
      </c>
    </row>
    <row r="2347" spans="1:16">
      <c r="A2347">
        <v>1</v>
      </c>
      <c r="B2347">
        <v>1</v>
      </c>
      <c r="C2347">
        <v>1</v>
      </c>
      <c r="D2347">
        <v>1</v>
      </c>
      <c r="E2347" s="50" t="s">
        <v>925</v>
      </c>
      <c r="F2347" s="50" t="s">
        <v>357</v>
      </c>
      <c r="G2347" s="50" t="s">
        <v>256</v>
      </c>
      <c r="H2347" s="50">
        <v>50</v>
      </c>
      <c r="M2347" t="str">
        <f>IF(COUNTIF($A:$A,E2347)=0,"Not Exists","Exists")</f>
        <v>Exists</v>
      </c>
      <c r="N2347" t="str">
        <f t="shared" si="116"/>
        <v>Exists</v>
      </c>
      <c r="O2347" t="str">
        <f t="shared" si="114"/>
        <v>Not Exists</v>
      </c>
      <c r="P2347" t="str">
        <f t="shared" si="115"/>
        <v>Not Exists</v>
      </c>
    </row>
    <row r="2348" spans="1:16">
      <c r="A2348">
        <v>1</v>
      </c>
      <c r="B2348">
        <v>1</v>
      </c>
      <c r="C2348">
        <v>1</v>
      </c>
      <c r="D2348">
        <v>1</v>
      </c>
      <c r="E2348" s="50" t="s">
        <v>925</v>
      </c>
      <c r="F2348" s="50" t="s">
        <v>430</v>
      </c>
      <c r="G2348" s="50" t="s">
        <v>256</v>
      </c>
      <c r="H2348" s="50">
        <v>50</v>
      </c>
      <c r="M2348" t="str">
        <f>IF(COUNTIF($A:$A,E2348)=0,"Not Exists","Exists")</f>
        <v>Exists</v>
      </c>
      <c r="N2348" t="str">
        <f t="shared" si="116"/>
        <v>Exists</v>
      </c>
      <c r="O2348" t="str">
        <f t="shared" si="114"/>
        <v>Not Exists</v>
      </c>
      <c r="P2348" t="str">
        <f t="shared" si="115"/>
        <v>Not Exists</v>
      </c>
    </row>
    <row r="2349" spans="1:16">
      <c r="A2349">
        <v>1</v>
      </c>
      <c r="B2349">
        <v>1</v>
      </c>
      <c r="C2349">
        <v>1</v>
      </c>
      <c r="D2349">
        <v>1</v>
      </c>
      <c r="E2349" s="50" t="s">
        <v>925</v>
      </c>
      <c r="F2349" s="50" t="s">
        <v>934</v>
      </c>
      <c r="G2349" s="50" t="s">
        <v>256</v>
      </c>
      <c r="H2349" s="50">
        <v>500</v>
      </c>
      <c r="M2349" t="str">
        <f>IF(COUNTIF($A:$A,E2349)=0,"Not Exists","Exists")</f>
        <v>Exists</v>
      </c>
      <c r="N2349" t="str">
        <f t="shared" si="116"/>
        <v>Exists</v>
      </c>
      <c r="O2349" t="str">
        <f t="shared" si="114"/>
        <v>Not Exists</v>
      </c>
      <c r="P2349" t="str">
        <f t="shared" si="115"/>
        <v>Not Exists</v>
      </c>
    </row>
    <row r="2350" spans="1:16">
      <c r="A2350">
        <v>1</v>
      </c>
      <c r="B2350">
        <v>1</v>
      </c>
      <c r="C2350">
        <v>1</v>
      </c>
      <c r="D2350">
        <v>1</v>
      </c>
      <c r="E2350" s="50" t="s">
        <v>925</v>
      </c>
      <c r="F2350" s="50" t="s">
        <v>935</v>
      </c>
      <c r="G2350" s="50" t="s">
        <v>256</v>
      </c>
      <c r="H2350" s="50">
        <v>50</v>
      </c>
      <c r="M2350" t="str">
        <f>IF(COUNTIF($A:$A,E2350)=0,"Not Exists","Exists")</f>
        <v>Exists</v>
      </c>
      <c r="N2350" t="str">
        <f t="shared" si="116"/>
        <v>Exists</v>
      </c>
      <c r="O2350" t="str">
        <f t="shared" si="114"/>
        <v>Not Exists</v>
      </c>
      <c r="P2350" t="str">
        <f t="shared" si="115"/>
        <v>Not Exists</v>
      </c>
    </row>
    <row r="2351" spans="1:16">
      <c r="A2351">
        <v>1</v>
      </c>
      <c r="B2351">
        <v>1</v>
      </c>
      <c r="C2351">
        <v>1</v>
      </c>
      <c r="D2351">
        <v>1</v>
      </c>
      <c r="E2351" s="50" t="s">
        <v>925</v>
      </c>
      <c r="F2351" s="50" t="s">
        <v>936</v>
      </c>
      <c r="G2351" s="50" t="s">
        <v>256</v>
      </c>
      <c r="H2351" s="50">
        <v>500</v>
      </c>
      <c r="M2351" t="str">
        <f>IF(COUNTIF($A:$A,E2351)=0,"Not Exists","Exists")</f>
        <v>Exists</v>
      </c>
      <c r="N2351" t="str">
        <f t="shared" si="116"/>
        <v>Exists</v>
      </c>
      <c r="O2351" t="str">
        <f t="shared" si="114"/>
        <v>Not Exists</v>
      </c>
      <c r="P2351" t="str">
        <f t="shared" si="115"/>
        <v>Not Exists</v>
      </c>
    </row>
    <row r="2352" spans="1:16">
      <c r="A2352">
        <v>1</v>
      </c>
      <c r="B2352">
        <v>1</v>
      </c>
      <c r="C2352">
        <v>1</v>
      </c>
      <c r="D2352">
        <v>1</v>
      </c>
      <c r="E2352" s="50" t="s">
        <v>925</v>
      </c>
      <c r="F2352" s="50" t="s">
        <v>937</v>
      </c>
      <c r="G2352" s="50" t="s">
        <v>256</v>
      </c>
      <c r="H2352" s="50">
        <v>50</v>
      </c>
      <c r="M2352" t="str">
        <f>IF(COUNTIF($A:$A,E2352)=0,"Not Exists","Exists")</f>
        <v>Exists</v>
      </c>
      <c r="N2352" t="str">
        <f t="shared" si="116"/>
        <v>Exists</v>
      </c>
      <c r="O2352" t="str">
        <f t="shared" si="114"/>
        <v>Not Exists</v>
      </c>
      <c r="P2352" t="str">
        <f t="shared" si="115"/>
        <v>Not Exists</v>
      </c>
    </row>
    <row r="2353" spans="1:16">
      <c r="A2353">
        <v>1</v>
      </c>
      <c r="B2353">
        <v>1</v>
      </c>
      <c r="C2353">
        <v>1</v>
      </c>
      <c r="D2353">
        <v>1</v>
      </c>
      <c r="E2353" s="50" t="s">
        <v>925</v>
      </c>
      <c r="F2353" s="50" t="s">
        <v>938</v>
      </c>
      <c r="G2353" s="50" t="s">
        <v>256</v>
      </c>
      <c r="H2353" s="50">
        <v>100</v>
      </c>
      <c r="M2353" t="str">
        <f>IF(COUNTIF($A:$A,E2353)=0,"Not Exists","Exists")</f>
        <v>Exists</v>
      </c>
      <c r="N2353" t="str">
        <f t="shared" si="116"/>
        <v>Exists</v>
      </c>
      <c r="O2353" t="str">
        <f t="shared" si="114"/>
        <v>Not Exists</v>
      </c>
      <c r="P2353" t="str">
        <f t="shared" si="115"/>
        <v>Not Exists</v>
      </c>
    </row>
    <row r="2354" spans="1:16">
      <c r="A2354">
        <v>1</v>
      </c>
      <c r="B2354">
        <v>1</v>
      </c>
      <c r="C2354">
        <v>1</v>
      </c>
      <c r="D2354">
        <v>1</v>
      </c>
      <c r="E2354" s="50" t="s">
        <v>925</v>
      </c>
      <c r="F2354" s="50" t="s">
        <v>940</v>
      </c>
      <c r="G2354" s="50" t="s">
        <v>256</v>
      </c>
      <c r="H2354" s="50">
        <v>450</v>
      </c>
      <c r="M2354" t="str">
        <f>IF(COUNTIF($A:$A,E2354)=0,"Not Exists","Exists")</f>
        <v>Exists</v>
      </c>
      <c r="N2354" t="str">
        <f t="shared" si="116"/>
        <v>Exists</v>
      </c>
      <c r="O2354" t="str">
        <f t="shared" si="114"/>
        <v>Not Exists</v>
      </c>
      <c r="P2354" t="str">
        <f t="shared" si="115"/>
        <v>Not Exists</v>
      </c>
    </row>
    <row r="2355" spans="1:16">
      <c r="A2355">
        <v>1</v>
      </c>
      <c r="B2355">
        <v>1</v>
      </c>
      <c r="C2355">
        <v>1</v>
      </c>
      <c r="D2355">
        <v>1</v>
      </c>
      <c r="E2355" s="50" t="s">
        <v>925</v>
      </c>
      <c r="F2355" s="50" t="s">
        <v>942</v>
      </c>
      <c r="G2355" s="50" t="s">
        <v>251</v>
      </c>
      <c r="H2355" s="50">
        <v>17</v>
      </c>
      <c r="M2355" t="str">
        <f>IF(COUNTIF($A:$A,E2355)=0,"Not Exists","Exists")</f>
        <v>Exists</v>
      </c>
      <c r="N2355" t="str">
        <f t="shared" si="116"/>
        <v>Exists</v>
      </c>
      <c r="O2355" t="str">
        <f t="shared" si="114"/>
        <v>Not Exists</v>
      </c>
      <c r="P2355" t="str">
        <f t="shared" si="115"/>
        <v>Not Exists</v>
      </c>
    </row>
    <row r="2356" spans="1:16">
      <c r="A2356">
        <v>1</v>
      </c>
      <c r="B2356">
        <v>1</v>
      </c>
      <c r="C2356">
        <v>1</v>
      </c>
      <c r="D2356">
        <v>1</v>
      </c>
      <c r="E2356" s="50" t="s">
        <v>925</v>
      </c>
      <c r="F2356" s="50" t="s">
        <v>944</v>
      </c>
      <c r="G2356" s="50" t="s">
        <v>251</v>
      </c>
      <c r="H2356" s="50">
        <v>17</v>
      </c>
      <c r="M2356" t="str">
        <f>IF(COUNTIF($A:$A,E2356)=0,"Not Exists","Exists")</f>
        <v>Exists</v>
      </c>
      <c r="N2356" t="str">
        <f t="shared" si="116"/>
        <v>Exists</v>
      </c>
      <c r="O2356" t="str">
        <f t="shared" si="114"/>
        <v>Not Exists</v>
      </c>
      <c r="P2356" t="str">
        <f t="shared" si="115"/>
        <v>Not Exists</v>
      </c>
    </row>
    <row r="2357" spans="1:16">
      <c r="A2357">
        <v>1</v>
      </c>
      <c r="B2357">
        <v>1</v>
      </c>
      <c r="C2357">
        <v>1</v>
      </c>
      <c r="D2357">
        <v>1</v>
      </c>
      <c r="E2357" s="50" t="s">
        <v>925</v>
      </c>
      <c r="F2357" s="50" t="s">
        <v>946</v>
      </c>
      <c r="G2357" s="50" t="s">
        <v>256</v>
      </c>
      <c r="H2357" s="50">
        <v>20</v>
      </c>
      <c r="M2357" t="str">
        <f>IF(COUNTIF($A:$A,E2357)=0,"Not Exists","Exists")</f>
        <v>Exists</v>
      </c>
      <c r="N2357" t="str">
        <f t="shared" si="116"/>
        <v>Exists</v>
      </c>
      <c r="O2357" t="str">
        <f t="shared" si="114"/>
        <v>Not Exists</v>
      </c>
      <c r="P2357" t="str">
        <f t="shared" si="115"/>
        <v>Not Exists</v>
      </c>
    </row>
    <row r="2358" spans="1:16">
      <c r="A2358">
        <v>1</v>
      </c>
      <c r="B2358">
        <v>1</v>
      </c>
      <c r="C2358">
        <v>1</v>
      </c>
      <c r="D2358">
        <v>1</v>
      </c>
      <c r="E2358" s="50" t="s">
        <v>925</v>
      </c>
      <c r="F2358" s="50" t="s">
        <v>948</v>
      </c>
      <c r="G2358" s="50" t="s">
        <v>251</v>
      </c>
      <c r="H2358" s="50">
        <v>1</v>
      </c>
      <c r="M2358" t="str">
        <f>IF(COUNTIF($A:$A,E2358)=0,"Not Exists","Exists")</f>
        <v>Exists</v>
      </c>
      <c r="N2358" t="str">
        <f t="shared" si="116"/>
        <v>Exists</v>
      </c>
      <c r="O2358" t="str">
        <f t="shared" si="114"/>
        <v>Not Exists</v>
      </c>
      <c r="P2358" t="str">
        <f t="shared" si="115"/>
        <v>Not Exists</v>
      </c>
    </row>
    <row r="2359" spans="1:16">
      <c r="A2359">
        <v>1</v>
      </c>
      <c r="B2359">
        <v>1</v>
      </c>
      <c r="C2359">
        <v>1</v>
      </c>
      <c r="D2359">
        <v>1</v>
      </c>
      <c r="E2359" s="50" t="s">
        <v>925</v>
      </c>
      <c r="F2359" s="50" t="s">
        <v>950</v>
      </c>
      <c r="G2359" s="50" t="s">
        <v>251</v>
      </c>
      <c r="H2359" s="50">
        <v>1</v>
      </c>
      <c r="M2359" t="str">
        <f>IF(COUNTIF($A:$A,E2359)=0,"Not Exists","Exists")</f>
        <v>Exists</v>
      </c>
      <c r="N2359" t="str">
        <f t="shared" si="116"/>
        <v>Exists</v>
      </c>
      <c r="O2359" t="str">
        <f t="shared" si="114"/>
        <v>Not Exists</v>
      </c>
      <c r="P2359" t="str">
        <f t="shared" si="115"/>
        <v>Not Exists</v>
      </c>
    </row>
    <row r="2360" spans="1:16">
      <c r="A2360">
        <v>1</v>
      </c>
      <c r="B2360">
        <v>1</v>
      </c>
      <c r="C2360">
        <v>1</v>
      </c>
      <c r="D2360">
        <v>1</v>
      </c>
      <c r="E2360" s="50" t="s">
        <v>925</v>
      </c>
      <c r="F2360" s="50" t="s">
        <v>952</v>
      </c>
      <c r="G2360" s="50" t="s">
        <v>256</v>
      </c>
      <c r="H2360" s="50">
        <v>500</v>
      </c>
      <c r="M2360" t="str">
        <f>IF(COUNTIF($A:$A,E2360)=0,"Not Exists","Exists")</f>
        <v>Exists</v>
      </c>
      <c r="N2360" t="str">
        <f t="shared" si="116"/>
        <v>Exists</v>
      </c>
      <c r="O2360" t="str">
        <f t="shared" si="114"/>
        <v>Not Exists</v>
      </c>
      <c r="P2360" t="str">
        <f t="shared" si="115"/>
        <v>Not Exists</v>
      </c>
    </row>
    <row r="2361" spans="1:16">
      <c r="A2361">
        <v>1</v>
      </c>
      <c r="B2361">
        <v>1</v>
      </c>
      <c r="C2361">
        <v>1</v>
      </c>
      <c r="D2361">
        <v>1</v>
      </c>
      <c r="E2361" s="50" t="s">
        <v>925</v>
      </c>
      <c r="F2361" s="50" t="s">
        <v>954</v>
      </c>
      <c r="G2361" s="50" t="s">
        <v>251</v>
      </c>
      <c r="H2361" s="50">
        <v>1</v>
      </c>
      <c r="M2361" t="str">
        <f>IF(COUNTIF($A:$A,E2361)=0,"Not Exists","Exists")</f>
        <v>Exists</v>
      </c>
      <c r="N2361" t="str">
        <f t="shared" si="116"/>
        <v>Exists</v>
      </c>
      <c r="O2361" t="str">
        <f t="shared" si="114"/>
        <v>Not Exists</v>
      </c>
      <c r="P2361" t="str">
        <f t="shared" si="115"/>
        <v>Not Exists</v>
      </c>
    </row>
    <row r="2362" spans="1:16">
      <c r="A2362">
        <v>1</v>
      </c>
      <c r="B2362">
        <v>1</v>
      </c>
      <c r="C2362">
        <v>1</v>
      </c>
      <c r="D2362">
        <v>1</v>
      </c>
      <c r="E2362" s="50" t="s">
        <v>925</v>
      </c>
      <c r="F2362" s="50" t="s">
        <v>421</v>
      </c>
      <c r="G2362" s="50" t="s">
        <v>256</v>
      </c>
      <c r="H2362" s="50">
        <v>500</v>
      </c>
      <c r="M2362" t="str">
        <f>IF(COUNTIF($A:$A,E2362)=0,"Not Exists","Exists")</f>
        <v>Exists</v>
      </c>
      <c r="N2362" t="str">
        <f t="shared" si="116"/>
        <v>Exists</v>
      </c>
      <c r="O2362" t="str">
        <f t="shared" si="114"/>
        <v>Not Exists</v>
      </c>
      <c r="P2362" t="str">
        <f t="shared" si="115"/>
        <v>Not Exists</v>
      </c>
    </row>
    <row r="2363" spans="1:16">
      <c r="A2363">
        <v>1</v>
      </c>
      <c r="B2363">
        <v>1</v>
      </c>
      <c r="C2363">
        <v>1</v>
      </c>
      <c r="D2363">
        <v>1</v>
      </c>
      <c r="E2363" s="50" t="s">
        <v>925</v>
      </c>
      <c r="F2363" s="50" t="s">
        <v>478</v>
      </c>
      <c r="G2363" s="50" t="s">
        <v>256</v>
      </c>
      <c r="H2363" s="50">
        <v>500</v>
      </c>
      <c r="M2363" t="str">
        <f>IF(COUNTIF($A:$A,E2363)=0,"Not Exists","Exists")</f>
        <v>Exists</v>
      </c>
      <c r="N2363" t="str">
        <f t="shared" si="116"/>
        <v>Exists</v>
      </c>
      <c r="O2363" t="str">
        <f t="shared" si="114"/>
        <v>Not Exists</v>
      </c>
      <c r="P2363" t="str">
        <f t="shared" si="115"/>
        <v>Not Exists</v>
      </c>
    </row>
    <row r="2364" spans="1:16">
      <c r="A2364">
        <v>1</v>
      </c>
      <c r="B2364">
        <v>1</v>
      </c>
      <c r="C2364">
        <v>1</v>
      </c>
      <c r="D2364">
        <v>1</v>
      </c>
      <c r="E2364" s="50" t="s">
        <v>925</v>
      </c>
      <c r="F2364" s="50" t="s">
        <v>692</v>
      </c>
      <c r="G2364" s="50" t="s">
        <v>256</v>
      </c>
      <c r="H2364" s="50">
        <v>4000</v>
      </c>
      <c r="M2364" t="str">
        <f>IF(COUNTIF($A:$A,E2364)=0,"Not Exists","Exists")</f>
        <v>Exists</v>
      </c>
      <c r="N2364" t="str">
        <f t="shared" si="116"/>
        <v>Exists</v>
      </c>
      <c r="O2364" t="str">
        <f t="shared" si="114"/>
        <v>Not Exists</v>
      </c>
      <c r="P2364" t="str">
        <f t="shared" si="115"/>
        <v>Not Exists</v>
      </c>
    </row>
    <row r="2365" spans="1:16">
      <c r="A2365">
        <v>1</v>
      </c>
      <c r="B2365">
        <v>1</v>
      </c>
      <c r="C2365">
        <v>1</v>
      </c>
      <c r="D2365">
        <v>1</v>
      </c>
      <c r="E2365" s="50" t="s">
        <v>925</v>
      </c>
      <c r="F2365" s="50" t="s">
        <v>694</v>
      </c>
      <c r="G2365" s="50" t="s">
        <v>256</v>
      </c>
      <c r="H2365" s="50">
        <v>4000</v>
      </c>
      <c r="M2365" t="str">
        <f>IF(COUNTIF($A:$A,E2365)=0,"Not Exists","Exists")</f>
        <v>Exists</v>
      </c>
      <c r="N2365" t="str">
        <f t="shared" si="116"/>
        <v>Exists</v>
      </c>
      <c r="O2365" t="str">
        <f t="shared" si="114"/>
        <v>Not Exists</v>
      </c>
      <c r="P2365" t="str">
        <f t="shared" si="115"/>
        <v>Not Exists</v>
      </c>
    </row>
    <row r="2366" spans="1:16">
      <c r="A2366">
        <v>1</v>
      </c>
      <c r="B2366">
        <v>1</v>
      </c>
      <c r="C2366">
        <v>1</v>
      </c>
      <c r="D2366">
        <v>1</v>
      </c>
      <c r="E2366" s="50" t="s">
        <v>925</v>
      </c>
      <c r="F2366" s="50" t="s">
        <v>960</v>
      </c>
      <c r="G2366" s="50" t="s">
        <v>256</v>
      </c>
      <c r="H2366" s="50">
        <v>500</v>
      </c>
      <c r="M2366" t="str">
        <f>IF(COUNTIF($A:$A,E2366)=0,"Not Exists","Exists")</f>
        <v>Exists</v>
      </c>
      <c r="N2366" t="str">
        <f t="shared" si="116"/>
        <v>Exists</v>
      </c>
      <c r="O2366" t="str">
        <f t="shared" si="114"/>
        <v>Not Exists</v>
      </c>
      <c r="P2366" t="str">
        <f t="shared" si="115"/>
        <v>Not Exists</v>
      </c>
    </row>
    <row r="2367" spans="1:16">
      <c r="A2367">
        <v>1</v>
      </c>
      <c r="B2367">
        <v>1</v>
      </c>
      <c r="C2367">
        <v>1</v>
      </c>
      <c r="D2367">
        <v>1</v>
      </c>
      <c r="E2367" s="50" t="s">
        <v>925</v>
      </c>
      <c r="F2367" s="50" t="s">
        <v>962</v>
      </c>
      <c r="G2367" s="50" t="s">
        <v>256</v>
      </c>
      <c r="H2367" s="50">
        <v>4000</v>
      </c>
      <c r="M2367" t="str">
        <f>IF(COUNTIF($A:$A,E2367)=0,"Not Exists","Exists")</f>
        <v>Exists</v>
      </c>
      <c r="N2367" t="str">
        <f t="shared" si="116"/>
        <v>Exists</v>
      </c>
      <c r="O2367" t="str">
        <f t="shared" si="114"/>
        <v>Not Exists</v>
      </c>
      <c r="P2367" t="str">
        <f t="shared" si="115"/>
        <v>Not Exists</v>
      </c>
    </row>
    <row r="2368" spans="1:16">
      <c r="A2368">
        <v>1</v>
      </c>
      <c r="B2368">
        <v>1</v>
      </c>
      <c r="C2368">
        <v>1</v>
      </c>
      <c r="D2368">
        <v>1</v>
      </c>
      <c r="E2368" s="50" t="s">
        <v>925</v>
      </c>
      <c r="F2368" s="50" t="s">
        <v>964</v>
      </c>
      <c r="G2368" s="50" t="s">
        <v>256</v>
      </c>
      <c r="H2368" s="50">
        <v>500</v>
      </c>
      <c r="M2368" t="str">
        <f>IF(COUNTIF($A:$A,E2368)=0,"Not Exists","Exists")</f>
        <v>Exists</v>
      </c>
      <c r="N2368" t="str">
        <f t="shared" si="116"/>
        <v>Exists</v>
      </c>
      <c r="O2368" t="str">
        <f t="shared" si="114"/>
        <v>Not Exists</v>
      </c>
      <c r="P2368" t="str">
        <f t="shared" si="115"/>
        <v>Not Exists</v>
      </c>
    </row>
    <row r="2369" spans="1:16">
      <c r="A2369">
        <v>1</v>
      </c>
      <c r="B2369">
        <v>1</v>
      </c>
      <c r="C2369">
        <v>1</v>
      </c>
      <c r="D2369">
        <v>1</v>
      </c>
      <c r="E2369" s="50" t="s">
        <v>925</v>
      </c>
      <c r="F2369" s="50" t="s">
        <v>966</v>
      </c>
      <c r="G2369" s="50" t="s">
        <v>256</v>
      </c>
      <c r="H2369" s="50">
        <v>4000</v>
      </c>
      <c r="M2369" t="str">
        <f>IF(COUNTIF($A:$A,E2369)=0,"Not Exists","Exists")</f>
        <v>Exists</v>
      </c>
      <c r="N2369" t="str">
        <f t="shared" si="116"/>
        <v>Exists</v>
      </c>
      <c r="O2369" t="str">
        <f t="shared" si="114"/>
        <v>Not Exists</v>
      </c>
      <c r="P2369" t="str">
        <f t="shared" si="115"/>
        <v>Not Exists</v>
      </c>
    </row>
    <row r="2370" spans="1:16">
      <c r="A2370">
        <v>1</v>
      </c>
      <c r="B2370">
        <v>1</v>
      </c>
      <c r="C2370">
        <v>1</v>
      </c>
      <c r="D2370">
        <v>1</v>
      </c>
      <c r="E2370" s="50" t="s">
        <v>2203</v>
      </c>
      <c r="F2370" s="50" t="s">
        <v>2204</v>
      </c>
      <c r="G2370" s="50" t="s">
        <v>256</v>
      </c>
      <c r="H2370" s="50">
        <v>36</v>
      </c>
      <c r="M2370" t="str">
        <f>IF(COUNTIF($A:$A,E2370)=0,"Not Exists","Exists")</f>
        <v>Not Exists</v>
      </c>
      <c r="N2370" t="str">
        <f t="shared" ref="N2370:N2433" si="117">IF(COUNTIF($A:$B,F2370)=0,"Not Exists","Exists")</f>
        <v>Not Exists</v>
      </c>
      <c r="O2370" t="str">
        <f t="shared" si="114"/>
        <v>Not Exists</v>
      </c>
      <c r="P2370" t="str">
        <f t="shared" si="115"/>
        <v>Not Exists</v>
      </c>
    </row>
    <row r="2371" spans="1:16">
      <c r="A2371">
        <v>1</v>
      </c>
      <c r="B2371">
        <v>1</v>
      </c>
      <c r="C2371">
        <v>1</v>
      </c>
      <c r="D2371">
        <v>1</v>
      </c>
      <c r="E2371" s="50" t="s">
        <v>2203</v>
      </c>
      <c r="F2371" s="50" t="s">
        <v>2205</v>
      </c>
      <c r="G2371" s="50" t="s">
        <v>256</v>
      </c>
      <c r="H2371" s="50">
        <v>50</v>
      </c>
      <c r="M2371" t="str">
        <f>IF(COUNTIF($A:$A,E2371)=0,"Not Exists","Exists")</f>
        <v>Not Exists</v>
      </c>
      <c r="N2371" t="str">
        <f t="shared" si="117"/>
        <v>Not Exists</v>
      </c>
      <c r="O2371" t="str">
        <f t="shared" si="114"/>
        <v>Not Exists</v>
      </c>
      <c r="P2371" t="str">
        <f t="shared" si="115"/>
        <v>Not Exists</v>
      </c>
    </row>
    <row r="2372" spans="1:16">
      <c r="A2372">
        <v>1</v>
      </c>
      <c r="B2372">
        <v>1</v>
      </c>
      <c r="C2372">
        <v>1</v>
      </c>
      <c r="D2372">
        <v>1</v>
      </c>
      <c r="E2372" s="50" t="s">
        <v>2203</v>
      </c>
      <c r="F2372" s="50" t="s">
        <v>1408</v>
      </c>
      <c r="G2372" s="50" t="s">
        <v>256</v>
      </c>
      <c r="H2372" s="50">
        <v>8</v>
      </c>
      <c r="M2372" t="str">
        <f>IF(COUNTIF($A:$A,E2372)=0,"Not Exists","Exists")</f>
        <v>Not Exists</v>
      </c>
      <c r="N2372" t="str">
        <f t="shared" si="117"/>
        <v>Not Exists</v>
      </c>
      <c r="O2372" t="str">
        <f t="shared" ref="O2372:O2435" si="118">IF(COUNTIF($E:$E,A2372)=0,"Not Exists","Exists")</f>
        <v>Not Exists</v>
      </c>
      <c r="P2372" t="str">
        <f t="shared" ref="P2372:P2435" si="119">IF(COUNTIF($F:$F,B2372)=0,"Not Exists","Exists")</f>
        <v>Not Exists</v>
      </c>
    </row>
    <row r="2373" spans="1:16">
      <c r="A2373">
        <v>1</v>
      </c>
      <c r="B2373">
        <v>1</v>
      </c>
      <c r="C2373">
        <v>1</v>
      </c>
      <c r="D2373">
        <v>1</v>
      </c>
      <c r="E2373" s="50" t="s">
        <v>2203</v>
      </c>
      <c r="F2373" s="50" t="s">
        <v>2206</v>
      </c>
      <c r="G2373" s="50" t="s">
        <v>256</v>
      </c>
      <c r="H2373" s="50">
        <v>9</v>
      </c>
      <c r="M2373" t="str">
        <f>IF(COUNTIF($A:$A,E2373)=0,"Not Exists","Exists")</f>
        <v>Not Exists</v>
      </c>
      <c r="N2373" t="str">
        <f t="shared" si="117"/>
        <v>Not Exists</v>
      </c>
      <c r="O2373" t="str">
        <f t="shared" si="118"/>
        <v>Not Exists</v>
      </c>
      <c r="P2373" t="str">
        <f t="shared" si="119"/>
        <v>Not Exists</v>
      </c>
    </row>
    <row r="2374" spans="1:16">
      <c r="A2374">
        <v>1</v>
      </c>
      <c r="B2374">
        <v>1</v>
      </c>
      <c r="C2374">
        <v>1</v>
      </c>
      <c r="D2374">
        <v>1</v>
      </c>
      <c r="E2374" s="50" t="s">
        <v>2203</v>
      </c>
      <c r="F2374" s="50" t="s">
        <v>635</v>
      </c>
      <c r="G2374" s="50" t="s">
        <v>256</v>
      </c>
      <c r="H2374" s="50">
        <v>2</v>
      </c>
      <c r="M2374" t="str">
        <f>IF(COUNTIF($A:$A,E2374)=0,"Not Exists","Exists")</f>
        <v>Not Exists</v>
      </c>
      <c r="N2374" t="str">
        <f t="shared" si="117"/>
        <v>Not Exists</v>
      </c>
      <c r="O2374" t="str">
        <f t="shared" si="118"/>
        <v>Not Exists</v>
      </c>
      <c r="P2374" t="str">
        <f t="shared" si="119"/>
        <v>Not Exists</v>
      </c>
    </row>
    <row r="2375" spans="1:16">
      <c r="A2375">
        <v>1</v>
      </c>
      <c r="B2375">
        <v>1</v>
      </c>
      <c r="C2375">
        <v>1</v>
      </c>
      <c r="D2375">
        <v>1</v>
      </c>
      <c r="E2375" s="50" t="s">
        <v>2203</v>
      </c>
      <c r="F2375" s="50" t="s">
        <v>2207</v>
      </c>
      <c r="G2375" s="50" t="s">
        <v>256</v>
      </c>
      <c r="H2375" s="50">
        <v>450</v>
      </c>
      <c r="M2375" t="str">
        <f>IF(COUNTIF($A:$A,E2375)=0,"Not Exists","Exists")</f>
        <v>Not Exists</v>
      </c>
      <c r="N2375" t="str">
        <f t="shared" si="117"/>
        <v>Not Exists</v>
      </c>
      <c r="O2375" t="str">
        <f t="shared" si="118"/>
        <v>Not Exists</v>
      </c>
      <c r="P2375" t="str">
        <f t="shared" si="119"/>
        <v>Not Exists</v>
      </c>
    </row>
    <row r="2376" spans="1:16">
      <c r="A2376">
        <v>1</v>
      </c>
      <c r="B2376">
        <v>1</v>
      </c>
      <c r="C2376">
        <v>1</v>
      </c>
      <c r="D2376">
        <v>1</v>
      </c>
      <c r="E2376" s="50" t="s">
        <v>2203</v>
      </c>
      <c r="F2376" s="50" t="s">
        <v>2208</v>
      </c>
      <c r="G2376" s="50" t="s">
        <v>256</v>
      </c>
      <c r="H2376" s="50">
        <v>50</v>
      </c>
      <c r="M2376" t="str">
        <f>IF(COUNTIF($A:$A,E2376)=0,"Not Exists","Exists")</f>
        <v>Not Exists</v>
      </c>
      <c r="N2376" t="str">
        <f t="shared" si="117"/>
        <v>Not Exists</v>
      </c>
      <c r="O2376" t="str">
        <f t="shared" si="118"/>
        <v>Not Exists</v>
      </c>
      <c r="P2376" t="str">
        <f t="shared" si="119"/>
        <v>Not Exists</v>
      </c>
    </row>
    <row r="2377" spans="1:16">
      <c r="A2377">
        <v>1</v>
      </c>
      <c r="B2377">
        <v>1</v>
      </c>
      <c r="C2377">
        <v>1</v>
      </c>
      <c r="D2377">
        <v>1</v>
      </c>
      <c r="E2377" s="50" t="s">
        <v>2203</v>
      </c>
      <c r="F2377" s="50" t="s">
        <v>2209</v>
      </c>
      <c r="G2377" s="50" t="s">
        <v>256</v>
      </c>
      <c r="H2377" s="50">
        <v>50</v>
      </c>
      <c r="M2377" t="str">
        <f>IF(COUNTIF($A:$A,E2377)=0,"Not Exists","Exists")</f>
        <v>Not Exists</v>
      </c>
      <c r="N2377" t="str">
        <f t="shared" si="117"/>
        <v>Not Exists</v>
      </c>
      <c r="O2377" t="str">
        <f t="shared" si="118"/>
        <v>Not Exists</v>
      </c>
      <c r="P2377" t="str">
        <f t="shared" si="119"/>
        <v>Not Exists</v>
      </c>
    </row>
    <row r="2378" spans="1:16">
      <c r="A2378">
        <v>1</v>
      </c>
      <c r="B2378">
        <v>1</v>
      </c>
      <c r="C2378">
        <v>1</v>
      </c>
      <c r="D2378">
        <v>1</v>
      </c>
      <c r="E2378" s="50" t="s">
        <v>2203</v>
      </c>
      <c r="F2378" s="50" t="s">
        <v>400</v>
      </c>
      <c r="G2378" s="50" t="s">
        <v>256</v>
      </c>
      <c r="H2378" s="50">
        <v>50</v>
      </c>
      <c r="M2378" t="str">
        <f>IF(COUNTIF($A:$A,E2378)=0,"Not Exists","Exists")</f>
        <v>Not Exists</v>
      </c>
      <c r="N2378" t="str">
        <f t="shared" si="117"/>
        <v>Exists</v>
      </c>
      <c r="O2378" t="str">
        <f t="shared" si="118"/>
        <v>Not Exists</v>
      </c>
      <c r="P2378" t="str">
        <f t="shared" si="119"/>
        <v>Not Exists</v>
      </c>
    </row>
    <row r="2379" spans="1:16">
      <c r="A2379">
        <v>1</v>
      </c>
      <c r="B2379">
        <v>1</v>
      </c>
      <c r="C2379">
        <v>1</v>
      </c>
      <c r="D2379">
        <v>1</v>
      </c>
      <c r="E2379" s="50" t="s">
        <v>2203</v>
      </c>
      <c r="F2379" s="50" t="s">
        <v>472</v>
      </c>
      <c r="G2379" s="50" t="s">
        <v>256</v>
      </c>
      <c r="H2379" s="50">
        <v>450</v>
      </c>
      <c r="M2379" t="str">
        <f>IF(COUNTIF($A:$A,E2379)=0,"Not Exists","Exists")</f>
        <v>Not Exists</v>
      </c>
      <c r="N2379" t="str">
        <f t="shared" si="117"/>
        <v>Not Exists</v>
      </c>
      <c r="O2379" t="str">
        <f t="shared" si="118"/>
        <v>Not Exists</v>
      </c>
      <c r="P2379" t="str">
        <f t="shared" si="119"/>
        <v>Not Exists</v>
      </c>
    </row>
    <row r="2380" spans="1:16">
      <c r="A2380">
        <v>1</v>
      </c>
      <c r="B2380">
        <v>1</v>
      </c>
      <c r="C2380">
        <v>1</v>
      </c>
      <c r="D2380">
        <v>1</v>
      </c>
      <c r="E2380" s="50" t="s">
        <v>2203</v>
      </c>
      <c r="F2380" s="50" t="s">
        <v>2210</v>
      </c>
      <c r="G2380" s="50" t="s">
        <v>256</v>
      </c>
      <c r="H2380" s="50">
        <v>450</v>
      </c>
      <c r="M2380" t="str">
        <f>IF(COUNTIF($A:$A,E2380)=0,"Not Exists","Exists")</f>
        <v>Not Exists</v>
      </c>
      <c r="N2380" t="str">
        <f t="shared" si="117"/>
        <v>Not Exists</v>
      </c>
      <c r="O2380" t="str">
        <f t="shared" si="118"/>
        <v>Not Exists</v>
      </c>
      <c r="P2380" t="str">
        <f t="shared" si="119"/>
        <v>Not Exists</v>
      </c>
    </row>
    <row r="2381" spans="1:16">
      <c r="A2381">
        <v>1</v>
      </c>
      <c r="B2381">
        <v>1</v>
      </c>
      <c r="C2381">
        <v>1</v>
      </c>
      <c r="D2381">
        <v>1</v>
      </c>
      <c r="E2381" s="50" t="s">
        <v>2203</v>
      </c>
      <c r="F2381" s="50" t="s">
        <v>2211</v>
      </c>
      <c r="G2381" s="50" t="s">
        <v>427</v>
      </c>
      <c r="H2381" s="50">
        <v>4000</v>
      </c>
      <c r="M2381" t="str">
        <f>IF(COUNTIF($A:$A,E2381)=0,"Not Exists","Exists")</f>
        <v>Not Exists</v>
      </c>
      <c r="N2381" t="str">
        <f t="shared" si="117"/>
        <v>Not Exists</v>
      </c>
      <c r="O2381" t="str">
        <f t="shared" si="118"/>
        <v>Not Exists</v>
      </c>
      <c r="P2381" t="str">
        <f t="shared" si="119"/>
        <v>Not Exists</v>
      </c>
    </row>
    <row r="2382" spans="1:16">
      <c r="A2382">
        <v>1</v>
      </c>
      <c r="B2382">
        <v>1</v>
      </c>
      <c r="C2382">
        <v>1</v>
      </c>
      <c r="D2382">
        <v>1</v>
      </c>
      <c r="E2382" s="50" t="s">
        <v>2203</v>
      </c>
      <c r="F2382" s="50" t="s">
        <v>2212</v>
      </c>
      <c r="G2382" s="50" t="s">
        <v>256</v>
      </c>
      <c r="H2382" s="50">
        <v>36</v>
      </c>
      <c r="M2382" t="str">
        <f>IF(COUNTIF($A:$A,E2382)=0,"Not Exists","Exists")</f>
        <v>Not Exists</v>
      </c>
      <c r="N2382" t="str">
        <f t="shared" si="117"/>
        <v>Not Exists</v>
      </c>
      <c r="O2382" t="str">
        <f t="shared" si="118"/>
        <v>Not Exists</v>
      </c>
      <c r="P2382" t="str">
        <f t="shared" si="119"/>
        <v>Not Exists</v>
      </c>
    </row>
    <row r="2383" spans="1:16">
      <c r="A2383">
        <v>1</v>
      </c>
      <c r="B2383">
        <v>1</v>
      </c>
      <c r="C2383">
        <v>1</v>
      </c>
      <c r="D2383">
        <v>1</v>
      </c>
      <c r="E2383" s="50" t="s">
        <v>997</v>
      </c>
      <c r="F2383" s="50" t="s">
        <v>535</v>
      </c>
      <c r="G2383" s="50" t="s">
        <v>256</v>
      </c>
      <c r="H2383" s="50">
        <v>50</v>
      </c>
      <c r="M2383" t="str">
        <f>IF(COUNTIF($A:$A,E2383)=0,"Not Exists","Exists")</f>
        <v>Exists</v>
      </c>
      <c r="N2383" t="str">
        <f t="shared" si="117"/>
        <v>Exists</v>
      </c>
      <c r="O2383" t="str">
        <f t="shared" si="118"/>
        <v>Not Exists</v>
      </c>
      <c r="P2383" t="str">
        <f t="shared" si="119"/>
        <v>Not Exists</v>
      </c>
    </row>
    <row r="2384" spans="1:16">
      <c r="A2384">
        <v>1</v>
      </c>
      <c r="B2384">
        <v>1</v>
      </c>
      <c r="C2384">
        <v>1</v>
      </c>
      <c r="D2384">
        <v>1</v>
      </c>
      <c r="E2384" s="50" t="s">
        <v>997</v>
      </c>
      <c r="F2384" s="50" t="s">
        <v>1009</v>
      </c>
      <c r="G2384" s="50" t="s">
        <v>254</v>
      </c>
      <c r="H2384" s="50">
        <v>22</v>
      </c>
      <c r="M2384" t="str">
        <f>IF(COUNTIF($A:$A,E2384)=0,"Not Exists","Exists")</f>
        <v>Exists</v>
      </c>
      <c r="N2384" t="str">
        <f t="shared" si="117"/>
        <v>Exists</v>
      </c>
      <c r="O2384" t="str">
        <f t="shared" si="118"/>
        <v>Not Exists</v>
      </c>
      <c r="P2384" t="str">
        <f t="shared" si="119"/>
        <v>Not Exists</v>
      </c>
    </row>
    <row r="2385" spans="1:16">
      <c r="A2385">
        <v>1</v>
      </c>
      <c r="B2385">
        <v>1</v>
      </c>
      <c r="C2385">
        <v>1</v>
      </c>
      <c r="D2385">
        <v>1</v>
      </c>
      <c r="E2385" s="50" t="s">
        <v>997</v>
      </c>
      <c r="F2385" s="50" t="s">
        <v>1011</v>
      </c>
      <c r="G2385" s="50" t="s">
        <v>254</v>
      </c>
      <c r="H2385" s="50">
        <v>22</v>
      </c>
      <c r="M2385" t="str">
        <f>IF(COUNTIF($A:$A,E2385)=0,"Not Exists","Exists")</f>
        <v>Exists</v>
      </c>
      <c r="N2385" t="str">
        <f t="shared" si="117"/>
        <v>Exists</v>
      </c>
      <c r="O2385" t="str">
        <f t="shared" si="118"/>
        <v>Not Exists</v>
      </c>
      <c r="P2385" t="str">
        <f t="shared" si="119"/>
        <v>Not Exists</v>
      </c>
    </row>
    <row r="2386" spans="1:16">
      <c r="A2386">
        <v>1</v>
      </c>
      <c r="B2386">
        <v>1</v>
      </c>
      <c r="C2386">
        <v>1</v>
      </c>
      <c r="D2386">
        <v>1</v>
      </c>
      <c r="E2386" s="50" t="s">
        <v>997</v>
      </c>
      <c r="F2386" s="50" t="s">
        <v>1013</v>
      </c>
      <c r="G2386" s="50" t="s">
        <v>256</v>
      </c>
      <c r="H2386" s="50">
        <v>50</v>
      </c>
      <c r="M2386" t="str">
        <f>IF(COUNTIF($A:$A,E2386)=0,"Not Exists","Exists")</f>
        <v>Exists</v>
      </c>
      <c r="N2386" t="str">
        <f t="shared" si="117"/>
        <v>Exists</v>
      </c>
      <c r="O2386" t="str">
        <f t="shared" si="118"/>
        <v>Not Exists</v>
      </c>
      <c r="P2386" t="str">
        <f t="shared" si="119"/>
        <v>Not Exists</v>
      </c>
    </row>
    <row r="2387" spans="1:16">
      <c r="A2387">
        <v>1</v>
      </c>
      <c r="B2387">
        <v>1</v>
      </c>
      <c r="C2387">
        <v>1</v>
      </c>
      <c r="D2387">
        <v>1</v>
      </c>
      <c r="E2387" s="50" t="s">
        <v>997</v>
      </c>
      <c r="F2387" s="50" t="s">
        <v>1015</v>
      </c>
      <c r="G2387" s="50" t="s">
        <v>256</v>
      </c>
      <c r="H2387" s="50">
        <v>450</v>
      </c>
      <c r="M2387" t="str">
        <f>IF(COUNTIF($A:$A,E2387)=0,"Not Exists","Exists")</f>
        <v>Exists</v>
      </c>
      <c r="N2387" t="str">
        <f t="shared" si="117"/>
        <v>Exists</v>
      </c>
      <c r="O2387" t="str">
        <f t="shared" si="118"/>
        <v>Not Exists</v>
      </c>
      <c r="P2387" t="str">
        <f t="shared" si="119"/>
        <v>Not Exists</v>
      </c>
    </row>
    <row r="2388" spans="1:16">
      <c r="A2388">
        <v>1</v>
      </c>
      <c r="B2388">
        <v>1</v>
      </c>
      <c r="C2388">
        <v>1</v>
      </c>
      <c r="D2388">
        <v>1</v>
      </c>
      <c r="E2388" s="50" t="s">
        <v>997</v>
      </c>
      <c r="F2388" s="50" t="s">
        <v>1017</v>
      </c>
      <c r="G2388" s="50" t="s">
        <v>256</v>
      </c>
      <c r="H2388" s="50">
        <v>450</v>
      </c>
      <c r="M2388" t="str">
        <f>IF(COUNTIF($A:$A,E2388)=0,"Not Exists","Exists")</f>
        <v>Exists</v>
      </c>
      <c r="N2388" t="str">
        <f t="shared" si="117"/>
        <v>Exists</v>
      </c>
      <c r="O2388" t="str">
        <f t="shared" si="118"/>
        <v>Not Exists</v>
      </c>
      <c r="P2388" t="str">
        <f t="shared" si="119"/>
        <v>Not Exists</v>
      </c>
    </row>
    <row r="2389" spans="1:16">
      <c r="A2389">
        <v>1</v>
      </c>
      <c r="B2389">
        <v>1</v>
      </c>
      <c r="C2389">
        <v>1</v>
      </c>
      <c r="D2389">
        <v>1</v>
      </c>
      <c r="E2389" s="50" t="s">
        <v>997</v>
      </c>
      <c r="F2389" s="50" t="s">
        <v>1019</v>
      </c>
      <c r="G2389" s="50" t="s">
        <v>256</v>
      </c>
      <c r="H2389" s="50">
        <v>3000</v>
      </c>
      <c r="M2389" t="str">
        <f>IF(COUNTIF($A:$A,E2389)=0,"Not Exists","Exists")</f>
        <v>Exists</v>
      </c>
      <c r="N2389" t="str">
        <f t="shared" si="117"/>
        <v>Exists</v>
      </c>
      <c r="O2389" t="str">
        <f t="shared" si="118"/>
        <v>Not Exists</v>
      </c>
      <c r="P2389" t="str">
        <f t="shared" si="119"/>
        <v>Not Exists</v>
      </c>
    </row>
    <row r="2390" spans="1:16">
      <c r="A2390">
        <v>1</v>
      </c>
      <c r="B2390">
        <v>1</v>
      </c>
      <c r="C2390">
        <v>1</v>
      </c>
      <c r="D2390">
        <v>1</v>
      </c>
      <c r="E2390" s="50" t="s">
        <v>997</v>
      </c>
      <c r="F2390" s="50" t="s">
        <v>1001</v>
      </c>
      <c r="G2390" s="50" t="s">
        <v>251</v>
      </c>
      <c r="H2390" s="50">
        <v>17</v>
      </c>
      <c r="M2390" t="str">
        <f>IF(COUNTIF($A:$A,E2390)=0,"Not Exists","Exists")</f>
        <v>Exists</v>
      </c>
      <c r="N2390" t="str">
        <f t="shared" si="117"/>
        <v>Exists</v>
      </c>
      <c r="O2390" t="str">
        <f t="shared" si="118"/>
        <v>Not Exists</v>
      </c>
      <c r="P2390" t="str">
        <f t="shared" si="119"/>
        <v>Not Exists</v>
      </c>
    </row>
    <row r="2391" spans="1:16">
      <c r="A2391">
        <v>1</v>
      </c>
      <c r="B2391">
        <v>1</v>
      </c>
      <c r="C2391">
        <v>1</v>
      </c>
      <c r="D2391">
        <v>1</v>
      </c>
      <c r="E2391" s="50" t="s">
        <v>997</v>
      </c>
      <c r="F2391" s="50" t="s">
        <v>1003</v>
      </c>
      <c r="G2391" s="50" t="s">
        <v>256</v>
      </c>
      <c r="H2391" s="50">
        <v>50</v>
      </c>
      <c r="M2391" t="str">
        <f>IF(COUNTIF($A:$A,E2391)=0,"Not Exists","Exists")</f>
        <v>Exists</v>
      </c>
      <c r="N2391" t="str">
        <f t="shared" si="117"/>
        <v>Exists</v>
      </c>
      <c r="O2391" t="str">
        <f t="shared" si="118"/>
        <v>Not Exists</v>
      </c>
      <c r="P2391" t="str">
        <f t="shared" si="119"/>
        <v>Not Exists</v>
      </c>
    </row>
    <row r="2392" spans="1:16">
      <c r="A2392">
        <v>1</v>
      </c>
      <c r="B2392">
        <v>1</v>
      </c>
      <c r="C2392">
        <v>1</v>
      </c>
      <c r="D2392">
        <v>1</v>
      </c>
      <c r="E2392" s="50" t="s">
        <v>997</v>
      </c>
      <c r="F2392" s="50" t="s">
        <v>1005</v>
      </c>
      <c r="G2392" s="50" t="s">
        <v>251</v>
      </c>
      <c r="H2392" s="50">
        <v>17</v>
      </c>
      <c r="M2392" t="str">
        <f>IF(COUNTIF($A:$A,E2392)=0,"Not Exists","Exists")</f>
        <v>Exists</v>
      </c>
      <c r="N2392" t="str">
        <f t="shared" si="117"/>
        <v>Exists</v>
      </c>
      <c r="O2392" t="str">
        <f t="shared" si="118"/>
        <v>Not Exists</v>
      </c>
      <c r="P2392" t="str">
        <f t="shared" si="119"/>
        <v>Not Exists</v>
      </c>
    </row>
    <row r="2393" spans="1:16">
      <c r="A2393">
        <v>1</v>
      </c>
      <c r="B2393">
        <v>1</v>
      </c>
      <c r="C2393">
        <v>1</v>
      </c>
      <c r="D2393">
        <v>1</v>
      </c>
      <c r="E2393" s="50" t="s">
        <v>997</v>
      </c>
      <c r="F2393" s="50" t="s">
        <v>1007</v>
      </c>
      <c r="G2393" s="50" t="s">
        <v>256</v>
      </c>
      <c r="H2393" s="50">
        <v>50</v>
      </c>
      <c r="M2393" t="str">
        <f>IF(COUNTIF($A:$A,E2393)=0,"Not Exists","Exists")</f>
        <v>Exists</v>
      </c>
      <c r="N2393" t="str">
        <f t="shared" si="117"/>
        <v>Exists</v>
      </c>
      <c r="O2393" t="str">
        <f t="shared" si="118"/>
        <v>Not Exists</v>
      </c>
      <c r="P2393" t="str">
        <f t="shared" si="119"/>
        <v>Not Exists</v>
      </c>
    </row>
    <row r="2394" spans="1:16">
      <c r="A2394">
        <v>1</v>
      </c>
      <c r="B2394">
        <v>1</v>
      </c>
      <c r="C2394">
        <v>1</v>
      </c>
      <c r="D2394">
        <v>1</v>
      </c>
      <c r="E2394" s="50" t="s">
        <v>1021</v>
      </c>
      <c r="F2394" s="50" t="s">
        <v>1022</v>
      </c>
      <c r="G2394" s="50" t="s">
        <v>256</v>
      </c>
      <c r="H2394" s="50">
        <v>50</v>
      </c>
      <c r="M2394" t="str">
        <f>IF(COUNTIF($A:$A,E2394)=0,"Not Exists","Exists")</f>
        <v>Exists</v>
      </c>
      <c r="N2394" t="str">
        <f t="shared" si="117"/>
        <v>Exists</v>
      </c>
      <c r="O2394" t="str">
        <f t="shared" si="118"/>
        <v>Not Exists</v>
      </c>
      <c r="P2394" t="str">
        <f t="shared" si="119"/>
        <v>Not Exists</v>
      </c>
    </row>
    <row r="2395" spans="1:16">
      <c r="A2395">
        <v>1</v>
      </c>
      <c r="B2395">
        <v>1</v>
      </c>
      <c r="C2395">
        <v>1</v>
      </c>
      <c r="D2395">
        <v>1</v>
      </c>
      <c r="E2395" s="50" t="s">
        <v>1021</v>
      </c>
      <c r="F2395" s="50" t="s">
        <v>1024</v>
      </c>
      <c r="G2395" s="50" t="s">
        <v>256</v>
      </c>
      <c r="H2395" s="50">
        <v>50</v>
      </c>
      <c r="M2395" t="str">
        <f>IF(COUNTIF($A:$A,E2395)=0,"Not Exists","Exists")</f>
        <v>Exists</v>
      </c>
      <c r="N2395" t="str">
        <f t="shared" si="117"/>
        <v>Exists</v>
      </c>
      <c r="O2395" t="str">
        <f t="shared" si="118"/>
        <v>Not Exists</v>
      </c>
      <c r="P2395" t="str">
        <f t="shared" si="119"/>
        <v>Not Exists</v>
      </c>
    </row>
    <row r="2396" spans="1:16">
      <c r="A2396">
        <v>1</v>
      </c>
      <c r="B2396">
        <v>1</v>
      </c>
      <c r="C2396">
        <v>1</v>
      </c>
      <c r="D2396">
        <v>1</v>
      </c>
      <c r="E2396" s="50" t="s">
        <v>1021</v>
      </c>
      <c r="F2396" s="50" t="s">
        <v>1026</v>
      </c>
      <c r="G2396" s="50" t="s">
        <v>256</v>
      </c>
      <c r="H2396" s="50">
        <v>50</v>
      </c>
      <c r="M2396" t="str">
        <f>IF(COUNTIF($A:$A,E2396)=0,"Not Exists","Exists")</f>
        <v>Exists</v>
      </c>
      <c r="N2396" t="str">
        <f t="shared" si="117"/>
        <v>Exists</v>
      </c>
      <c r="O2396" t="str">
        <f t="shared" si="118"/>
        <v>Not Exists</v>
      </c>
      <c r="P2396" t="str">
        <f t="shared" si="119"/>
        <v>Not Exists</v>
      </c>
    </row>
    <row r="2397" spans="1:16">
      <c r="A2397">
        <v>1</v>
      </c>
      <c r="B2397">
        <v>1</v>
      </c>
      <c r="C2397">
        <v>1</v>
      </c>
      <c r="D2397">
        <v>1</v>
      </c>
      <c r="E2397" s="50" t="s">
        <v>1021</v>
      </c>
      <c r="F2397" s="50" t="s">
        <v>1030</v>
      </c>
      <c r="G2397" s="50" t="s">
        <v>251</v>
      </c>
      <c r="H2397" s="50">
        <v>17</v>
      </c>
      <c r="M2397" t="str">
        <f>IF(COUNTIF($A:$A,E2397)=0,"Not Exists","Exists")</f>
        <v>Exists</v>
      </c>
      <c r="N2397" t="str">
        <f t="shared" si="117"/>
        <v>Exists</v>
      </c>
      <c r="O2397" t="str">
        <f t="shared" si="118"/>
        <v>Not Exists</v>
      </c>
      <c r="P2397" t="str">
        <f t="shared" si="119"/>
        <v>Not Exists</v>
      </c>
    </row>
    <row r="2398" spans="1:16">
      <c r="A2398">
        <v>1</v>
      </c>
      <c r="B2398">
        <v>1</v>
      </c>
      <c r="C2398">
        <v>1</v>
      </c>
      <c r="D2398">
        <v>1</v>
      </c>
      <c r="E2398" s="50" t="s">
        <v>1021</v>
      </c>
      <c r="F2398" s="50" t="s">
        <v>1032</v>
      </c>
      <c r="G2398" s="50" t="s">
        <v>256</v>
      </c>
      <c r="H2398" s="50">
        <v>50</v>
      </c>
      <c r="M2398" t="str">
        <f>IF(COUNTIF($A:$A,E2398)=0,"Not Exists","Exists")</f>
        <v>Exists</v>
      </c>
      <c r="N2398" t="str">
        <f t="shared" si="117"/>
        <v>Exists</v>
      </c>
      <c r="O2398" t="str">
        <f t="shared" si="118"/>
        <v>Not Exists</v>
      </c>
      <c r="P2398" t="str">
        <f t="shared" si="119"/>
        <v>Not Exists</v>
      </c>
    </row>
    <row r="2399" spans="1:16">
      <c r="A2399">
        <v>1</v>
      </c>
      <c r="B2399">
        <v>1</v>
      </c>
      <c r="C2399">
        <v>1</v>
      </c>
      <c r="D2399">
        <v>1</v>
      </c>
      <c r="E2399" s="50" t="s">
        <v>1021</v>
      </c>
      <c r="F2399" s="50" t="s">
        <v>1034</v>
      </c>
      <c r="G2399" s="50" t="s">
        <v>251</v>
      </c>
      <c r="H2399" s="50">
        <v>17</v>
      </c>
      <c r="M2399" t="str">
        <f>IF(COUNTIF($A:$A,E2399)=0,"Not Exists","Exists")</f>
        <v>Exists</v>
      </c>
      <c r="N2399" t="str">
        <f t="shared" si="117"/>
        <v>Exists</v>
      </c>
      <c r="O2399" t="str">
        <f t="shared" si="118"/>
        <v>Not Exists</v>
      </c>
      <c r="P2399" t="str">
        <f t="shared" si="119"/>
        <v>Not Exists</v>
      </c>
    </row>
    <row r="2400" spans="1:16">
      <c r="A2400">
        <v>1</v>
      </c>
      <c r="B2400">
        <v>1</v>
      </c>
      <c r="C2400">
        <v>1</v>
      </c>
      <c r="D2400">
        <v>1</v>
      </c>
      <c r="E2400" s="50" t="s">
        <v>1021</v>
      </c>
      <c r="F2400" s="50" t="s">
        <v>1036</v>
      </c>
      <c r="G2400" s="50" t="s">
        <v>256</v>
      </c>
      <c r="H2400" s="50">
        <v>50</v>
      </c>
      <c r="M2400" t="str">
        <f>IF(COUNTIF($A:$A,E2400)=0,"Not Exists","Exists")</f>
        <v>Exists</v>
      </c>
      <c r="N2400" t="str">
        <f t="shared" si="117"/>
        <v>Exists</v>
      </c>
      <c r="O2400" t="str">
        <f t="shared" si="118"/>
        <v>Not Exists</v>
      </c>
      <c r="P2400" t="str">
        <f t="shared" si="119"/>
        <v>Not Exists</v>
      </c>
    </row>
    <row r="2401" spans="1:16">
      <c r="A2401">
        <v>1</v>
      </c>
      <c r="B2401">
        <v>1</v>
      </c>
      <c r="C2401">
        <v>1</v>
      </c>
      <c r="D2401">
        <v>1</v>
      </c>
      <c r="E2401" s="50" t="s">
        <v>1021</v>
      </c>
      <c r="F2401" s="50" t="s">
        <v>1038</v>
      </c>
      <c r="G2401" s="50" t="s">
        <v>254</v>
      </c>
      <c r="H2401" s="50">
        <v>22</v>
      </c>
      <c r="M2401" t="str">
        <f>IF(COUNTIF($A:$A,E2401)=0,"Not Exists","Exists")</f>
        <v>Exists</v>
      </c>
      <c r="N2401" t="str">
        <f t="shared" si="117"/>
        <v>Exists</v>
      </c>
      <c r="O2401" t="str">
        <f t="shared" si="118"/>
        <v>Not Exists</v>
      </c>
      <c r="P2401" t="str">
        <f t="shared" si="119"/>
        <v>Not Exists</v>
      </c>
    </row>
    <row r="2402" spans="1:16">
      <c r="A2402">
        <v>1</v>
      </c>
      <c r="B2402">
        <v>1</v>
      </c>
      <c r="C2402">
        <v>1</v>
      </c>
      <c r="D2402">
        <v>1</v>
      </c>
      <c r="E2402" s="50" t="s">
        <v>1040</v>
      </c>
      <c r="F2402" s="50" t="s">
        <v>1041</v>
      </c>
      <c r="G2402" s="50" t="s">
        <v>256</v>
      </c>
      <c r="H2402" s="50">
        <v>50</v>
      </c>
      <c r="M2402" t="str">
        <f>IF(COUNTIF($A:$A,E2402)=0,"Not Exists","Exists")</f>
        <v>Exists</v>
      </c>
      <c r="N2402" t="str">
        <f t="shared" si="117"/>
        <v>Exists</v>
      </c>
      <c r="O2402" t="str">
        <f t="shared" si="118"/>
        <v>Not Exists</v>
      </c>
      <c r="P2402" t="str">
        <f t="shared" si="119"/>
        <v>Not Exists</v>
      </c>
    </row>
    <row r="2403" spans="1:16">
      <c r="A2403">
        <v>1</v>
      </c>
      <c r="B2403">
        <v>1</v>
      </c>
      <c r="C2403">
        <v>1</v>
      </c>
      <c r="D2403">
        <v>1</v>
      </c>
      <c r="E2403" s="50" t="s">
        <v>1040</v>
      </c>
      <c r="F2403" s="50" t="s">
        <v>1045</v>
      </c>
      <c r="G2403" s="50" t="s">
        <v>251</v>
      </c>
      <c r="H2403" s="50">
        <v>17</v>
      </c>
      <c r="M2403" t="str">
        <f>IF(COUNTIF($A:$A,E2403)=0,"Not Exists","Exists")</f>
        <v>Exists</v>
      </c>
      <c r="N2403" t="str">
        <f t="shared" si="117"/>
        <v>Exists</v>
      </c>
      <c r="O2403" t="str">
        <f t="shared" si="118"/>
        <v>Not Exists</v>
      </c>
      <c r="P2403" t="str">
        <f t="shared" si="119"/>
        <v>Not Exists</v>
      </c>
    </row>
    <row r="2404" spans="1:16">
      <c r="A2404">
        <v>1</v>
      </c>
      <c r="B2404">
        <v>1</v>
      </c>
      <c r="C2404">
        <v>1</v>
      </c>
      <c r="D2404">
        <v>1</v>
      </c>
      <c r="E2404" s="50" t="s">
        <v>1040</v>
      </c>
      <c r="F2404" s="50" t="s">
        <v>1047</v>
      </c>
      <c r="G2404" s="50" t="s">
        <v>256</v>
      </c>
      <c r="H2404" s="50">
        <v>50</v>
      </c>
      <c r="M2404" t="str">
        <f>IF(COUNTIF($A:$A,E2404)=0,"Not Exists","Exists")</f>
        <v>Exists</v>
      </c>
      <c r="N2404" t="str">
        <f t="shared" si="117"/>
        <v>Exists</v>
      </c>
      <c r="O2404" t="str">
        <f t="shared" si="118"/>
        <v>Not Exists</v>
      </c>
      <c r="P2404" t="str">
        <f t="shared" si="119"/>
        <v>Not Exists</v>
      </c>
    </row>
    <row r="2405" spans="1:16">
      <c r="A2405">
        <v>1</v>
      </c>
      <c r="B2405">
        <v>1</v>
      </c>
      <c r="C2405">
        <v>1</v>
      </c>
      <c r="D2405">
        <v>1</v>
      </c>
      <c r="E2405" s="50" t="s">
        <v>1040</v>
      </c>
      <c r="F2405" s="50" t="s">
        <v>1049</v>
      </c>
      <c r="G2405" s="50" t="s">
        <v>251</v>
      </c>
      <c r="H2405" s="50">
        <v>17</v>
      </c>
      <c r="M2405" t="str">
        <f>IF(COUNTIF($A:$A,E2405)=0,"Not Exists","Exists")</f>
        <v>Exists</v>
      </c>
      <c r="N2405" t="str">
        <f t="shared" si="117"/>
        <v>Exists</v>
      </c>
      <c r="O2405" t="str">
        <f t="shared" si="118"/>
        <v>Not Exists</v>
      </c>
      <c r="P2405" t="str">
        <f t="shared" si="119"/>
        <v>Not Exists</v>
      </c>
    </row>
    <row r="2406" spans="1:16">
      <c r="A2406">
        <v>1</v>
      </c>
      <c r="B2406">
        <v>1</v>
      </c>
      <c r="C2406">
        <v>1</v>
      </c>
      <c r="D2406">
        <v>1</v>
      </c>
      <c r="E2406" s="50" t="s">
        <v>1040</v>
      </c>
      <c r="F2406" s="50" t="s">
        <v>1051</v>
      </c>
      <c r="G2406" s="50" t="s">
        <v>256</v>
      </c>
      <c r="H2406" s="50">
        <v>50</v>
      </c>
      <c r="M2406" t="str">
        <f>IF(COUNTIF($A:$A,E2406)=0,"Not Exists","Exists")</f>
        <v>Exists</v>
      </c>
      <c r="N2406" t="str">
        <f t="shared" si="117"/>
        <v>Exists</v>
      </c>
      <c r="O2406" t="str">
        <f t="shared" si="118"/>
        <v>Not Exists</v>
      </c>
      <c r="P2406" t="str">
        <f t="shared" si="119"/>
        <v>Not Exists</v>
      </c>
    </row>
    <row r="2407" spans="1:16">
      <c r="A2407">
        <v>1</v>
      </c>
      <c r="B2407">
        <v>1</v>
      </c>
      <c r="C2407">
        <v>1</v>
      </c>
      <c r="D2407">
        <v>1</v>
      </c>
      <c r="E2407" s="50" t="s">
        <v>1040</v>
      </c>
      <c r="F2407" s="50" t="s">
        <v>1053</v>
      </c>
      <c r="G2407" s="50" t="s">
        <v>256</v>
      </c>
      <c r="H2407" s="50">
        <v>450</v>
      </c>
      <c r="M2407" t="str">
        <f>IF(COUNTIF($A:$A,E2407)=0,"Not Exists","Exists")</f>
        <v>Exists</v>
      </c>
      <c r="N2407" t="str">
        <f t="shared" si="117"/>
        <v>Exists</v>
      </c>
      <c r="O2407" t="str">
        <f t="shared" si="118"/>
        <v>Not Exists</v>
      </c>
      <c r="P2407" t="str">
        <f t="shared" si="119"/>
        <v>Not Exists</v>
      </c>
    </row>
    <row r="2408" spans="1:16">
      <c r="A2408">
        <v>1</v>
      </c>
      <c r="B2408">
        <v>1</v>
      </c>
      <c r="C2408">
        <v>1</v>
      </c>
      <c r="D2408">
        <v>1</v>
      </c>
      <c r="E2408" s="50" t="s">
        <v>1040</v>
      </c>
      <c r="F2408" s="50" t="s">
        <v>1055</v>
      </c>
      <c r="G2408" s="50" t="s">
        <v>256</v>
      </c>
      <c r="H2408" s="50">
        <v>3000</v>
      </c>
      <c r="M2408" t="str">
        <f>IF(COUNTIF($A:$A,E2408)=0,"Not Exists","Exists")</f>
        <v>Exists</v>
      </c>
      <c r="N2408" t="str">
        <f t="shared" si="117"/>
        <v>Exists</v>
      </c>
      <c r="O2408" t="str">
        <f t="shared" si="118"/>
        <v>Not Exists</v>
      </c>
      <c r="P2408" t="str">
        <f t="shared" si="119"/>
        <v>Not Exists</v>
      </c>
    </row>
    <row r="2409" spans="1:16">
      <c r="A2409">
        <v>1</v>
      </c>
      <c r="B2409">
        <v>1</v>
      </c>
      <c r="C2409">
        <v>1</v>
      </c>
      <c r="D2409">
        <v>1</v>
      </c>
      <c r="E2409" s="50" t="s">
        <v>1040</v>
      </c>
      <c r="F2409" s="50" t="s">
        <v>1057</v>
      </c>
      <c r="G2409" s="50" t="s">
        <v>256</v>
      </c>
      <c r="H2409" s="50">
        <v>50</v>
      </c>
      <c r="M2409" t="str">
        <f>IF(COUNTIF($A:$A,E2409)=0,"Not Exists","Exists")</f>
        <v>Exists</v>
      </c>
      <c r="N2409" t="str">
        <f t="shared" si="117"/>
        <v>Exists</v>
      </c>
      <c r="O2409" t="str">
        <f t="shared" si="118"/>
        <v>Not Exists</v>
      </c>
      <c r="P2409" t="str">
        <f t="shared" si="119"/>
        <v>Not Exists</v>
      </c>
    </row>
    <row r="2410" spans="1:16">
      <c r="A2410">
        <v>1</v>
      </c>
      <c r="B2410">
        <v>1</v>
      </c>
      <c r="C2410">
        <v>1</v>
      </c>
      <c r="D2410">
        <v>1</v>
      </c>
      <c r="E2410" s="50" t="s">
        <v>1059</v>
      </c>
      <c r="F2410" s="50" t="s">
        <v>1060</v>
      </c>
      <c r="G2410" s="50" t="s">
        <v>256</v>
      </c>
      <c r="H2410" s="50">
        <v>50</v>
      </c>
      <c r="M2410" t="str">
        <f>IF(COUNTIF($A:$A,E2410)=0,"Not Exists","Exists")</f>
        <v>Exists</v>
      </c>
      <c r="N2410" t="str">
        <f t="shared" si="117"/>
        <v>Exists</v>
      </c>
      <c r="O2410" t="str">
        <f t="shared" si="118"/>
        <v>Not Exists</v>
      </c>
      <c r="P2410" t="str">
        <f t="shared" si="119"/>
        <v>Not Exists</v>
      </c>
    </row>
    <row r="2411" spans="1:16">
      <c r="A2411">
        <v>1</v>
      </c>
      <c r="B2411">
        <v>1</v>
      </c>
      <c r="C2411">
        <v>1</v>
      </c>
      <c r="D2411">
        <v>1</v>
      </c>
      <c r="E2411" s="50" t="s">
        <v>1059</v>
      </c>
      <c r="F2411" s="50" t="s">
        <v>1062</v>
      </c>
      <c r="G2411" s="50" t="s">
        <v>256</v>
      </c>
      <c r="H2411" s="50">
        <v>50</v>
      </c>
      <c r="M2411" t="str">
        <f>IF(COUNTIF($A:$A,E2411)=0,"Not Exists","Exists")</f>
        <v>Exists</v>
      </c>
      <c r="N2411" t="str">
        <f t="shared" si="117"/>
        <v>Exists</v>
      </c>
      <c r="O2411" t="str">
        <f t="shared" si="118"/>
        <v>Not Exists</v>
      </c>
      <c r="P2411" t="str">
        <f t="shared" si="119"/>
        <v>Not Exists</v>
      </c>
    </row>
    <row r="2412" spans="1:16">
      <c r="A2412">
        <v>1</v>
      </c>
      <c r="B2412">
        <v>1</v>
      </c>
      <c r="C2412">
        <v>1</v>
      </c>
      <c r="D2412">
        <v>1</v>
      </c>
      <c r="E2412" s="50" t="s">
        <v>1059</v>
      </c>
      <c r="F2412" s="50" t="s">
        <v>1066</v>
      </c>
      <c r="G2412" s="50" t="s">
        <v>251</v>
      </c>
      <c r="H2412" s="50">
        <v>17</v>
      </c>
      <c r="M2412" t="str">
        <f>IF(COUNTIF($A:$A,E2412)=0,"Not Exists","Exists")</f>
        <v>Exists</v>
      </c>
      <c r="N2412" t="str">
        <f t="shared" si="117"/>
        <v>Exists</v>
      </c>
      <c r="O2412" t="str">
        <f t="shared" si="118"/>
        <v>Not Exists</v>
      </c>
      <c r="P2412" t="str">
        <f t="shared" si="119"/>
        <v>Not Exists</v>
      </c>
    </row>
    <row r="2413" spans="1:16">
      <c r="A2413">
        <v>1</v>
      </c>
      <c r="B2413">
        <v>1</v>
      </c>
      <c r="C2413">
        <v>1</v>
      </c>
      <c r="D2413">
        <v>1</v>
      </c>
      <c r="E2413" s="50" t="s">
        <v>1059</v>
      </c>
      <c r="F2413" s="50" t="s">
        <v>1068</v>
      </c>
      <c r="G2413" s="50" t="s">
        <v>256</v>
      </c>
      <c r="H2413" s="50">
        <v>50</v>
      </c>
      <c r="M2413" t="str">
        <f>IF(COUNTIF($A:$A,E2413)=0,"Not Exists","Exists")</f>
        <v>Exists</v>
      </c>
      <c r="N2413" t="str">
        <f t="shared" si="117"/>
        <v>Exists</v>
      </c>
      <c r="O2413" t="str">
        <f t="shared" si="118"/>
        <v>Not Exists</v>
      </c>
      <c r="P2413" t="str">
        <f t="shared" si="119"/>
        <v>Not Exists</v>
      </c>
    </row>
    <row r="2414" spans="1:16">
      <c r="A2414">
        <v>1</v>
      </c>
      <c r="B2414">
        <v>1</v>
      </c>
      <c r="C2414">
        <v>1</v>
      </c>
      <c r="D2414">
        <v>1</v>
      </c>
      <c r="E2414" s="50" t="s">
        <v>1059</v>
      </c>
      <c r="F2414" s="50" t="s">
        <v>1070</v>
      </c>
      <c r="G2414" s="50" t="s">
        <v>251</v>
      </c>
      <c r="H2414" s="50">
        <v>17</v>
      </c>
      <c r="M2414" t="str">
        <f>IF(COUNTIF($A:$A,E2414)=0,"Not Exists","Exists")</f>
        <v>Exists</v>
      </c>
      <c r="N2414" t="str">
        <f t="shared" si="117"/>
        <v>Exists</v>
      </c>
      <c r="O2414" t="str">
        <f t="shared" si="118"/>
        <v>Not Exists</v>
      </c>
      <c r="P2414" t="str">
        <f t="shared" si="119"/>
        <v>Not Exists</v>
      </c>
    </row>
    <row r="2415" spans="1:16">
      <c r="A2415">
        <v>1</v>
      </c>
      <c r="B2415">
        <v>1</v>
      </c>
      <c r="C2415">
        <v>1</v>
      </c>
      <c r="D2415">
        <v>1</v>
      </c>
      <c r="E2415" s="50" t="s">
        <v>1059</v>
      </c>
      <c r="F2415" s="50" t="s">
        <v>1072</v>
      </c>
      <c r="G2415" s="50" t="s">
        <v>256</v>
      </c>
      <c r="H2415" s="50">
        <v>50</v>
      </c>
      <c r="M2415" t="str">
        <f>IF(COUNTIF($A:$A,E2415)=0,"Not Exists","Exists")</f>
        <v>Exists</v>
      </c>
      <c r="N2415" t="str">
        <f t="shared" si="117"/>
        <v>Exists</v>
      </c>
      <c r="O2415" t="str">
        <f t="shared" si="118"/>
        <v>Not Exists</v>
      </c>
      <c r="P2415" t="str">
        <f t="shared" si="119"/>
        <v>Not Exists</v>
      </c>
    </row>
    <row r="2416" spans="1:16">
      <c r="A2416">
        <v>1</v>
      </c>
      <c r="B2416">
        <v>1</v>
      </c>
      <c r="C2416">
        <v>1</v>
      </c>
      <c r="D2416">
        <v>1</v>
      </c>
      <c r="E2416" s="50" t="s">
        <v>1059</v>
      </c>
      <c r="F2416" s="50" t="s">
        <v>1074</v>
      </c>
      <c r="G2416" s="50" t="s">
        <v>256</v>
      </c>
      <c r="H2416" s="50">
        <v>450</v>
      </c>
      <c r="M2416" t="str">
        <f>IF(COUNTIF($A:$A,E2416)=0,"Not Exists","Exists")</f>
        <v>Exists</v>
      </c>
      <c r="N2416" t="str">
        <f t="shared" si="117"/>
        <v>Exists</v>
      </c>
      <c r="O2416" t="str">
        <f t="shared" si="118"/>
        <v>Not Exists</v>
      </c>
      <c r="P2416" t="str">
        <f t="shared" si="119"/>
        <v>Not Exists</v>
      </c>
    </row>
    <row r="2417" spans="1:16">
      <c r="A2417">
        <v>1</v>
      </c>
      <c r="B2417">
        <v>1</v>
      </c>
      <c r="C2417">
        <v>1</v>
      </c>
      <c r="D2417">
        <v>1</v>
      </c>
      <c r="E2417" s="50" t="s">
        <v>1059</v>
      </c>
      <c r="F2417" s="50" t="s">
        <v>1076</v>
      </c>
      <c r="G2417" s="50" t="s">
        <v>256</v>
      </c>
      <c r="H2417" s="50">
        <v>3000</v>
      </c>
      <c r="M2417" t="str">
        <f>IF(COUNTIF($A:$A,E2417)=0,"Not Exists","Exists")</f>
        <v>Exists</v>
      </c>
      <c r="N2417" t="str">
        <f t="shared" si="117"/>
        <v>Exists</v>
      </c>
      <c r="O2417" t="str">
        <f t="shared" si="118"/>
        <v>Not Exists</v>
      </c>
      <c r="P2417" t="str">
        <f t="shared" si="119"/>
        <v>Not Exists</v>
      </c>
    </row>
    <row r="2418" spans="1:16">
      <c r="A2418">
        <v>1</v>
      </c>
      <c r="B2418">
        <v>1</v>
      </c>
      <c r="C2418">
        <v>1</v>
      </c>
      <c r="D2418">
        <v>1</v>
      </c>
      <c r="E2418" s="50" t="s">
        <v>1078</v>
      </c>
      <c r="F2418" s="50" t="s">
        <v>1079</v>
      </c>
      <c r="G2418" s="50" t="s">
        <v>256</v>
      </c>
      <c r="H2418" s="50">
        <v>50</v>
      </c>
      <c r="M2418" t="str">
        <f>IF(COUNTIF($A:$A,E2418)=0,"Not Exists","Exists")</f>
        <v>Exists</v>
      </c>
      <c r="N2418" t="str">
        <f t="shared" si="117"/>
        <v>Exists</v>
      </c>
      <c r="O2418" t="str">
        <f t="shared" si="118"/>
        <v>Not Exists</v>
      </c>
      <c r="P2418" t="str">
        <f t="shared" si="119"/>
        <v>Not Exists</v>
      </c>
    </row>
    <row r="2419" spans="1:16">
      <c r="A2419">
        <v>1</v>
      </c>
      <c r="B2419">
        <v>1</v>
      </c>
      <c r="C2419">
        <v>1</v>
      </c>
      <c r="D2419">
        <v>1</v>
      </c>
      <c r="E2419" s="50" t="s">
        <v>1078</v>
      </c>
      <c r="F2419" s="50" t="s">
        <v>1080</v>
      </c>
      <c r="G2419" s="50" t="s">
        <v>256</v>
      </c>
      <c r="H2419" s="50">
        <v>50</v>
      </c>
      <c r="M2419" t="str">
        <f>IF(COUNTIF($A:$A,E2419)=0,"Not Exists","Exists")</f>
        <v>Exists</v>
      </c>
      <c r="N2419" t="str">
        <f t="shared" si="117"/>
        <v>Exists</v>
      </c>
      <c r="O2419" t="str">
        <f t="shared" si="118"/>
        <v>Not Exists</v>
      </c>
      <c r="P2419" t="str">
        <f t="shared" si="119"/>
        <v>Not Exists</v>
      </c>
    </row>
    <row r="2420" spans="1:16">
      <c r="A2420">
        <v>1</v>
      </c>
      <c r="B2420">
        <v>1</v>
      </c>
      <c r="C2420">
        <v>1</v>
      </c>
      <c r="D2420">
        <v>1</v>
      </c>
      <c r="E2420" s="50" t="s">
        <v>1078</v>
      </c>
      <c r="F2420" s="50" t="s">
        <v>1084</v>
      </c>
      <c r="G2420" s="50" t="s">
        <v>256</v>
      </c>
      <c r="H2420" s="50">
        <v>50</v>
      </c>
      <c r="M2420" t="str">
        <f>IF(COUNTIF($A:$A,E2420)=0,"Not Exists","Exists")</f>
        <v>Exists</v>
      </c>
      <c r="N2420" t="str">
        <f t="shared" si="117"/>
        <v>Exists</v>
      </c>
      <c r="O2420" t="str">
        <f t="shared" si="118"/>
        <v>Not Exists</v>
      </c>
      <c r="P2420" t="str">
        <f t="shared" si="119"/>
        <v>Not Exists</v>
      </c>
    </row>
    <row r="2421" spans="1:16">
      <c r="A2421">
        <v>1</v>
      </c>
      <c r="B2421">
        <v>1</v>
      </c>
      <c r="C2421">
        <v>1</v>
      </c>
      <c r="D2421">
        <v>1</v>
      </c>
      <c r="E2421" s="50" t="s">
        <v>1078</v>
      </c>
      <c r="F2421" s="50" t="s">
        <v>1086</v>
      </c>
      <c r="G2421" s="50" t="s">
        <v>251</v>
      </c>
      <c r="H2421" s="50">
        <v>17</v>
      </c>
      <c r="M2421" t="str">
        <f>IF(COUNTIF($A:$A,E2421)=0,"Not Exists","Exists")</f>
        <v>Exists</v>
      </c>
      <c r="N2421" t="str">
        <f t="shared" si="117"/>
        <v>Exists</v>
      </c>
      <c r="O2421" t="str">
        <f t="shared" si="118"/>
        <v>Not Exists</v>
      </c>
      <c r="P2421" t="str">
        <f t="shared" si="119"/>
        <v>Not Exists</v>
      </c>
    </row>
    <row r="2422" spans="1:16">
      <c r="A2422">
        <v>1</v>
      </c>
      <c r="B2422">
        <v>1</v>
      </c>
      <c r="C2422">
        <v>1</v>
      </c>
      <c r="D2422">
        <v>1</v>
      </c>
      <c r="E2422" s="50" t="s">
        <v>1078</v>
      </c>
      <c r="F2422" s="50" t="s">
        <v>1087</v>
      </c>
      <c r="G2422" s="50" t="s">
        <v>256</v>
      </c>
      <c r="H2422" s="50">
        <v>50</v>
      </c>
      <c r="M2422" t="str">
        <f>IF(COUNTIF($A:$A,E2422)=0,"Not Exists","Exists")</f>
        <v>Exists</v>
      </c>
      <c r="N2422" t="str">
        <f t="shared" si="117"/>
        <v>Exists</v>
      </c>
      <c r="O2422" t="str">
        <f t="shared" si="118"/>
        <v>Not Exists</v>
      </c>
      <c r="P2422" t="str">
        <f t="shared" si="119"/>
        <v>Not Exists</v>
      </c>
    </row>
    <row r="2423" spans="1:16">
      <c r="A2423">
        <v>1</v>
      </c>
      <c r="B2423">
        <v>1</v>
      </c>
      <c r="C2423">
        <v>1</v>
      </c>
      <c r="D2423">
        <v>1</v>
      </c>
      <c r="E2423" s="50" t="s">
        <v>1078</v>
      </c>
      <c r="F2423" s="50" t="s">
        <v>1089</v>
      </c>
      <c r="G2423" s="50" t="s">
        <v>251</v>
      </c>
      <c r="H2423" s="50">
        <v>17</v>
      </c>
      <c r="M2423" t="str">
        <f>IF(COUNTIF($A:$A,E2423)=0,"Not Exists","Exists")</f>
        <v>Exists</v>
      </c>
      <c r="N2423" t="str">
        <f t="shared" si="117"/>
        <v>Exists</v>
      </c>
      <c r="O2423" t="str">
        <f t="shared" si="118"/>
        <v>Not Exists</v>
      </c>
      <c r="P2423" t="str">
        <f t="shared" si="119"/>
        <v>Not Exists</v>
      </c>
    </row>
    <row r="2424" spans="1:16">
      <c r="A2424">
        <v>1</v>
      </c>
      <c r="B2424">
        <v>1</v>
      </c>
      <c r="C2424">
        <v>1</v>
      </c>
      <c r="D2424">
        <v>1</v>
      </c>
      <c r="E2424" s="50" t="s">
        <v>1078</v>
      </c>
      <c r="F2424" s="50" t="s">
        <v>1091</v>
      </c>
      <c r="G2424" s="50" t="s">
        <v>256</v>
      </c>
      <c r="H2424" s="50">
        <v>50</v>
      </c>
      <c r="M2424" t="str">
        <f>IF(COUNTIF($A:$A,E2424)=0,"Not Exists","Exists")</f>
        <v>Exists</v>
      </c>
      <c r="N2424" t="str">
        <f t="shared" si="117"/>
        <v>Exists</v>
      </c>
      <c r="O2424" t="str">
        <f t="shared" si="118"/>
        <v>Not Exists</v>
      </c>
      <c r="P2424" t="str">
        <f t="shared" si="119"/>
        <v>Not Exists</v>
      </c>
    </row>
    <row r="2425" spans="1:16">
      <c r="A2425">
        <v>1</v>
      </c>
      <c r="B2425">
        <v>1</v>
      </c>
      <c r="C2425">
        <v>1</v>
      </c>
      <c r="D2425">
        <v>1</v>
      </c>
      <c r="E2425" s="50" t="s">
        <v>1078</v>
      </c>
      <c r="F2425" s="50" t="s">
        <v>1093</v>
      </c>
      <c r="G2425" s="50" t="s">
        <v>256</v>
      </c>
      <c r="H2425" s="50">
        <v>3000</v>
      </c>
      <c r="M2425" t="str">
        <f>IF(COUNTIF($A:$A,E2425)=0,"Not Exists","Exists")</f>
        <v>Exists</v>
      </c>
      <c r="N2425" t="str">
        <f t="shared" si="117"/>
        <v>Exists</v>
      </c>
      <c r="O2425" t="str">
        <f t="shared" si="118"/>
        <v>Not Exists</v>
      </c>
      <c r="P2425" t="str">
        <f t="shared" si="119"/>
        <v>Not Exists</v>
      </c>
    </row>
    <row r="2426" spans="1:16">
      <c r="A2426">
        <v>1</v>
      </c>
      <c r="B2426">
        <v>1</v>
      </c>
      <c r="C2426">
        <v>1</v>
      </c>
      <c r="D2426">
        <v>1</v>
      </c>
      <c r="E2426" s="50" t="s">
        <v>1095</v>
      </c>
      <c r="F2426" s="50" t="s">
        <v>1096</v>
      </c>
      <c r="G2426" s="50" t="s">
        <v>256</v>
      </c>
      <c r="H2426" s="50">
        <v>50</v>
      </c>
      <c r="M2426" t="str">
        <f>IF(COUNTIF($A:$A,E2426)=0,"Not Exists","Exists")</f>
        <v>Exists</v>
      </c>
      <c r="N2426" t="str">
        <f t="shared" si="117"/>
        <v>Exists</v>
      </c>
      <c r="O2426" t="str">
        <f t="shared" si="118"/>
        <v>Not Exists</v>
      </c>
      <c r="P2426" t="str">
        <f t="shared" si="119"/>
        <v>Not Exists</v>
      </c>
    </row>
    <row r="2427" spans="1:16">
      <c r="A2427">
        <v>1</v>
      </c>
      <c r="B2427">
        <v>1</v>
      </c>
      <c r="C2427">
        <v>1</v>
      </c>
      <c r="D2427">
        <v>1</v>
      </c>
      <c r="E2427" s="50" t="s">
        <v>1095</v>
      </c>
      <c r="F2427" s="50" t="s">
        <v>1098</v>
      </c>
      <c r="G2427" s="50" t="s">
        <v>256</v>
      </c>
      <c r="H2427" s="50">
        <v>50</v>
      </c>
      <c r="M2427" t="str">
        <f>IF(COUNTIF($A:$A,E2427)=0,"Not Exists","Exists")</f>
        <v>Exists</v>
      </c>
      <c r="N2427" t="str">
        <f t="shared" si="117"/>
        <v>Exists</v>
      </c>
      <c r="O2427" t="str">
        <f t="shared" si="118"/>
        <v>Not Exists</v>
      </c>
      <c r="P2427" t="str">
        <f t="shared" si="119"/>
        <v>Not Exists</v>
      </c>
    </row>
    <row r="2428" spans="1:16">
      <c r="A2428">
        <v>1</v>
      </c>
      <c r="B2428">
        <v>1</v>
      </c>
      <c r="C2428">
        <v>1</v>
      </c>
      <c r="D2428">
        <v>1</v>
      </c>
      <c r="E2428" s="50" t="s">
        <v>1095</v>
      </c>
      <c r="F2428" s="50" t="s">
        <v>1102</v>
      </c>
      <c r="G2428" s="50" t="s">
        <v>251</v>
      </c>
      <c r="H2428" s="50">
        <v>17</v>
      </c>
      <c r="M2428" t="str">
        <f>IF(COUNTIF($A:$A,E2428)=0,"Not Exists","Exists")</f>
        <v>Exists</v>
      </c>
      <c r="N2428" t="str">
        <f t="shared" si="117"/>
        <v>Exists</v>
      </c>
      <c r="O2428" t="str">
        <f t="shared" si="118"/>
        <v>Not Exists</v>
      </c>
      <c r="P2428" t="str">
        <f t="shared" si="119"/>
        <v>Not Exists</v>
      </c>
    </row>
    <row r="2429" spans="1:16">
      <c r="A2429">
        <v>1</v>
      </c>
      <c r="B2429">
        <v>1</v>
      </c>
      <c r="C2429">
        <v>1</v>
      </c>
      <c r="D2429">
        <v>1</v>
      </c>
      <c r="E2429" s="50" t="s">
        <v>1095</v>
      </c>
      <c r="F2429" s="50" t="s">
        <v>1104</v>
      </c>
      <c r="G2429" s="50" t="s">
        <v>256</v>
      </c>
      <c r="H2429" s="50">
        <v>50</v>
      </c>
      <c r="M2429" t="str">
        <f>IF(COUNTIF($A:$A,E2429)=0,"Not Exists","Exists")</f>
        <v>Exists</v>
      </c>
      <c r="N2429" t="str">
        <f t="shared" si="117"/>
        <v>Exists</v>
      </c>
      <c r="O2429" t="str">
        <f t="shared" si="118"/>
        <v>Not Exists</v>
      </c>
      <c r="P2429" t="str">
        <f t="shared" si="119"/>
        <v>Not Exists</v>
      </c>
    </row>
    <row r="2430" spans="1:16">
      <c r="A2430">
        <v>1</v>
      </c>
      <c r="B2430">
        <v>1</v>
      </c>
      <c r="C2430">
        <v>1</v>
      </c>
      <c r="D2430">
        <v>1</v>
      </c>
      <c r="E2430" s="50" t="s">
        <v>1095</v>
      </c>
      <c r="F2430" s="50" t="s">
        <v>1106</v>
      </c>
      <c r="G2430" s="50" t="s">
        <v>251</v>
      </c>
      <c r="H2430" s="50">
        <v>17</v>
      </c>
      <c r="M2430" t="str">
        <f>IF(COUNTIF($A:$A,E2430)=0,"Not Exists","Exists")</f>
        <v>Exists</v>
      </c>
      <c r="N2430" t="str">
        <f t="shared" si="117"/>
        <v>Exists</v>
      </c>
      <c r="O2430" t="str">
        <f t="shared" si="118"/>
        <v>Not Exists</v>
      </c>
      <c r="P2430" t="str">
        <f t="shared" si="119"/>
        <v>Not Exists</v>
      </c>
    </row>
    <row r="2431" spans="1:16">
      <c r="A2431">
        <v>1</v>
      </c>
      <c r="B2431">
        <v>1</v>
      </c>
      <c r="C2431">
        <v>1</v>
      </c>
      <c r="D2431">
        <v>1</v>
      </c>
      <c r="E2431" s="50" t="s">
        <v>1095</v>
      </c>
      <c r="F2431" s="50" t="s">
        <v>1108</v>
      </c>
      <c r="G2431" s="50" t="s">
        <v>256</v>
      </c>
      <c r="H2431" s="50">
        <v>50</v>
      </c>
      <c r="M2431" t="str">
        <f>IF(COUNTIF($A:$A,E2431)=0,"Not Exists","Exists")</f>
        <v>Exists</v>
      </c>
      <c r="N2431" t="str">
        <f t="shared" si="117"/>
        <v>Exists</v>
      </c>
      <c r="O2431" t="str">
        <f t="shared" si="118"/>
        <v>Not Exists</v>
      </c>
      <c r="P2431" t="str">
        <f t="shared" si="119"/>
        <v>Not Exists</v>
      </c>
    </row>
    <row r="2432" spans="1:16">
      <c r="A2432">
        <v>1</v>
      </c>
      <c r="B2432">
        <v>1</v>
      </c>
      <c r="C2432">
        <v>1</v>
      </c>
      <c r="D2432">
        <v>1</v>
      </c>
      <c r="E2432" s="50" t="s">
        <v>1095</v>
      </c>
      <c r="F2432" s="50" t="s">
        <v>1110</v>
      </c>
      <c r="G2432" s="50" t="s">
        <v>256</v>
      </c>
      <c r="H2432" s="50">
        <v>450</v>
      </c>
      <c r="M2432" t="str">
        <f>IF(COUNTIF($A:$A,E2432)=0,"Not Exists","Exists")</f>
        <v>Exists</v>
      </c>
      <c r="N2432" t="str">
        <f t="shared" si="117"/>
        <v>Exists</v>
      </c>
      <c r="O2432" t="str">
        <f t="shared" si="118"/>
        <v>Not Exists</v>
      </c>
      <c r="P2432" t="str">
        <f t="shared" si="119"/>
        <v>Not Exists</v>
      </c>
    </row>
    <row r="2433" spans="1:16">
      <c r="A2433">
        <v>1</v>
      </c>
      <c r="B2433">
        <v>1</v>
      </c>
      <c r="C2433">
        <v>1</v>
      </c>
      <c r="D2433">
        <v>1</v>
      </c>
      <c r="E2433" s="50" t="s">
        <v>1095</v>
      </c>
      <c r="F2433" s="50" t="s">
        <v>1112</v>
      </c>
      <c r="G2433" s="50" t="s">
        <v>256</v>
      </c>
      <c r="H2433" s="50">
        <v>450</v>
      </c>
      <c r="M2433" t="str">
        <f>IF(COUNTIF($A:$A,E2433)=0,"Not Exists","Exists")</f>
        <v>Exists</v>
      </c>
      <c r="N2433" t="str">
        <f t="shared" si="117"/>
        <v>Exists</v>
      </c>
      <c r="O2433" t="str">
        <f t="shared" si="118"/>
        <v>Not Exists</v>
      </c>
      <c r="P2433" t="str">
        <f t="shared" si="119"/>
        <v>Not Exists</v>
      </c>
    </row>
    <row r="2434" spans="1:16">
      <c r="A2434">
        <v>1</v>
      </c>
      <c r="B2434">
        <v>1</v>
      </c>
      <c r="C2434">
        <v>1</v>
      </c>
      <c r="D2434">
        <v>1</v>
      </c>
      <c r="E2434" s="50" t="s">
        <v>1095</v>
      </c>
      <c r="F2434" s="50" t="s">
        <v>1114</v>
      </c>
      <c r="G2434" s="50" t="s">
        <v>254</v>
      </c>
      <c r="H2434" s="50">
        <v>22</v>
      </c>
      <c r="M2434" t="str">
        <f>IF(COUNTIF($A:$A,E2434)=0,"Not Exists","Exists")</f>
        <v>Exists</v>
      </c>
      <c r="N2434" t="str">
        <f t="shared" ref="N2434:N2497" si="120">IF(COUNTIF($A:$B,F2434)=0,"Not Exists","Exists")</f>
        <v>Exists</v>
      </c>
      <c r="O2434" t="str">
        <f t="shared" si="118"/>
        <v>Not Exists</v>
      </c>
      <c r="P2434" t="str">
        <f t="shared" si="119"/>
        <v>Not Exists</v>
      </c>
    </row>
    <row r="2435" spans="1:16">
      <c r="A2435">
        <v>1</v>
      </c>
      <c r="B2435">
        <v>1</v>
      </c>
      <c r="C2435">
        <v>1</v>
      </c>
      <c r="D2435">
        <v>1</v>
      </c>
      <c r="E2435" s="50" t="s">
        <v>1095</v>
      </c>
      <c r="F2435" s="50" t="s">
        <v>1116</v>
      </c>
      <c r="G2435" s="50" t="s">
        <v>256</v>
      </c>
      <c r="H2435" s="50">
        <v>50</v>
      </c>
      <c r="M2435" t="str">
        <f>IF(COUNTIF($A:$A,E2435)=0,"Not Exists","Exists")</f>
        <v>Exists</v>
      </c>
      <c r="N2435" t="str">
        <f t="shared" si="120"/>
        <v>Exists</v>
      </c>
      <c r="O2435" t="str">
        <f t="shared" si="118"/>
        <v>Not Exists</v>
      </c>
      <c r="P2435" t="str">
        <f t="shared" si="119"/>
        <v>Not Exists</v>
      </c>
    </row>
    <row r="2436" spans="1:16">
      <c r="A2436">
        <v>1</v>
      </c>
      <c r="B2436">
        <v>1</v>
      </c>
      <c r="C2436">
        <v>1</v>
      </c>
      <c r="D2436">
        <v>1</v>
      </c>
      <c r="E2436" s="50" t="s">
        <v>1095</v>
      </c>
      <c r="F2436" s="50" t="s">
        <v>1118</v>
      </c>
      <c r="G2436" s="50" t="s">
        <v>256</v>
      </c>
      <c r="H2436" s="50">
        <v>50</v>
      </c>
      <c r="M2436" t="str">
        <f>IF(COUNTIF($A:$A,E2436)=0,"Not Exists","Exists")</f>
        <v>Exists</v>
      </c>
      <c r="N2436" t="str">
        <f t="shared" si="120"/>
        <v>Exists</v>
      </c>
      <c r="O2436" t="str">
        <f t="shared" ref="O2436:O2499" si="121">IF(COUNTIF($E:$E,A2436)=0,"Not Exists","Exists")</f>
        <v>Not Exists</v>
      </c>
      <c r="P2436" t="str">
        <f t="shared" ref="P2436:P2499" si="122">IF(COUNTIF($F:$F,B2436)=0,"Not Exists","Exists")</f>
        <v>Not Exists</v>
      </c>
    </row>
    <row r="2437" spans="1:16">
      <c r="A2437">
        <v>1</v>
      </c>
      <c r="B2437">
        <v>1</v>
      </c>
      <c r="C2437">
        <v>1</v>
      </c>
      <c r="D2437">
        <v>1</v>
      </c>
      <c r="E2437" s="50" t="s">
        <v>1120</v>
      </c>
      <c r="F2437" s="50" t="s">
        <v>1121</v>
      </c>
      <c r="G2437" s="50" t="s">
        <v>256</v>
      </c>
      <c r="H2437" s="50">
        <v>50</v>
      </c>
      <c r="M2437" t="str">
        <f>IF(COUNTIF($A:$A,E2437)=0,"Not Exists","Exists")</f>
        <v>Exists</v>
      </c>
      <c r="N2437" t="str">
        <f t="shared" si="120"/>
        <v>Exists</v>
      </c>
      <c r="O2437" t="str">
        <f t="shared" si="121"/>
        <v>Not Exists</v>
      </c>
      <c r="P2437" t="str">
        <f t="shared" si="122"/>
        <v>Not Exists</v>
      </c>
    </row>
    <row r="2438" spans="1:16">
      <c r="A2438">
        <v>1</v>
      </c>
      <c r="B2438">
        <v>1</v>
      </c>
      <c r="C2438">
        <v>1</v>
      </c>
      <c r="D2438">
        <v>1</v>
      </c>
      <c r="E2438" s="50" t="s">
        <v>1120</v>
      </c>
      <c r="F2438" s="50" t="s">
        <v>1133</v>
      </c>
      <c r="G2438" s="50" t="s">
        <v>256</v>
      </c>
      <c r="H2438" s="50">
        <v>450</v>
      </c>
      <c r="M2438" t="str">
        <f>IF(COUNTIF($A:$A,E2438)=0,"Not Exists","Exists")</f>
        <v>Exists</v>
      </c>
      <c r="N2438" t="str">
        <f t="shared" si="120"/>
        <v>Exists</v>
      </c>
      <c r="O2438" t="str">
        <f t="shared" si="121"/>
        <v>Not Exists</v>
      </c>
      <c r="P2438" t="str">
        <f t="shared" si="122"/>
        <v>Not Exists</v>
      </c>
    </row>
    <row r="2439" spans="1:16">
      <c r="A2439">
        <v>1</v>
      </c>
      <c r="B2439">
        <v>1</v>
      </c>
      <c r="C2439">
        <v>1</v>
      </c>
      <c r="D2439">
        <v>1</v>
      </c>
      <c r="E2439" s="50" t="s">
        <v>1120</v>
      </c>
      <c r="F2439" s="50" t="s">
        <v>1135</v>
      </c>
      <c r="G2439" s="50" t="s">
        <v>256</v>
      </c>
      <c r="H2439" s="50">
        <v>3000</v>
      </c>
      <c r="M2439" t="str">
        <f>IF(COUNTIF($A:$A,E2439)=0,"Not Exists","Exists")</f>
        <v>Exists</v>
      </c>
      <c r="N2439" t="str">
        <f t="shared" si="120"/>
        <v>Exists</v>
      </c>
      <c r="O2439" t="str">
        <f t="shared" si="121"/>
        <v>Not Exists</v>
      </c>
      <c r="P2439" t="str">
        <f t="shared" si="122"/>
        <v>Not Exists</v>
      </c>
    </row>
    <row r="2440" spans="1:16">
      <c r="A2440">
        <v>1</v>
      </c>
      <c r="B2440">
        <v>1</v>
      </c>
      <c r="C2440">
        <v>1</v>
      </c>
      <c r="D2440">
        <v>1</v>
      </c>
      <c r="E2440" s="50" t="s">
        <v>1120</v>
      </c>
      <c r="F2440" s="50" t="s">
        <v>1137</v>
      </c>
      <c r="G2440" s="50" t="s">
        <v>251</v>
      </c>
      <c r="H2440" s="50">
        <v>1</v>
      </c>
      <c r="M2440" t="str">
        <f>IF(COUNTIF($A:$A,E2440)=0,"Not Exists","Exists")</f>
        <v>Exists</v>
      </c>
      <c r="N2440" t="str">
        <f t="shared" si="120"/>
        <v>Exists</v>
      </c>
      <c r="O2440" t="str">
        <f t="shared" si="121"/>
        <v>Not Exists</v>
      </c>
      <c r="P2440" t="str">
        <f t="shared" si="122"/>
        <v>Not Exists</v>
      </c>
    </row>
    <row r="2441" spans="1:16">
      <c r="A2441">
        <v>1</v>
      </c>
      <c r="B2441">
        <v>1</v>
      </c>
      <c r="C2441">
        <v>1</v>
      </c>
      <c r="D2441">
        <v>1</v>
      </c>
      <c r="E2441" s="50" t="s">
        <v>1120</v>
      </c>
      <c r="F2441" s="50" t="s">
        <v>1139</v>
      </c>
      <c r="G2441" s="50" t="s">
        <v>254</v>
      </c>
      <c r="H2441" s="50">
        <v>22</v>
      </c>
      <c r="M2441" t="str">
        <f>IF(COUNTIF($A:$A,E2441)=0,"Not Exists","Exists")</f>
        <v>Exists</v>
      </c>
      <c r="N2441" t="str">
        <f t="shared" si="120"/>
        <v>Exists</v>
      </c>
      <c r="O2441" t="str">
        <f t="shared" si="121"/>
        <v>Not Exists</v>
      </c>
      <c r="P2441" t="str">
        <f t="shared" si="122"/>
        <v>Not Exists</v>
      </c>
    </row>
    <row r="2442" spans="1:16">
      <c r="A2442">
        <v>1</v>
      </c>
      <c r="B2442">
        <v>1</v>
      </c>
      <c r="C2442">
        <v>1</v>
      </c>
      <c r="D2442">
        <v>1</v>
      </c>
      <c r="E2442" s="50" t="s">
        <v>1120</v>
      </c>
      <c r="F2442" s="50" t="s">
        <v>1141</v>
      </c>
      <c r="G2442" s="50" t="s">
        <v>254</v>
      </c>
      <c r="H2442" s="50">
        <v>22</v>
      </c>
      <c r="M2442" t="str">
        <f>IF(COUNTIF($A:$A,E2442)=0,"Not Exists","Exists")</f>
        <v>Exists</v>
      </c>
      <c r="N2442" t="str">
        <f t="shared" si="120"/>
        <v>Exists</v>
      </c>
      <c r="O2442" t="str">
        <f t="shared" si="121"/>
        <v>Not Exists</v>
      </c>
      <c r="P2442" t="str">
        <f t="shared" si="122"/>
        <v>Not Exists</v>
      </c>
    </row>
    <row r="2443" spans="1:16">
      <c r="A2443">
        <v>1</v>
      </c>
      <c r="B2443">
        <v>1</v>
      </c>
      <c r="C2443">
        <v>1</v>
      </c>
      <c r="D2443">
        <v>1</v>
      </c>
      <c r="E2443" s="50" t="s">
        <v>1120</v>
      </c>
      <c r="F2443" s="50" t="s">
        <v>1143</v>
      </c>
      <c r="G2443" s="50" t="s">
        <v>254</v>
      </c>
      <c r="H2443" s="50">
        <v>22</v>
      </c>
      <c r="M2443" t="str">
        <f>IF(COUNTIF($A:$A,E2443)=0,"Not Exists","Exists")</f>
        <v>Exists</v>
      </c>
      <c r="N2443" t="str">
        <f t="shared" si="120"/>
        <v>Exists</v>
      </c>
      <c r="O2443" t="str">
        <f t="shared" si="121"/>
        <v>Not Exists</v>
      </c>
      <c r="P2443" t="str">
        <f t="shared" si="122"/>
        <v>Not Exists</v>
      </c>
    </row>
    <row r="2444" spans="1:16">
      <c r="A2444">
        <v>1</v>
      </c>
      <c r="B2444">
        <v>1</v>
      </c>
      <c r="C2444">
        <v>1</v>
      </c>
      <c r="D2444">
        <v>1</v>
      </c>
      <c r="E2444" s="50" t="s">
        <v>1120</v>
      </c>
      <c r="F2444" s="50" t="s">
        <v>1125</v>
      </c>
      <c r="G2444" s="50" t="s">
        <v>251</v>
      </c>
      <c r="H2444" s="50">
        <v>17</v>
      </c>
      <c r="M2444" t="str">
        <f>IF(COUNTIF($A:$A,E2444)=0,"Not Exists","Exists")</f>
        <v>Exists</v>
      </c>
      <c r="N2444" t="str">
        <f t="shared" si="120"/>
        <v>Exists</v>
      </c>
      <c r="O2444" t="str">
        <f t="shared" si="121"/>
        <v>Not Exists</v>
      </c>
      <c r="P2444" t="str">
        <f t="shared" si="122"/>
        <v>Not Exists</v>
      </c>
    </row>
    <row r="2445" spans="1:16">
      <c r="A2445">
        <v>1</v>
      </c>
      <c r="B2445">
        <v>1</v>
      </c>
      <c r="C2445">
        <v>1</v>
      </c>
      <c r="D2445">
        <v>1</v>
      </c>
      <c r="E2445" s="50" t="s">
        <v>1120</v>
      </c>
      <c r="F2445" s="50" t="s">
        <v>1127</v>
      </c>
      <c r="G2445" s="50" t="s">
        <v>256</v>
      </c>
      <c r="H2445" s="50">
        <v>50</v>
      </c>
      <c r="M2445" t="str">
        <f>IF(COUNTIF($A:$A,E2445)=0,"Not Exists","Exists")</f>
        <v>Exists</v>
      </c>
      <c r="N2445" t="str">
        <f t="shared" si="120"/>
        <v>Exists</v>
      </c>
      <c r="O2445" t="str">
        <f t="shared" si="121"/>
        <v>Not Exists</v>
      </c>
      <c r="P2445" t="str">
        <f t="shared" si="122"/>
        <v>Not Exists</v>
      </c>
    </row>
    <row r="2446" spans="1:16">
      <c r="A2446">
        <v>1</v>
      </c>
      <c r="B2446">
        <v>1</v>
      </c>
      <c r="C2446">
        <v>1</v>
      </c>
      <c r="D2446">
        <v>1</v>
      </c>
      <c r="E2446" s="50" t="s">
        <v>1120</v>
      </c>
      <c r="F2446" s="50" t="s">
        <v>1129</v>
      </c>
      <c r="G2446" s="50" t="s">
        <v>251</v>
      </c>
      <c r="H2446" s="50">
        <v>17</v>
      </c>
      <c r="M2446" t="str">
        <f>IF(COUNTIF($A:$A,E2446)=0,"Not Exists","Exists")</f>
        <v>Exists</v>
      </c>
      <c r="N2446" t="str">
        <f t="shared" si="120"/>
        <v>Exists</v>
      </c>
      <c r="O2446" t="str">
        <f t="shared" si="121"/>
        <v>Not Exists</v>
      </c>
      <c r="P2446" t="str">
        <f t="shared" si="122"/>
        <v>Not Exists</v>
      </c>
    </row>
    <row r="2447" spans="1:16">
      <c r="A2447">
        <v>1</v>
      </c>
      <c r="B2447">
        <v>1</v>
      </c>
      <c r="C2447">
        <v>1</v>
      </c>
      <c r="D2447">
        <v>1</v>
      </c>
      <c r="E2447" s="50" t="s">
        <v>1120</v>
      </c>
      <c r="F2447" s="50" t="s">
        <v>1131</v>
      </c>
      <c r="G2447" s="50" t="s">
        <v>256</v>
      </c>
      <c r="H2447" s="50">
        <v>50</v>
      </c>
      <c r="M2447" t="str">
        <f>IF(COUNTIF($A:$A,E2447)=0,"Not Exists","Exists")</f>
        <v>Exists</v>
      </c>
      <c r="N2447" t="str">
        <f t="shared" si="120"/>
        <v>Exists</v>
      </c>
      <c r="O2447" t="str">
        <f t="shared" si="121"/>
        <v>Not Exists</v>
      </c>
      <c r="P2447" t="str">
        <f t="shared" si="122"/>
        <v>Not Exists</v>
      </c>
    </row>
    <row r="2448" spans="1:16">
      <c r="A2448">
        <v>1</v>
      </c>
      <c r="B2448">
        <v>1</v>
      </c>
      <c r="C2448">
        <v>1</v>
      </c>
      <c r="D2448">
        <v>1</v>
      </c>
      <c r="E2448" s="50" t="s">
        <v>1234</v>
      </c>
      <c r="F2448" s="50" t="s">
        <v>1235</v>
      </c>
      <c r="G2448" s="50" t="s">
        <v>256</v>
      </c>
      <c r="H2448" s="50">
        <v>50</v>
      </c>
      <c r="M2448" t="str">
        <f>IF(COUNTIF($A:$A,E2448)=0,"Not Exists","Exists")</f>
        <v>Exists</v>
      </c>
      <c r="N2448" t="str">
        <f t="shared" si="120"/>
        <v>Exists</v>
      </c>
      <c r="O2448" t="str">
        <f t="shared" si="121"/>
        <v>Not Exists</v>
      </c>
      <c r="P2448" t="str">
        <f t="shared" si="122"/>
        <v>Not Exists</v>
      </c>
    </row>
    <row r="2449" spans="1:16">
      <c r="A2449">
        <v>1</v>
      </c>
      <c r="B2449">
        <v>1</v>
      </c>
      <c r="C2449">
        <v>1</v>
      </c>
      <c r="D2449">
        <v>1</v>
      </c>
      <c r="E2449" s="50" t="s">
        <v>1234</v>
      </c>
      <c r="F2449" s="50" t="s">
        <v>1247</v>
      </c>
      <c r="G2449" s="50" t="s">
        <v>256</v>
      </c>
      <c r="H2449" s="50">
        <v>450</v>
      </c>
      <c r="M2449" t="str">
        <f>IF(COUNTIF($A:$A,E2449)=0,"Not Exists","Exists")</f>
        <v>Exists</v>
      </c>
      <c r="N2449" t="str">
        <f t="shared" si="120"/>
        <v>Exists</v>
      </c>
      <c r="O2449" t="str">
        <f t="shared" si="121"/>
        <v>Not Exists</v>
      </c>
      <c r="P2449" t="str">
        <f t="shared" si="122"/>
        <v>Not Exists</v>
      </c>
    </row>
    <row r="2450" spans="1:16">
      <c r="A2450">
        <v>1</v>
      </c>
      <c r="B2450">
        <v>1</v>
      </c>
      <c r="C2450">
        <v>1</v>
      </c>
      <c r="D2450">
        <v>1</v>
      </c>
      <c r="E2450" s="50" t="s">
        <v>1234</v>
      </c>
      <c r="F2450" s="50" t="s">
        <v>1249</v>
      </c>
      <c r="G2450" s="50" t="s">
        <v>256</v>
      </c>
      <c r="H2450" s="50">
        <v>1000</v>
      </c>
      <c r="M2450" t="str">
        <f>IF(COUNTIF($A:$A,E2450)=0,"Not Exists","Exists")</f>
        <v>Exists</v>
      </c>
      <c r="N2450" t="str">
        <f t="shared" si="120"/>
        <v>Exists</v>
      </c>
      <c r="O2450" t="str">
        <f t="shared" si="121"/>
        <v>Not Exists</v>
      </c>
      <c r="P2450" t="str">
        <f t="shared" si="122"/>
        <v>Not Exists</v>
      </c>
    </row>
    <row r="2451" spans="1:16">
      <c r="A2451">
        <v>1</v>
      </c>
      <c r="B2451">
        <v>1</v>
      </c>
      <c r="C2451">
        <v>1</v>
      </c>
      <c r="D2451">
        <v>1</v>
      </c>
      <c r="E2451" s="50" t="s">
        <v>1234</v>
      </c>
      <c r="F2451" s="50" t="s">
        <v>1239</v>
      </c>
      <c r="G2451" s="50" t="s">
        <v>251</v>
      </c>
      <c r="H2451" s="50">
        <v>17</v>
      </c>
      <c r="M2451" t="str">
        <f>IF(COUNTIF($A:$A,E2451)=0,"Not Exists","Exists")</f>
        <v>Exists</v>
      </c>
      <c r="N2451" t="str">
        <f t="shared" si="120"/>
        <v>Exists</v>
      </c>
      <c r="O2451" t="str">
        <f t="shared" si="121"/>
        <v>Not Exists</v>
      </c>
      <c r="P2451" t="str">
        <f t="shared" si="122"/>
        <v>Not Exists</v>
      </c>
    </row>
    <row r="2452" spans="1:16">
      <c r="A2452">
        <v>1</v>
      </c>
      <c r="B2452">
        <v>1</v>
      </c>
      <c r="C2452">
        <v>1</v>
      </c>
      <c r="D2452">
        <v>1</v>
      </c>
      <c r="E2452" s="50" t="s">
        <v>1234</v>
      </c>
      <c r="F2452" s="50" t="s">
        <v>1241</v>
      </c>
      <c r="G2452" s="50" t="s">
        <v>256</v>
      </c>
      <c r="H2452" s="50">
        <v>50</v>
      </c>
      <c r="M2452" t="str">
        <f>IF(COUNTIF($A:$A,E2452)=0,"Not Exists","Exists")</f>
        <v>Exists</v>
      </c>
      <c r="N2452" t="str">
        <f t="shared" si="120"/>
        <v>Exists</v>
      </c>
      <c r="O2452" t="str">
        <f t="shared" si="121"/>
        <v>Not Exists</v>
      </c>
      <c r="P2452" t="str">
        <f t="shared" si="122"/>
        <v>Not Exists</v>
      </c>
    </row>
    <row r="2453" spans="1:16">
      <c r="A2453">
        <v>1</v>
      </c>
      <c r="B2453">
        <v>1</v>
      </c>
      <c r="C2453">
        <v>1</v>
      </c>
      <c r="D2453">
        <v>1</v>
      </c>
      <c r="E2453" s="50" t="s">
        <v>1234</v>
      </c>
      <c r="F2453" s="50" t="s">
        <v>1243</v>
      </c>
      <c r="G2453" s="50" t="s">
        <v>251</v>
      </c>
      <c r="H2453" s="50">
        <v>17</v>
      </c>
      <c r="M2453" t="str">
        <f>IF(COUNTIF($A:$A,E2453)=0,"Not Exists","Exists")</f>
        <v>Exists</v>
      </c>
      <c r="N2453" t="str">
        <f t="shared" si="120"/>
        <v>Exists</v>
      </c>
      <c r="O2453" t="str">
        <f t="shared" si="121"/>
        <v>Not Exists</v>
      </c>
      <c r="P2453" t="str">
        <f t="shared" si="122"/>
        <v>Not Exists</v>
      </c>
    </row>
    <row r="2454" spans="1:16">
      <c r="A2454">
        <v>1</v>
      </c>
      <c r="B2454">
        <v>1</v>
      </c>
      <c r="C2454">
        <v>1</v>
      </c>
      <c r="D2454">
        <v>1</v>
      </c>
      <c r="E2454" s="50" t="s">
        <v>1234</v>
      </c>
      <c r="F2454" s="50" t="s">
        <v>1245</v>
      </c>
      <c r="G2454" s="50" t="s">
        <v>256</v>
      </c>
      <c r="H2454" s="50">
        <v>50</v>
      </c>
      <c r="M2454" t="str">
        <f>IF(COUNTIF($A:$A,E2454)=0,"Not Exists","Exists")</f>
        <v>Exists</v>
      </c>
      <c r="N2454" t="str">
        <f t="shared" si="120"/>
        <v>Exists</v>
      </c>
      <c r="O2454" t="str">
        <f t="shared" si="121"/>
        <v>Not Exists</v>
      </c>
      <c r="P2454" t="str">
        <f t="shared" si="122"/>
        <v>Not Exists</v>
      </c>
    </row>
    <row r="2455" spans="1:16">
      <c r="A2455">
        <v>1</v>
      </c>
      <c r="B2455">
        <v>1</v>
      </c>
      <c r="C2455">
        <v>1</v>
      </c>
      <c r="D2455">
        <v>1</v>
      </c>
      <c r="E2455" s="50" t="s">
        <v>1251</v>
      </c>
      <c r="F2455" s="50" t="s">
        <v>1252</v>
      </c>
      <c r="G2455" s="50" t="s">
        <v>256</v>
      </c>
      <c r="H2455" s="50">
        <v>50</v>
      </c>
      <c r="M2455" t="str">
        <f>IF(COUNTIF($A:$A,E2455)=0,"Not Exists","Exists")</f>
        <v>Exists</v>
      </c>
      <c r="N2455" t="str">
        <f t="shared" si="120"/>
        <v>Exists</v>
      </c>
      <c r="O2455" t="str">
        <f t="shared" si="121"/>
        <v>Not Exists</v>
      </c>
      <c r="P2455" t="str">
        <f t="shared" si="122"/>
        <v>Not Exists</v>
      </c>
    </row>
    <row r="2456" spans="1:16">
      <c r="A2456">
        <v>1</v>
      </c>
      <c r="B2456">
        <v>1</v>
      </c>
      <c r="C2456">
        <v>1</v>
      </c>
      <c r="D2456">
        <v>1</v>
      </c>
      <c r="E2456" s="50" t="s">
        <v>1251</v>
      </c>
      <c r="F2456" s="50" t="s">
        <v>1264</v>
      </c>
      <c r="G2456" s="50" t="s">
        <v>256</v>
      </c>
      <c r="H2456" s="50">
        <v>450</v>
      </c>
      <c r="M2456" t="str">
        <f>IF(COUNTIF($A:$A,E2456)=0,"Not Exists","Exists")</f>
        <v>Exists</v>
      </c>
      <c r="N2456" t="str">
        <f t="shared" si="120"/>
        <v>Exists</v>
      </c>
      <c r="O2456" t="str">
        <f t="shared" si="121"/>
        <v>Not Exists</v>
      </c>
      <c r="P2456" t="str">
        <f t="shared" si="122"/>
        <v>Not Exists</v>
      </c>
    </row>
    <row r="2457" spans="1:16">
      <c r="A2457">
        <v>1</v>
      </c>
      <c r="B2457">
        <v>1</v>
      </c>
      <c r="C2457">
        <v>1</v>
      </c>
      <c r="D2457">
        <v>1</v>
      </c>
      <c r="E2457" s="50" t="s">
        <v>1251</v>
      </c>
      <c r="F2457" s="50" t="s">
        <v>1266</v>
      </c>
      <c r="G2457" s="50" t="s">
        <v>256</v>
      </c>
      <c r="H2457" s="50">
        <v>1000</v>
      </c>
      <c r="M2457" t="str">
        <f>IF(COUNTIF($A:$A,E2457)=0,"Not Exists","Exists")</f>
        <v>Exists</v>
      </c>
      <c r="N2457" t="str">
        <f t="shared" si="120"/>
        <v>Exists</v>
      </c>
      <c r="O2457" t="str">
        <f t="shared" si="121"/>
        <v>Not Exists</v>
      </c>
      <c r="P2457" t="str">
        <f t="shared" si="122"/>
        <v>Not Exists</v>
      </c>
    </row>
    <row r="2458" spans="1:16">
      <c r="A2458">
        <v>1</v>
      </c>
      <c r="B2458">
        <v>1</v>
      </c>
      <c r="C2458">
        <v>1</v>
      </c>
      <c r="D2458">
        <v>1</v>
      </c>
      <c r="E2458" s="50" t="s">
        <v>1251</v>
      </c>
      <c r="F2458" s="50" t="s">
        <v>1268</v>
      </c>
      <c r="G2458" s="50" t="s">
        <v>254</v>
      </c>
      <c r="H2458" s="50">
        <v>22</v>
      </c>
      <c r="M2458" t="str">
        <f>IF(COUNTIF($A:$A,E2458)=0,"Not Exists","Exists")</f>
        <v>Exists</v>
      </c>
      <c r="N2458" t="str">
        <f t="shared" si="120"/>
        <v>Exists</v>
      </c>
      <c r="O2458" t="str">
        <f t="shared" si="121"/>
        <v>Not Exists</v>
      </c>
      <c r="P2458" t="str">
        <f t="shared" si="122"/>
        <v>Not Exists</v>
      </c>
    </row>
    <row r="2459" spans="1:16">
      <c r="A2459">
        <v>1</v>
      </c>
      <c r="B2459">
        <v>1</v>
      </c>
      <c r="C2459">
        <v>1</v>
      </c>
      <c r="D2459">
        <v>1</v>
      </c>
      <c r="E2459" s="50" t="s">
        <v>1251</v>
      </c>
      <c r="F2459" s="50" t="s">
        <v>1270</v>
      </c>
      <c r="G2459" s="50" t="s">
        <v>256</v>
      </c>
      <c r="H2459" s="50">
        <v>50</v>
      </c>
      <c r="M2459" t="str">
        <f>IF(COUNTIF($A:$A,E2459)=0,"Not Exists","Exists")</f>
        <v>Exists</v>
      </c>
      <c r="N2459" t="str">
        <f t="shared" si="120"/>
        <v>Exists</v>
      </c>
      <c r="O2459" t="str">
        <f t="shared" si="121"/>
        <v>Not Exists</v>
      </c>
      <c r="P2459" t="str">
        <f t="shared" si="122"/>
        <v>Not Exists</v>
      </c>
    </row>
    <row r="2460" spans="1:16">
      <c r="A2460">
        <v>1</v>
      </c>
      <c r="B2460">
        <v>1</v>
      </c>
      <c r="C2460">
        <v>1</v>
      </c>
      <c r="D2460">
        <v>1</v>
      </c>
      <c r="E2460" s="50" t="s">
        <v>1251</v>
      </c>
      <c r="F2460" s="50" t="s">
        <v>1256</v>
      </c>
      <c r="G2460" s="50" t="s">
        <v>251</v>
      </c>
      <c r="H2460" s="50">
        <v>17</v>
      </c>
      <c r="M2460" t="str">
        <f>IF(COUNTIF($A:$A,E2460)=0,"Not Exists","Exists")</f>
        <v>Exists</v>
      </c>
      <c r="N2460" t="str">
        <f t="shared" si="120"/>
        <v>Exists</v>
      </c>
      <c r="O2460" t="str">
        <f t="shared" si="121"/>
        <v>Not Exists</v>
      </c>
      <c r="P2460" t="str">
        <f t="shared" si="122"/>
        <v>Not Exists</v>
      </c>
    </row>
    <row r="2461" spans="1:16">
      <c r="A2461">
        <v>1</v>
      </c>
      <c r="B2461">
        <v>1</v>
      </c>
      <c r="C2461">
        <v>1</v>
      </c>
      <c r="D2461">
        <v>1</v>
      </c>
      <c r="E2461" s="50" t="s">
        <v>1251</v>
      </c>
      <c r="F2461" s="50" t="s">
        <v>1258</v>
      </c>
      <c r="G2461" s="50" t="s">
        <v>256</v>
      </c>
      <c r="H2461" s="50">
        <v>50</v>
      </c>
      <c r="M2461" t="str">
        <f>IF(COUNTIF($A:$A,E2461)=0,"Not Exists","Exists")</f>
        <v>Exists</v>
      </c>
      <c r="N2461" t="str">
        <f t="shared" si="120"/>
        <v>Exists</v>
      </c>
      <c r="O2461" t="str">
        <f t="shared" si="121"/>
        <v>Not Exists</v>
      </c>
      <c r="P2461" t="str">
        <f t="shared" si="122"/>
        <v>Not Exists</v>
      </c>
    </row>
    <row r="2462" spans="1:16">
      <c r="A2462">
        <v>1</v>
      </c>
      <c r="B2462">
        <v>1</v>
      </c>
      <c r="C2462">
        <v>1</v>
      </c>
      <c r="D2462">
        <v>1</v>
      </c>
      <c r="E2462" s="50" t="s">
        <v>1251</v>
      </c>
      <c r="F2462" s="50" t="s">
        <v>1260</v>
      </c>
      <c r="G2462" s="50" t="s">
        <v>251</v>
      </c>
      <c r="H2462" s="50">
        <v>17</v>
      </c>
      <c r="M2462" t="str">
        <f>IF(COUNTIF($A:$A,E2462)=0,"Not Exists","Exists")</f>
        <v>Exists</v>
      </c>
      <c r="N2462" t="str">
        <f t="shared" si="120"/>
        <v>Exists</v>
      </c>
      <c r="O2462" t="str">
        <f t="shared" si="121"/>
        <v>Not Exists</v>
      </c>
      <c r="P2462" t="str">
        <f t="shared" si="122"/>
        <v>Not Exists</v>
      </c>
    </row>
    <row r="2463" spans="1:16">
      <c r="A2463">
        <v>1</v>
      </c>
      <c r="B2463">
        <v>1</v>
      </c>
      <c r="C2463">
        <v>1</v>
      </c>
      <c r="D2463">
        <v>1</v>
      </c>
      <c r="E2463" s="50" t="s">
        <v>1251</v>
      </c>
      <c r="F2463" s="50" t="s">
        <v>1262</v>
      </c>
      <c r="G2463" s="50" t="s">
        <v>256</v>
      </c>
      <c r="H2463" s="50">
        <v>50</v>
      </c>
      <c r="M2463" t="str">
        <f>IF(COUNTIF($A:$A,E2463)=0,"Not Exists","Exists")</f>
        <v>Exists</v>
      </c>
      <c r="N2463" t="str">
        <f t="shared" si="120"/>
        <v>Exists</v>
      </c>
      <c r="O2463" t="str">
        <f t="shared" si="121"/>
        <v>Not Exists</v>
      </c>
      <c r="P2463" t="str">
        <f t="shared" si="122"/>
        <v>Not Exists</v>
      </c>
    </row>
    <row r="2464" spans="1:16">
      <c r="A2464">
        <v>1</v>
      </c>
      <c r="B2464">
        <v>1</v>
      </c>
      <c r="C2464">
        <v>1</v>
      </c>
      <c r="D2464">
        <v>1</v>
      </c>
      <c r="E2464" s="50" t="s">
        <v>1272</v>
      </c>
      <c r="F2464" s="50" t="s">
        <v>1273</v>
      </c>
      <c r="G2464" s="50" t="s">
        <v>256</v>
      </c>
      <c r="H2464" s="50">
        <v>50</v>
      </c>
      <c r="M2464" t="str">
        <f>IF(COUNTIF($A:$A,E2464)=0,"Not Exists","Exists")</f>
        <v>Exists</v>
      </c>
      <c r="N2464" t="str">
        <f t="shared" si="120"/>
        <v>Exists</v>
      </c>
      <c r="O2464" t="str">
        <f t="shared" si="121"/>
        <v>Not Exists</v>
      </c>
      <c r="P2464" t="str">
        <f t="shared" si="122"/>
        <v>Not Exists</v>
      </c>
    </row>
    <row r="2465" spans="1:16">
      <c r="A2465">
        <v>1</v>
      </c>
      <c r="B2465">
        <v>1</v>
      </c>
      <c r="C2465">
        <v>1</v>
      </c>
      <c r="D2465">
        <v>1</v>
      </c>
      <c r="E2465" s="50" t="s">
        <v>1272</v>
      </c>
      <c r="F2465" s="50" t="s">
        <v>1285</v>
      </c>
      <c r="G2465" s="50" t="s">
        <v>254</v>
      </c>
      <c r="H2465" s="50">
        <v>22</v>
      </c>
      <c r="M2465" t="str">
        <f>IF(COUNTIF($A:$A,E2465)=0,"Not Exists","Exists")</f>
        <v>Exists</v>
      </c>
      <c r="N2465" t="str">
        <f t="shared" si="120"/>
        <v>Exists</v>
      </c>
      <c r="O2465" t="str">
        <f t="shared" si="121"/>
        <v>Not Exists</v>
      </c>
      <c r="P2465" t="str">
        <f t="shared" si="122"/>
        <v>Not Exists</v>
      </c>
    </row>
    <row r="2466" spans="1:16">
      <c r="A2466">
        <v>1</v>
      </c>
      <c r="B2466">
        <v>1</v>
      </c>
      <c r="C2466">
        <v>1</v>
      </c>
      <c r="D2466">
        <v>1</v>
      </c>
      <c r="E2466" s="50" t="s">
        <v>1272</v>
      </c>
      <c r="F2466" s="50" t="s">
        <v>1287</v>
      </c>
      <c r="G2466" s="50" t="s">
        <v>256</v>
      </c>
      <c r="H2466" s="50">
        <v>50</v>
      </c>
      <c r="M2466" t="str">
        <f>IF(COUNTIF($A:$A,E2466)=0,"Not Exists","Exists")</f>
        <v>Exists</v>
      </c>
      <c r="N2466" t="str">
        <f t="shared" si="120"/>
        <v>Exists</v>
      </c>
      <c r="O2466" t="str">
        <f t="shared" si="121"/>
        <v>Not Exists</v>
      </c>
      <c r="P2466" t="str">
        <f t="shared" si="122"/>
        <v>Not Exists</v>
      </c>
    </row>
    <row r="2467" spans="1:16">
      <c r="A2467">
        <v>1</v>
      </c>
      <c r="B2467">
        <v>1</v>
      </c>
      <c r="C2467">
        <v>1</v>
      </c>
      <c r="D2467">
        <v>1</v>
      </c>
      <c r="E2467" s="50" t="s">
        <v>1272</v>
      </c>
      <c r="F2467" s="50" t="s">
        <v>1289</v>
      </c>
      <c r="G2467" s="50" t="s">
        <v>256</v>
      </c>
      <c r="H2467" s="50">
        <v>2</v>
      </c>
      <c r="M2467" t="str">
        <f>IF(COUNTIF($A:$A,E2467)=0,"Not Exists","Exists")</f>
        <v>Exists</v>
      </c>
      <c r="N2467" t="str">
        <f t="shared" si="120"/>
        <v>Exists</v>
      </c>
      <c r="O2467" t="str">
        <f t="shared" si="121"/>
        <v>Not Exists</v>
      </c>
      <c r="P2467" t="str">
        <f t="shared" si="122"/>
        <v>Not Exists</v>
      </c>
    </row>
    <row r="2468" spans="1:16">
      <c r="A2468">
        <v>1</v>
      </c>
      <c r="B2468">
        <v>1</v>
      </c>
      <c r="C2468">
        <v>1</v>
      </c>
      <c r="D2468">
        <v>1</v>
      </c>
      <c r="E2468" s="50" t="s">
        <v>1272</v>
      </c>
      <c r="F2468" s="50" t="s">
        <v>1291</v>
      </c>
      <c r="G2468" s="50" t="s">
        <v>256</v>
      </c>
      <c r="H2468" s="50">
        <v>50</v>
      </c>
      <c r="M2468" t="str">
        <f>IF(COUNTIF($A:$A,E2468)=0,"Not Exists","Exists")</f>
        <v>Exists</v>
      </c>
      <c r="N2468" t="str">
        <f t="shared" si="120"/>
        <v>Exists</v>
      </c>
      <c r="O2468" t="str">
        <f t="shared" si="121"/>
        <v>Not Exists</v>
      </c>
      <c r="P2468" t="str">
        <f t="shared" si="122"/>
        <v>Not Exists</v>
      </c>
    </row>
    <row r="2469" spans="1:16">
      <c r="A2469">
        <v>1</v>
      </c>
      <c r="B2469">
        <v>1</v>
      </c>
      <c r="C2469">
        <v>1</v>
      </c>
      <c r="D2469">
        <v>1</v>
      </c>
      <c r="E2469" s="50" t="s">
        <v>1272</v>
      </c>
      <c r="F2469" s="50" t="s">
        <v>1293</v>
      </c>
      <c r="G2469" s="50" t="s">
        <v>254</v>
      </c>
      <c r="H2469" s="50">
        <v>22</v>
      </c>
      <c r="M2469" t="str">
        <f>IF(COUNTIF($A:$A,E2469)=0,"Not Exists","Exists")</f>
        <v>Exists</v>
      </c>
      <c r="N2469" t="str">
        <f t="shared" si="120"/>
        <v>Exists</v>
      </c>
      <c r="O2469" t="str">
        <f t="shared" si="121"/>
        <v>Not Exists</v>
      </c>
      <c r="P2469" t="str">
        <f t="shared" si="122"/>
        <v>Not Exists</v>
      </c>
    </row>
    <row r="2470" spans="1:16">
      <c r="A2470">
        <v>1</v>
      </c>
      <c r="B2470">
        <v>1</v>
      </c>
      <c r="C2470">
        <v>1</v>
      </c>
      <c r="D2470">
        <v>1</v>
      </c>
      <c r="E2470" s="50" t="s">
        <v>1272</v>
      </c>
      <c r="F2470" s="50" t="s">
        <v>1295</v>
      </c>
      <c r="G2470" s="50" t="s">
        <v>251</v>
      </c>
      <c r="H2470" s="50">
        <v>1</v>
      </c>
      <c r="M2470" t="str">
        <f>IF(COUNTIF($A:$A,E2470)=0,"Not Exists","Exists")</f>
        <v>Exists</v>
      </c>
      <c r="N2470" t="str">
        <f t="shared" si="120"/>
        <v>Exists</v>
      </c>
      <c r="O2470" t="str">
        <f t="shared" si="121"/>
        <v>Not Exists</v>
      </c>
      <c r="P2470" t="str">
        <f t="shared" si="122"/>
        <v>Not Exists</v>
      </c>
    </row>
    <row r="2471" spans="1:16">
      <c r="A2471">
        <v>1</v>
      </c>
      <c r="B2471">
        <v>1</v>
      </c>
      <c r="C2471">
        <v>1</v>
      </c>
      <c r="D2471">
        <v>1</v>
      </c>
      <c r="E2471" s="50" t="s">
        <v>1272</v>
      </c>
      <c r="F2471" s="50" t="s">
        <v>1297</v>
      </c>
      <c r="G2471" s="50" t="s">
        <v>256</v>
      </c>
      <c r="H2471" s="50">
        <v>450</v>
      </c>
      <c r="M2471" t="str">
        <f>IF(COUNTIF($A:$A,E2471)=0,"Not Exists","Exists")</f>
        <v>Exists</v>
      </c>
      <c r="N2471" t="str">
        <f t="shared" si="120"/>
        <v>Exists</v>
      </c>
      <c r="O2471" t="str">
        <f t="shared" si="121"/>
        <v>Not Exists</v>
      </c>
      <c r="P2471" t="str">
        <f t="shared" si="122"/>
        <v>Not Exists</v>
      </c>
    </row>
    <row r="2472" spans="1:16">
      <c r="A2472">
        <v>1</v>
      </c>
      <c r="B2472">
        <v>1</v>
      </c>
      <c r="C2472">
        <v>1</v>
      </c>
      <c r="D2472">
        <v>1</v>
      </c>
      <c r="E2472" s="50" t="s">
        <v>1272</v>
      </c>
      <c r="F2472" s="50" t="s">
        <v>1299</v>
      </c>
      <c r="G2472" s="50" t="s">
        <v>254</v>
      </c>
      <c r="H2472" s="50">
        <v>22</v>
      </c>
      <c r="M2472" t="str">
        <f>IF(COUNTIF($A:$A,E2472)=0,"Not Exists","Exists")</f>
        <v>Exists</v>
      </c>
      <c r="N2472" t="str">
        <f t="shared" si="120"/>
        <v>Exists</v>
      </c>
      <c r="O2472" t="str">
        <f t="shared" si="121"/>
        <v>Not Exists</v>
      </c>
      <c r="P2472" t="str">
        <f t="shared" si="122"/>
        <v>Not Exists</v>
      </c>
    </row>
    <row r="2473" spans="1:16">
      <c r="A2473">
        <v>1</v>
      </c>
      <c r="B2473">
        <v>1</v>
      </c>
      <c r="C2473">
        <v>1</v>
      </c>
      <c r="D2473">
        <v>1</v>
      </c>
      <c r="E2473" s="50" t="s">
        <v>1272</v>
      </c>
      <c r="F2473" s="50" t="s">
        <v>1301</v>
      </c>
      <c r="G2473" s="50" t="s">
        <v>256</v>
      </c>
      <c r="H2473" s="50">
        <v>3000</v>
      </c>
      <c r="M2473" t="str">
        <f>IF(COUNTIF($A:$A,E2473)=0,"Not Exists","Exists")</f>
        <v>Exists</v>
      </c>
      <c r="N2473" t="str">
        <f t="shared" si="120"/>
        <v>Exists</v>
      </c>
      <c r="O2473" t="str">
        <f t="shared" si="121"/>
        <v>Not Exists</v>
      </c>
      <c r="P2473" t="str">
        <f t="shared" si="122"/>
        <v>Not Exists</v>
      </c>
    </row>
    <row r="2474" spans="1:16">
      <c r="A2474">
        <v>1</v>
      </c>
      <c r="B2474">
        <v>1</v>
      </c>
      <c r="C2474">
        <v>1</v>
      </c>
      <c r="D2474">
        <v>1</v>
      </c>
      <c r="E2474" s="50" t="s">
        <v>1272</v>
      </c>
      <c r="F2474" s="50" t="s">
        <v>1303</v>
      </c>
      <c r="G2474" s="50" t="s">
        <v>251</v>
      </c>
      <c r="H2474" s="50">
        <v>1</v>
      </c>
      <c r="M2474" t="str">
        <f>IF(COUNTIF($A:$A,E2474)=0,"Not Exists","Exists")</f>
        <v>Exists</v>
      </c>
      <c r="N2474" t="str">
        <f t="shared" si="120"/>
        <v>Exists</v>
      </c>
      <c r="O2474" t="str">
        <f t="shared" si="121"/>
        <v>Not Exists</v>
      </c>
      <c r="P2474" t="str">
        <f t="shared" si="122"/>
        <v>Not Exists</v>
      </c>
    </row>
    <row r="2475" spans="1:16">
      <c r="A2475">
        <v>1</v>
      </c>
      <c r="B2475">
        <v>1</v>
      </c>
      <c r="C2475">
        <v>1</v>
      </c>
      <c r="D2475">
        <v>1</v>
      </c>
      <c r="E2475" s="50" t="s">
        <v>1272</v>
      </c>
      <c r="F2475" s="50" t="s">
        <v>1305</v>
      </c>
      <c r="G2475" s="50" t="s">
        <v>251</v>
      </c>
      <c r="H2475" s="50">
        <v>1</v>
      </c>
      <c r="M2475" t="str">
        <f>IF(COUNTIF($A:$A,E2475)=0,"Not Exists","Exists")</f>
        <v>Exists</v>
      </c>
      <c r="N2475" t="str">
        <f t="shared" si="120"/>
        <v>Exists</v>
      </c>
      <c r="O2475" t="str">
        <f t="shared" si="121"/>
        <v>Not Exists</v>
      </c>
      <c r="P2475" t="str">
        <f t="shared" si="122"/>
        <v>Not Exists</v>
      </c>
    </row>
    <row r="2476" spans="1:16">
      <c r="A2476">
        <v>1</v>
      </c>
      <c r="B2476">
        <v>1</v>
      </c>
      <c r="C2476">
        <v>1</v>
      </c>
      <c r="D2476">
        <v>1</v>
      </c>
      <c r="E2476" s="50" t="s">
        <v>1272</v>
      </c>
      <c r="F2476" s="50" t="s">
        <v>1307</v>
      </c>
      <c r="G2476" s="50" t="s">
        <v>254</v>
      </c>
      <c r="H2476" s="50">
        <v>22</v>
      </c>
      <c r="M2476" t="str">
        <f>IF(COUNTIF($A:$A,E2476)=0,"Not Exists","Exists")</f>
        <v>Exists</v>
      </c>
      <c r="N2476" t="str">
        <f t="shared" si="120"/>
        <v>Exists</v>
      </c>
      <c r="O2476" t="str">
        <f t="shared" si="121"/>
        <v>Not Exists</v>
      </c>
      <c r="P2476" t="str">
        <f t="shared" si="122"/>
        <v>Not Exists</v>
      </c>
    </row>
    <row r="2477" spans="1:16">
      <c r="A2477">
        <v>1</v>
      </c>
      <c r="B2477">
        <v>1</v>
      </c>
      <c r="C2477">
        <v>1</v>
      </c>
      <c r="D2477">
        <v>1</v>
      </c>
      <c r="E2477" s="50" t="s">
        <v>1272</v>
      </c>
      <c r="F2477" s="50" t="s">
        <v>1309</v>
      </c>
      <c r="G2477" s="50" t="s">
        <v>256</v>
      </c>
      <c r="H2477" s="50">
        <v>50</v>
      </c>
      <c r="M2477" t="str">
        <f>IF(COUNTIF($A:$A,E2477)=0,"Not Exists","Exists")</f>
        <v>Exists</v>
      </c>
      <c r="N2477" t="str">
        <f t="shared" si="120"/>
        <v>Exists</v>
      </c>
      <c r="O2477" t="str">
        <f t="shared" si="121"/>
        <v>Not Exists</v>
      </c>
      <c r="P2477" t="str">
        <f t="shared" si="122"/>
        <v>Not Exists</v>
      </c>
    </row>
    <row r="2478" spans="1:16">
      <c r="A2478">
        <v>1</v>
      </c>
      <c r="B2478">
        <v>1</v>
      </c>
      <c r="C2478">
        <v>1</v>
      </c>
      <c r="D2478">
        <v>1</v>
      </c>
      <c r="E2478" s="50" t="s">
        <v>1272</v>
      </c>
      <c r="F2478" s="50" t="s">
        <v>1311</v>
      </c>
      <c r="G2478" s="50" t="s">
        <v>256</v>
      </c>
      <c r="H2478" s="50">
        <v>50</v>
      </c>
      <c r="M2478" t="str">
        <f>IF(COUNTIF($A:$A,E2478)=0,"Not Exists","Exists")</f>
        <v>Exists</v>
      </c>
      <c r="N2478" t="str">
        <f t="shared" si="120"/>
        <v>Exists</v>
      </c>
      <c r="O2478" t="str">
        <f t="shared" si="121"/>
        <v>Not Exists</v>
      </c>
      <c r="P2478" t="str">
        <f t="shared" si="122"/>
        <v>Not Exists</v>
      </c>
    </row>
    <row r="2479" spans="1:16">
      <c r="A2479">
        <v>1</v>
      </c>
      <c r="B2479">
        <v>1</v>
      </c>
      <c r="C2479">
        <v>1</v>
      </c>
      <c r="D2479">
        <v>1</v>
      </c>
      <c r="E2479" s="50" t="s">
        <v>1272</v>
      </c>
      <c r="F2479" s="50" t="s">
        <v>1313</v>
      </c>
      <c r="G2479" s="50" t="s">
        <v>251</v>
      </c>
      <c r="H2479" s="50">
        <v>1</v>
      </c>
      <c r="M2479" t="str">
        <f>IF(COUNTIF($A:$A,E2479)=0,"Not Exists","Exists")</f>
        <v>Exists</v>
      </c>
      <c r="N2479" t="str">
        <f t="shared" si="120"/>
        <v>Exists</v>
      </c>
      <c r="O2479" t="str">
        <f t="shared" si="121"/>
        <v>Not Exists</v>
      </c>
      <c r="P2479" t="str">
        <f t="shared" si="122"/>
        <v>Not Exists</v>
      </c>
    </row>
    <row r="2480" spans="1:16">
      <c r="A2480">
        <v>1</v>
      </c>
      <c r="B2480">
        <v>1</v>
      </c>
      <c r="C2480">
        <v>1</v>
      </c>
      <c r="D2480">
        <v>1</v>
      </c>
      <c r="E2480" s="50" t="s">
        <v>1272</v>
      </c>
      <c r="F2480" s="50" t="s">
        <v>1315</v>
      </c>
      <c r="G2480" s="50" t="s">
        <v>254</v>
      </c>
      <c r="H2480" s="50">
        <v>22</v>
      </c>
      <c r="M2480" t="str">
        <f>IF(COUNTIF($A:$A,E2480)=0,"Not Exists","Exists")</f>
        <v>Exists</v>
      </c>
      <c r="N2480" t="str">
        <f t="shared" si="120"/>
        <v>Exists</v>
      </c>
      <c r="O2480" t="str">
        <f t="shared" si="121"/>
        <v>Not Exists</v>
      </c>
      <c r="P2480" t="str">
        <f t="shared" si="122"/>
        <v>Not Exists</v>
      </c>
    </row>
    <row r="2481" spans="1:16">
      <c r="A2481">
        <v>1</v>
      </c>
      <c r="B2481">
        <v>1</v>
      </c>
      <c r="C2481">
        <v>1</v>
      </c>
      <c r="D2481">
        <v>1</v>
      </c>
      <c r="E2481" s="50" t="s">
        <v>1272</v>
      </c>
      <c r="F2481" s="50" t="s">
        <v>1317</v>
      </c>
      <c r="G2481" s="50" t="s">
        <v>256</v>
      </c>
      <c r="H2481" s="50">
        <v>1</v>
      </c>
      <c r="M2481" t="str">
        <f>IF(COUNTIF($A:$A,E2481)=0,"Not Exists","Exists")</f>
        <v>Exists</v>
      </c>
      <c r="N2481" t="str">
        <f t="shared" si="120"/>
        <v>Exists</v>
      </c>
      <c r="O2481" t="str">
        <f t="shared" si="121"/>
        <v>Not Exists</v>
      </c>
      <c r="P2481" t="str">
        <f t="shared" si="122"/>
        <v>Not Exists</v>
      </c>
    </row>
    <row r="2482" spans="1:16">
      <c r="A2482">
        <v>1</v>
      </c>
      <c r="B2482">
        <v>1</v>
      </c>
      <c r="C2482">
        <v>1</v>
      </c>
      <c r="D2482">
        <v>1</v>
      </c>
      <c r="E2482" s="50" t="s">
        <v>1272</v>
      </c>
      <c r="F2482" s="50" t="s">
        <v>1319</v>
      </c>
      <c r="G2482" s="50" t="s">
        <v>256</v>
      </c>
      <c r="H2482" s="50">
        <v>450</v>
      </c>
      <c r="M2482" t="str">
        <f>IF(COUNTIF($A:$A,E2482)=0,"Not Exists","Exists")</f>
        <v>Exists</v>
      </c>
      <c r="N2482" t="str">
        <f t="shared" si="120"/>
        <v>Exists</v>
      </c>
      <c r="O2482" t="str">
        <f t="shared" si="121"/>
        <v>Not Exists</v>
      </c>
      <c r="P2482" t="str">
        <f t="shared" si="122"/>
        <v>Not Exists</v>
      </c>
    </row>
    <row r="2483" spans="1:16">
      <c r="A2483">
        <v>1</v>
      </c>
      <c r="B2483">
        <v>1</v>
      </c>
      <c r="C2483">
        <v>1</v>
      </c>
      <c r="D2483">
        <v>1</v>
      </c>
      <c r="E2483" s="50" t="s">
        <v>1272</v>
      </c>
      <c r="F2483" s="50" t="s">
        <v>1321</v>
      </c>
      <c r="G2483" s="50" t="s">
        <v>256</v>
      </c>
      <c r="H2483" s="50">
        <v>50</v>
      </c>
      <c r="M2483" t="str">
        <f>IF(COUNTIF($A:$A,E2483)=0,"Not Exists","Exists")</f>
        <v>Exists</v>
      </c>
      <c r="N2483" t="str">
        <f t="shared" si="120"/>
        <v>Exists</v>
      </c>
      <c r="O2483" t="str">
        <f t="shared" si="121"/>
        <v>Not Exists</v>
      </c>
      <c r="P2483" t="str">
        <f t="shared" si="122"/>
        <v>Not Exists</v>
      </c>
    </row>
    <row r="2484" spans="1:16">
      <c r="A2484">
        <v>1</v>
      </c>
      <c r="B2484">
        <v>1</v>
      </c>
      <c r="C2484">
        <v>1</v>
      </c>
      <c r="D2484">
        <v>1</v>
      </c>
      <c r="E2484" s="50" t="s">
        <v>1272</v>
      </c>
      <c r="F2484" s="50" t="s">
        <v>1323</v>
      </c>
      <c r="G2484" s="50" t="s">
        <v>256</v>
      </c>
      <c r="H2484" s="50">
        <v>50</v>
      </c>
      <c r="M2484" t="str">
        <f>IF(COUNTIF($A:$A,E2484)=0,"Not Exists","Exists")</f>
        <v>Exists</v>
      </c>
      <c r="N2484" t="str">
        <f t="shared" si="120"/>
        <v>Exists</v>
      </c>
      <c r="O2484" t="str">
        <f t="shared" si="121"/>
        <v>Not Exists</v>
      </c>
      <c r="P2484" t="str">
        <f t="shared" si="122"/>
        <v>Not Exists</v>
      </c>
    </row>
    <row r="2485" spans="1:16">
      <c r="A2485">
        <v>1</v>
      </c>
      <c r="B2485">
        <v>1</v>
      </c>
      <c r="C2485">
        <v>1</v>
      </c>
      <c r="D2485">
        <v>1</v>
      </c>
      <c r="E2485" s="50" t="s">
        <v>1272</v>
      </c>
      <c r="F2485" s="50" t="s">
        <v>1325</v>
      </c>
      <c r="G2485" s="50" t="s">
        <v>251</v>
      </c>
      <c r="H2485" s="50">
        <v>1</v>
      </c>
      <c r="M2485" t="str">
        <f>IF(COUNTIF($A:$A,E2485)=0,"Not Exists","Exists")</f>
        <v>Exists</v>
      </c>
      <c r="N2485" t="str">
        <f t="shared" si="120"/>
        <v>Exists</v>
      </c>
      <c r="O2485" t="str">
        <f t="shared" si="121"/>
        <v>Not Exists</v>
      </c>
      <c r="P2485" t="str">
        <f t="shared" si="122"/>
        <v>Not Exists</v>
      </c>
    </row>
    <row r="2486" spans="1:16">
      <c r="A2486">
        <v>1</v>
      </c>
      <c r="B2486">
        <v>1</v>
      </c>
      <c r="C2486">
        <v>1</v>
      </c>
      <c r="D2486">
        <v>1</v>
      </c>
      <c r="E2486" s="50" t="s">
        <v>1272</v>
      </c>
      <c r="F2486" s="50" t="s">
        <v>1327</v>
      </c>
      <c r="G2486" s="50" t="s">
        <v>256</v>
      </c>
      <c r="H2486" s="50">
        <v>50</v>
      </c>
      <c r="M2486" t="str">
        <f>IF(COUNTIF($A:$A,E2486)=0,"Not Exists","Exists")</f>
        <v>Exists</v>
      </c>
      <c r="N2486" t="str">
        <f t="shared" si="120"/>
        <v>Exists</v>
      </c>
      <c r="O2486" t="str">
        <f t="shared" si="121"/>
        <v>Not Exists</v>
      </c>
      <c r="P2486" t="str">
        <f t="shared" si="122"/>
        <v>Not Exists</v>
      </c>
    </row>
    <row r="2487" spans="1:16">
      <c r="A2487">
        <v>1</v>
      </c>
      <c r="B2487">
        <v>1</v>
      </c>
      <c r="C2487">
        <v>1</v>
      </c>
      <c r="D2487">
        <v>1</v>
      </c>
      <c r="E2487" s="50" t="s">
        <v>1272</v>
      </c>
      <c r="F2487" s="50" t="s">
        <v>1329</v>
      </c>
      <c r="G2487" s="50" t="s">
        <v>254</v>
      </c>
      <c r="H2487" s="50">
        <v>22</v>
      </c>
      <c r="M2487" t="str">
        <f>IF(COUNTIF($A:$A,E2487)=0,"Not Exists","Exists")</f>
        <v>Exists</v>
      </c>
      <c r="N2487" t="str">
        <f t="shared" si="120"/>
        <v>Exists</v>
      </c>
      <c r="O2487" t="str">
        <f t="shared" si="121"/>
        <v>Not Exists</v>
      </c>
      <c r="P2487" t="str">
        <f t="shared" si="122"/>
        <v>Not Exists</v>
      </c>
    </row>
    <row r="2488" spans="1:16">
      <c r="A2488">
        <v>1</v>
      </c>
      <c r="B2488">
        <v>1</v>
      </c>
      <c r="C2488">
        <v>1</v>
      </c>
      <c r="D2488">
        <v>1</v>
      </c>
      <c r="E2488" s="50" t="s">
        <v>1272</v>
      </c>
      <c r="F2488" s="50" t="s">
        <v>1277</v>
      </c>
      <c r="G2488" s="50" t="s">
        <v>251</v>
      </c>
      <c r="H2488" s="50">
        <v>17</v>
      </c>
      <c r="M2488" t="str">
        <f>IF(COUNTIF($A:$A,E2488)=0,"Not Exists","Exists")</f>
        <v>Exists</v>
      </c>
      <c r="N2488" t="str">
        <f t="shared" si="120"/>
        <v>Exists</v>
      </c>
      <c r="O2488" t="str">
        <f t="shared" si="121"/>
        <v>Not Exists</v>
      </c>
      <c r="P2488" t="str">
        <f t="shared" si="122"/>
        <v>Not Exists</v>
      </c>
    </row>
    <row r="2489" spans="1:16">
      <c r="A2489">
        <v>1</v>
      </c>
      <c r="B2489">
        <v>1</v>
      </c>
      <c r="C2489">
        <v>1</v>
      </c>
      <c r="D2489">
        <v>1</v>
      </c>
      <c r="E2489" s="50" t="s">
        <v>1272</v>
      </c>
      <c r="F2489" s="50" t="s">
        <v>1279</v>
      </c>
      <c r="G2489" s="50" t="s">
        <v>256</v>
      </c>
      <c r="H2489" s="50">
        <v>50</v>
      </c>
      <c r="M2489" t="str">
        <f>IF(COUNTIF($A:$A,E2489)=0,"Not Exists","Exists")</f>
        <v>Exists</v>
      </c>
      <c r="N2489" t="str">
        <f t="shared" si="120"/>
        <v>Exists</v>
      </c>
      <c r="O2489" t="str">
        <f t="shared" si="121"/>
        <v>Not Exists</v>
      </c>
      <c r="P2489" t="str">
        <f t="shared" si="122"/>
        <v>Not Exists</v>
      </c>
    </row>
    <row r="2490" spans="1:16">
      <c r="A2490">
        <v>1</v>
      </c>
      <c r="B2490">
        <v>1</v>
      </c>
      <c r="C2490">
        <v>1</v>
      </c>
      <c r="D2490">
        <v>1</v>
      </c>
      <c r="E2490" s="50" t="s">
        <v>1272</v>
      </c>
      <c r="F2490" s="50" t="s">
        <v>1281</v>
      </c>
      <c r="G2490" s="50" t="s">
        <v>251</v>
      </c>
      <c r="H2490" s="50">
        <v>17</v>
      </c>
      <c r="M2490" t="str">
        <f>IF(COUNTIF($A:$A,E2490)=0,"Not Exists","Exists")</f>
        <v>Exists</v>
      </c>
      <c r="N2490" t="str">
        <f t="shared" si="120"/>
        <v>Exists</v>
      </c>
      <c r="O2490" t="str">
        <f t="shared" si="121"/>
        <v>Not Exists</v>
      </c>
      <c r="P2490" t="str">
        <f t="shared" si="122"/>
        <v>Not Exists</v>
      </c>
    </row>
    <row r="2491" spans="1:16">
      <c r="A2491">
        <v>1</v>
      </c>
      <c r="B2491">
        <v>1</v>
      </c>
      <c r="C2491">
        <v>1</v>
      </c>
      <c r="D2491">
        <v>1</v>
      </c>
      <c r="E2491" s="50" t="s">
        <v>1272</v>
      </c>
      <c r="F2491" s="50" t="s">
        <v>1283</v>
      </c>
      <c r="G2491" s="50" t="s">
        <v>256</v>
      </c>
      <c r="H2491" s="50">
        <v>50</v>
      </c>
      <c r="M2491" t="str">
        <f>IF(COUNTIF($A:$A,E2491)=0,"Not Exists","Exists")</f>
        <v>Exists</v>
      </c>
      <c r="N2491" t="str">
        <f t="shared" si="120"/>
        <v>Exists</v>
      </c>
      <c r="O2491" t="str">
        <f t="shared" si="121"/>
        <v>Not Exists</v>
      </c>
      <c r="P2491" t="str">
        <f t="shared" si="122"/>
        <v>Not Exists</v>
      </c>
    </row>
    <row r="2492" spans="1:16">
      <c r="A2492">
        <v>1</v>
      </c>
      <c r="B2492">
        <v>1</v>
      </c>
      <c r="C2492">
        <v>1</v>
      </c>
      <c r="D2492">
        <v>1</v>
      </c>
      <c r="E2492" s="50" t="s">
        <v>1351</v>
      </c>
      <c r="F2492" s="50" t="s">
        <v>1352</v>
      </c>
      <c r="G2492" s="50" t="s">
        <v>256</v>
      </c>
      <c r="H2492" s="50">
        <v>50</v>
      </c>
      <c r="M2492" t="str">
        <f>IF(COUNTIF($A:$A,E2492)=0,"Not Exists","Exists")</f>
        <v>Exists</v>
      </c>
      <c r="N2492" t="str">
        <f t="shared" si="120"/>
        <v>Exists</v>
      </c>
      <c r="O2492" t="str">
        <f t="shared" si="121"/>
        <v>Not Exists</v>
      </c>
      <c r="P2492" t="str">
        <f t="shared" si="122"/>
        <v>Not Exists</v>
      </c>
    </row>
    <row r="2493" spans="1:16">
      <c r="A2493">
        <v>1</v>
      </c>
      <c r="B2493">
        <v>1</v>
      </c>
      <c r="C2493">
        <v>1</v>
      </c>
      <c r="D2493">
        <v>1</v>
      </c>
      <c r="E2493" s="50" t="s">
        <v>1351</v>
      </c>
      <c r="F2493" s="50" t="s">
        <v>1364</v>
      </c>
      <c r="G2493" s="50" t="s">
        <v>251</v>
      </c>
      <c r="H2493" s="50">
        <v>50</v>
      </c>
      <c r="M2493" t="str">
        <f>IF(COUNTIF($A:$A,E2493)=0,"Not Exists","Exists")</f>
        <v>Exists</v>
      </c>
      <c r="N2493" t="str">
        <f t="shared" si="120"/>
        <v>Exists</v>
      </c>
      <c r="O2493" t="str">
        <f t="shared" si="121"/>
        <v>Not Exists</v>
      </c>
      <c r="P2493" t="str">
        <f t="shared" si="122"/>
        <v>Not Exists</v>
      </c>
    </row>
    <row r="2494" spans="1:16">
      <c r="A2494">
        <v>1</v>
      </c>
      <c r="B2494">
        <v>1</v>
      </c>
      <c r="C2494">
        <v>1</v>
      </c>
      <c r="D2494">
        <v>1</v>
      </c>
      <c r="E2494" s="50" t="s">
        <v>1351</v>
      </c>
      <c r="F2494" s="50" t="s">
        <v>1366</v>
      </c>
      <c r="G2494" s="50" t="s">
        <v>256</v>
      </c>
      <c r="H2494" s="50">
        <v>150</v>
      </c>
      <c r="M2494" t="str">
        <f>IF(COUNTIF($A:$A,E2494)=0,"Not Exists","Exists")</f>
        <v>Exists</v>
      </c>
      <c r="N2494" t="str">
        <f t="shared" si="120"/>
        <v>Exists</v>
      </c>
      <c r="O2494" t="str">
        <f t="shared" si="121"/>
        <v>Not Exists</v>
      </c>
      <c r="P2494" t="str">
        <f t="shared" si="122"/>
        <v>Not Exists</v>
      </c>
    </row>
    <row r="2495" spans="1:16">
      <c r="A2495">
        <v>1</v>
      </c>
      <c r="B2495">
        <v>1</v>
      </c>
      <c r="C2495">
        <v>1</v>
      </c>
      <c r="D2495">
        <v>1</v>
      </c>
      <c r="E2495" s="50" t="s">
        <v>1351</v>
      </c>
      <c r="F2495" s="50" t="s">
        <v>1368</v>
      </c>
      <c r="G2495" s="50" t="s">
        <v>256</v>
      </c>
      <c r="H2495" s="50">
        <v>450</v>
      </c>
      <c r="M2495" t="str">
        <f>IF(COUNTIF($A:$A,E2495)=0,"Not Exists","Exists")</f>
        <v>Exists</v>
      </c>
      <c r="N2495" t="str">
        <f t="shared" si="120"/>
        <v>Exists</v>
      </c>
      <c r="O2495" t="str">
        <f t="shared" si="121"/>
        <v>Not Exists</v>
      </c>
      <c r="P2495" t="str">
        <f t="shared" si="122"/>
        <v>Not Exists</v>
      </c>
    </row>
    <row r="2496" spans="1:16">
      <c r="A2496">
        <v>1</v>
      </c>
      <c r="B2496">
        <v>1</v>
      </c>
      <c r="C2496">
        <v>1</v>
      </c>
      <c r="D2496">
        <v>1</v>
      </c>
      <c r="E2496" s="50" t="s">
        <v>1351</v>
      </c>
      <c r="F2496" s="50" t="s">
        <v>1370</v>
      </c>
      <c r="G2496" s="50" t="s">
        <v>251</v>
      </c>
      <c r="H2496" s="50">
        <v>1</v>
      </c>
      <c r="M2496" t="str">
        <f>IF(COUNTIF($A:$A,E2496)=0,"Not Exists","Exists")</f>
        <v>Exists</v>
      </c>
      <c r="N2496" t="str">
        <f t="shared" si="120"/>
        <v>Exists</v>
      </c>
      <c r="O2496" t="str">
        <f t="shared" si="121"/>
        <v>Not Exists</v>
      </c>
      <c r="P2496" t="str">
        <f t="shared" si="122"/>
        <v>Not Exists</v>
      </c>
    </row>
    <row r="2497" spans="1:16">
      <c r="A2497">
        <v>1</v>
      </c>
      <c r="B2497">
        <v>1</v>
      </c>
      <c r="C2497">
        <v>1</v>
      </c>
      <c r="D2497">
        <v>1</v>
      </c>
      <c r="E2497" s="50" t="s">
        <v>1351</v>
      </c>
      <c r="F2497" s="50" t="s">
        <v>1372</v>
      </c>
      <c r="G2497" s="50" t="s">
        <v>256</v>
      </c>
      <c r="H2497" s="50">
        <v>3000</v>
      </c>
      <c r="M2497" t="str">
        <f>IF(COUNTIF($A:$A,E2497)=0,"Not Exists","Exists")</f>
        <v>Exists</v>
      </c>
      <c r="N2497" t="str">
        <f t="shared" si="120"/>
        <v>Exists</v>
      </c>
      <c r="O2497" t="str">
        <f t="shared" si="121"/>
        <v>Not Exists</v>
      </c>
      <c r="P2497" t="str">
        <f t="shared" si="122"/>
        <v>Not Exists</v>
      </c>
    </row>
    <row r="2498" spans="1:16">
      <c r="A2498">
        <v>1</v>
      </c>
      <c r="B2498">
        <v>1</v>
      </c>
      <c r="C2498">
        <v>1</v>
      </c>
      <c r="D2498">
        <v>1</v>
      </c>
      <c r="E2498" s="50" t="s">
        <v>1351</v>
      </c>
      <c r="F2498" s="50" t="s">
        <v>1374</v>
      </c>
      <c r="G2498" s="50" t="s">
        <v>251</v>
      </c>
      <c r="H2498" s="50">
        <v>1</v>
      </c>
      <c r="M2498" t="str">
        <f>IF(COUNTIF($A:$A,E2498)=0,"Not Exists","Exists")</f>
        <v>Exists</v>
      </c>
      <c r="N2498" t="str">
        <f t="shared" ref="N2498:N2561" si="123">IF(COUNTIF($A:$B,F2498)=0,"Not Exists","Exists")</f>
        <v>Exists</v>
      </c>
      <c r="O2498" t="str">
        <f t="shared" si="121"/>
        <v>Not Exists</v>
      </c>
      <c r="P2498" t="str">
        <f t="shared" si="122"/>
        <v>Not Exists</v>
      </c>
    </row>
    <row r="2499" spans="1:16">
      <c r="A2499">
        <v>1</v>
      </c>
      <c r="B2499">
        <v>1</v>
      </c>
      <c r="C2499">
        <v>1</v>
      </c>
      <c r="D2499">
        <v>1</v>
      </c>
      <c r="E2499" s="50" t="s">
        <v>1351</v>
      </c>
      <c r="F2499" s="50" t="s">
        <v>1376</v>
      </c>
      <c r="G2499" s="50" t="s">
        <v>256</v>
      </c>
      <c r="H2499" s="50">
        <v>17</v>
      </c>
      <c r="M2499" t="str">
        <f>IF(COUNTIF($A:$A,E2499)=0,"Not Exists","Exists")</f>
        <v>Exists</v>
      </c>
      <c r="N2499" t="str">
        <f t="shared" si="123"/>
        <v>Exists</v>
      </c>
      <c r="O2499" t="str">
        <f t="shared" si="121"/>
        <v>Not Exists</v>
      </c>
      <c r="P2499" t="str">
        <f t="shared" si="122"/>
        <v>Not Exists</v>
      </c>
    </row>
    <row r="2500" spans="1:16">
      <c r="A2500">
        <v>1</v>
      </c>
      <c r="B2500">
        <v>1</v>
      </c>
      <c r="C2500">
        <v>1</v>
      </c>
      <c r="D2500">
        <v>1</v>
      </c>
      <c r="E2500" s="50" t="s">
        <v>1351</v>
      </c>
      <c r="F2500" s="50" t="s">
        <v>1378</v>
      </c>
      <c r="G2500" s="50" t="s">
        <v>256</v>
      </c>
      <c r="H2500" s="50">
        <v>50</v>
      </c>
      <c r="M2500" t="str">
        <f>IF(COUNTIF($A:$A,E2500)=0,"Not Exists","Exists")</f>
        <v>Exists</v>
      </c>
      <c r="N2500" t="str">
        <f t="shared" si="123"/>
        <v>Exists</v>
      </c>
      <c r="O2500" t="str">
        <f t="shared" ref="O2500:O2563" si="124">IF(COUNTIF($E:$E,A2500)=0,"Not Exists","Exists")</f>
        <v>Not Exists</v>
      </c>
      <c r="P2500" t="str">
        <f t="shared" ref="P2500:P2563" si="125">IF(COUNTIF($F:$F,B2500)=0,"Not Exists","Exists")</f>
        <v>Not Exists</v>
      </c>
    </row>
    <row r="2501" spans="1:16">
      <c r="A2501">
        <v>1</v>
      </c>
      <c r="B2501">
        <v>1</v>
      </c>
      <c r="C2501">
        <v>1</v>
      </c>
      <c r="D2501">
        <v>1</v>
      </c>
      <c r="E2501" s="50" t="s">
        <v>1351</v>
      </c>
      <c r="F2501" s="50" t="s">
        <v>1380</v>
      </c>
      <c r="G2501" s="50" t="s">
        <v>256</v>
      </c>
      <c r="H2501" s="50">
        <v>50</v>
      </c>
      <c r="M2501" t="str">
        <f>IF(COUNTIF($A:$A,E2501)=0,"Not Exists","Exists")</f>
        <v>Exists</v>
      </c>
      <c r="N2501" t="str">
        <f t="shared" si="123"/>
        <v>Exists</v>
      </c>
      <c r="O2501" t="str">
        <f t="shared" si="124"/>
        <v>Not Exists</v>
      </c>
      <c r="P2501" t="str">
        <f t="shared" si="125"/>
        <v>Not Exists</v>
      </c>
    </row>
    <row r="2502" spans="1:16">
      <c r="A2502">
        <v>1</v>
      </c>
      <c r="B2502">
        <v>1</v>
      </c>
      <c r="C2502">
        <v>1</v>
      </c>
      <c r="D2502">
        <v>1</v>
      </c>
      <c r="E2502" s="50" t="s">
        <v>1351</v>
      </c>
      <c r="F2502" s="50" t="s">
        <v>1382</v>
      </c>
      <c r="G2502" s="50" t="s">
        <v>256</v>
      </c>
      <c r="H2502" s="50">
        <v>17</v>
      </c>
      <c r="M2502" t="str">
        <f>IF(COUNTIF($A:$A,E2502)=0,"Not Exists","Exists")</f>
        <v>Exists</v>
      </c>
      <c r="N2502" t="str">
        <f t="shared" si="123"/>
        <v>Exists</v>
      </c>
      <c r="O2502" t="str">
        <f t="shared" si="124"/>
        <v>Not Exists</v>
      </c>
      <c r="P2502" t="str">
        <f t="shared" si="125"/>
        <v>Not Exists</v>
      </c>
    </row>
    <row r="2503" spans="1:16">
      <c r="A2503">
        <v>1</v>
      </c>
      <c r="B2503">
        <v>1</v>
      </c>
      <c r="C2503">
        <v>1</v>
      </c>
      <c r="D2503">
        <v>1</v>
      </c>
      <c r="E2503" s="50" t="s">
        <v>1351</v>
      </c>
      <c r="F2503" s="50" t="s">
        <v>1384</v>
      </c>
      <c r="G2503" s="50" t="s">
        <v>254</v>
      </c>
      <c r="H2503" s="50">
        <v>22</v>
      </c>
      <c r="M2503" t="str">
        <f>IF(COUNTIF($A:$A,E2503)=0,"Not Exists","Exists")</f>
        <v>Exists</v>
      </c>
      <c r="N2503" t="str">
        <f t="shared" si="123"/>
        <v>Exists</v>
      </c>
      <c r="O2503" t="str">
        <f t="shared" si="124"/>
        <v>Not Exists</v>
      </c>
      <c r="P2503" t="str">
        <f t="shared" si="125"/>
        <v>Not Exists</v>
      </c>
    </row>
    <row r="2504" spans="1:16">
      <c r="A2504">
        <v>1</v>
      </c>
      <c r="B2504">
        <v>1</v>
      </c>
      <c r="C2504">
        <v>1</v>
      </c>
      <c r="D2504">
        <v>1</v>
      </c>
      <c r="E2504" s="50" t="s">
        <v>1351</v>
      </c>
      <c r="F2504" s="50" t="s">
        <v>1386</v>
      </c>
      <c r="G2504" s="50" t="s">
        <v>256</v>
      </c>
      <c r="H2504" s="50">
        <v>50</v>
      </c>
      <c r="M2504" t="str">
        <f>IF(COUNTIF($A:$A,E2504)=0,"Not Exists","Exists")</f>
        <v>Exists</v>
      </c>
      <c r="N2504" t="str">
        <f t="shared" si="123"/>
        <v>Exists</v>
      </c>
      <c r="O2504" t="str">
        <f t="shared" si="124"/>
        <v>Not Exists</v>
      </c>
      <c r="P2504" t="str">
        <f t="shared" si="125"/>
        <v>Not Exists</v>
      </c>
    </row>
    <row r="2505" spans="1:16">
      <c r="A2505">
        <v>1</v>
      </c>
      <c r="B2505">
        <v>1</v>
      </c>
      <c r="C2505">
        <v>1</v>
      </c>
      <c r="D2505">
        <v>1</v>
      </c>
      <c r="E2505" s="50" t="s">
        <v>1351</v>
      </c>
      <c r="F2505" s="50" t="s">
        <v>1356</v>
      </c>
      <c r="G2505" s="50" t="s">
        <v>251</v>
      </c>
      <c r="H2505" s="50">
        <v>17</v>
      </c>
      <c r="M2505" t="str">
        <f>IF(COUNTIF($A:$A,E2505)=0,"Not Exists","Exists")</f>
        <v>Exists</v>
      </c>
      <c r="N2505" t="str">
        <f t="shared" si="123"/>
        <v>Exists</v>
      </c>
      <c r="O2505" t="str">
        <f t="shared" si="124"/>
        <v>Not Exists</v>
      </c>
      <c r="P2505" t="str">
        <f t="shared" si="125"/>
        <v>Not Exists</v>
      </c>
    </row>
    <row r="2506" spans="1:16">
      <c r="A2506">
        <v>1</v>
      </c>
      <c r="B2506">
        <v>1</v>
      </c>
      <c r="C2506">
        <v>1</v>
      </c>
      <c r="D2506">
        <v>1</v>
      </c>
      <c r="E2506" s="50" t="s">
        <v>1351</v>
      </c>
      <c r="F2506" s="50" t="s">
        <v>1358</v>
      </c>
      <c r="G2506" s="50" t="s">
        <v>256</v>
      </c>
      <c r="H2506" s="50">
        <v>50</v>
      </c>
      <c r="M2506" t="str">
        <f>IF(COUNTIF($A:$A,E2506)=0,"Not Exists","Exists")</f>
        <v>Exists</v>
      </c>
      <c r="N2506" t="str">
        <f t="shared" si="123"/>
        <v>Exists</v>
      </c>
      <c r="O2506" t="str">
        <f t="shared" si="124"/>
        <v>Not Exists</v>
      </c>
      <c r="P2506" t="str">
        <f t="shared" si="125"/>
        <v>Not Exists</v>
      </c>
    </row>
    <row r="2507" spans="1:16">
      <c r="A2507">
        <v>1</v>
      </c>
      <c r="B2507">
        <v>1</v>
      </c>
      <c r="C2507">
        <v>1</v>
      </c>
      <c r="D2507">
        <v>1</v>
      </c>
      <c r="E2507" s="50" t="s">
        <v>1351</v>
      </c>
      <c r="F2507" s="50" t="s">
        <v>1360</v>
      </c>
      <c r="G2507" s="50" t="s">
        <v>251</v>
      </c>
      <c r="H2507" s="50">
        <v>17</v>
      </c>
      <c r="M2507" t="str">
        <f>IF(COUNTIF($A:$A,E2507)=0,"Not Exists","Exists")</f>
        <v>Exists</v>
      </c>
      <c r="N2507" t="str">
        <f t="shared" si="123"/>
        <v>Exists</v>
      </c>
      <c r="O2507" t="str">
        <f t="shared" si="124"/>
        <v>Not Exists</v>
      </c>
      <c r="P2507" t="str">
        <f t="shared" si="125"/>
        <v>Not Exists</v>
      </c>
    </row>
    <row r="2508" spans="1:16">
      <c r="A2508">
        <v>1</v>
      </c>
      <c r="B2508">
        <v>1</v>
      </c>
      <c r="C2508">
        <v>1</v>
      </c>
      <c r="D2508">
        <v>1</v>
      </c>
      <c r="E2508" s="50" t="s">
        <v>1351</v>
      </c>
      <c r="F2508" s="50" t="s">
        <v>1362</v>
      </c>
      <c r="G2508" s="50" t="s">
        <v>256</v>
      </c>
      <c r="H2508" s="50">
        <v>50</v>
      </c>
      <c r="M2508" t="str">
        <f>IF(COUNTIF($A:$A,E2508)=0,"Not Exists","Exists")</f>
        <v>Exists</v>
      </c>
      <c r="N2508" t="str">
        <f t="shared" si="123"/>
        <v>Exists</v>
      </c>
      <c r="O2508" t="str">
        <f t="shared" si="124"/>
        <v>Not Exists</v>
      </c>
      <c r="P2508" t="str">
        <f t="shared" si="125"/>
        <v>Not Exists</v>
      </c>
    </row>
    <row r="2509" spans="1:16">
      <c r="A2509">
        <v>1</v>
      </c>
      <c r="B2509">
        <v>1</v>
      </c>
      <c r="C2509">
        <v>1</v>
      </c>
      <c r="D2509">
        <v>1</v>
      </c>
      <c r="E2509" s="50" t="s">
        <v>1388</v>
      </c>
      <c r="F2509" s="50" t="s">
        <v>1389</v>
      </c>
      <c r="G2509" s="50" t="s">
        <v>256</v>
      </c>
      <c r="H2509" s="50">
        <v>50</v>
      </c>
      <c r="M2509" t="str">
        <f>IF(COUNTIF($A:$A,E2509)=0,"Not Exists","Exists")</f>
        <v>Exists</v>
      </c>
      <c r="N2509" t="str">
        <f t="shared" si="123"/>
        <v>Exists</v>
      </c>
      <c r="O2509" t="str">
        <f t="shared" si="124"/>
        <v>Not Exists</v>
      </c>
      <c r="P2509" t="str">
        <f t="shared" si="125"/>
        <v>Not Exists</v>
      </c>
    </row>
    <row r="2510" spans="1:16">
      <c r="A2510">
        <v>1</v>
      </c>
      <c r="B2510">
        <v>1</v>
      </c>
      <c r="C2510">
        <v>1</v>
      </c>
      <c r="D2510">
        <v>1</v>
      </c>
      <c r="E2510" s="50" t="s">
        <v>1388</v>
      </c>
      <c r="F2510" s="50" t="s">
        <v>1399</v>
      </c>
      <c r="G2510" s="50" t="s">
        <v>254</v>
      </c>
      <c r="H2510" s="50">
        <v>22</v>
      </c>
      <c r="M2510" t="str">
        <f>IF(COUNTIF($A:$A,E2510)=0,"Not Exists","Exists")</f>
        <v>Exists</v>
      </c>
      <c r="N2510" t="str">
        <f t="shared" si="123"/>
        <v>Exists</v>
      </c>
      <c r="O2510" t="str">
        <f t="shared" si="124"/>
        <v>Not Exists</v>
      </c>
      <c r="P2510" t="str">
        <f t="shared" si="125"/>
        <v>Not Exists</v>
      </c>
    </row>
    <row r="2511" spans="1:16">
      <c r="A2511">
        <v>1</v>
      </c>
      <c r="B2511">
        <v>1</v>
      </c>
      <c r="C2511">
        <v>1</v>
      </c>
      <c r="D2511">
        <v>1</v>
      </c>
      <c r="E2511" s="50" t="s">
        <v>1388</v>
      </c>
      <c r="F2511" s="50" t="s">
        <v>1400</v>
      </c>
      <c r="G2511" s="50" t="s">
        <v>427</v>
      </c>
      <c r="H2511" s="50">
        <v>4000</v>
      </c>
      <c r="M2511" t="str">
        <f>IF(COUNTIF($A:$A,E2511)=0,"Not Exists","Exists")</f>
        <v>Exists</v>
      </c>
      <c r="N2511" t="str">
        <f t="shared" si="123"/>
        <v>Exists</v>
      </c>
      <c r="O2511" t="str">
        <f t="shared" si="124"/>
        <v>Not Exists</v>
      </c>
      <c r="P2511" t="str">
        <f t="shared" si="125"/>
        <v>Not Exists</v>
      </c>
    </row>
    <row r="2512" spans="1:16">
      <c r="A2512">
        <v>1</v>
      </c>
      <c r="B2512">
        <v>1</v>
      </c>
      <c r="C2512">
        <v>1</v>
      </c>
      <c r="D2512">
        <v>1</v>
      </c>
      <c r="E2512" s="50" t="s">
        <v>1388</v>
      </c>
      <c r="F2512" s="50" t="s">
        <v>1402</v>
      </c>
      <c r="G2512" s="50" t="s">
        <v>256</v>
      </c>
      <c r="H2512" s="50">
        <v>50</v>
      </c>
      <c r="M2512" t="str">
        <f>IF(COUNTIF($A:$A,E2512)=0,"Not Exists","Exists")</f>
        <v>Exists</v>
      </c>
      <c r="N2512" t="str">
        <f t="shared" si="123"/>
        <v>Exists</v>
      </c>
      <c r="O2512" t="str">
        <f t="shared" si="124"/>
        <v>Not Exists</v>
      </c>
      <c r="P2512" t="str">
        <f t="shared" si="125"/>
        <v>Not Exists</v>
      </c>
    </row>
    <row r="2513" spans="1:16">
      <c r="A2513">
        <v>1</v>
      </c>
      <c r="B2513">
        <v>1</v>
      </c>
      <c r="C2513">
        <v>1</v>
      </c>
      <c r="D2513">
        <v>1</v>
      </c>
      <c r="E2513" s="50" t="s">
        <v>1388</v>
      </c>
      <c r="F2513" s="50" t="s">
        <v>1393</v>
      </c>
      <c r="G2513" s="50" t="s">
        <v>251</v>
      </c>
      <c r="H2513" s="50">
        <v>17</v>
      </c>
      <c r="M2513" t="str">
        <f>IF(COUNTIF($A:$A,E2513)=0,"Not Exists","Exists")</f>
        <v>Exists</v>
      </c>
      <c r="N2513" t="str">
        <f t="shared" si="123"/>
        <v>Exists</v>
      </c>
      <c r="O2513" t="str">
        <f t="shared" si="124"/>
        <v>Not Exists</v>
      </c>
      <c r="P2513" t="str">
        <f t="shared" si="125"/>
        <v>Not Exists</v>
      </c>
    </row>
    <row r="2514" spans="1:16">
      <c r="A2514">
        <v>1</v>
      </c>
      <c r="B2514">
        <v>1</v>
      </c>
      <c r="C2514">
        <v>1</v>
      </c>
      <c r="D2514">
        <v>1</v>
      </c>
      <c r="E2514" s="50" t="s">
        <v>1388</v>
      </c>
      <c r="F2514" s="50" t="s">
        <v>1394</v>
      </c>
      <c r="G2514" s="50" t="s">
        <v>256</v>
      </c>
      <c r="H2514" s="50">
        <v>50</v>
      </c>
      <c r="M2514" t="str">
        <f>IF(COUNTIF($A:$A,E2514)=0,"Not Exists","Exists")</f>
        <v>Exists</v>
      </c>
      <c r="N2514" t="str">
        <f t="shared" si="123"/>
        <v>Exists</v>
      </c>
      <c r="O2514" t="str">
        <f t="shared" si="124"/>
        <v>Not Exists</v>
      </c>
      <c r="P2514" t="str">
        <f t="shared" si="125"/>
        <v>Not Exists</v>
      </c>
    </row>
    <row r="2515" spans="1:16">
      <c r="A2515">
        <v>1</v>
      </c>
      <c r="B2515">
        <v>1</v>
      </c>
      <c r="C2515">
        <v>1</v>
      </c>
      <c r="D2515">
        <v>1</v>
      </c>
      <c r="E2515" s="50" t="s">
        <v>1388</v>
      </c>
      <c r="F2515" s="50" t="s">
        <v>1396</v>
      </c>
      <c r="G2515" s="50" t="s">
        <v>251</v>
      </c>
      <c r="H2515" s="50">
        <v>17</v>
      </c>
      <c r="M2515" t="str">
        <f>IF(COUNTIF($A:$A,E2515)=0,"Not Exists","Exists")</f>
        <v>Exists</v>
      </c>
      <c r="N2515" t="str">
        <f t="shared" si="123"/>
        <v>Exists</v>
      </c>
      <c r="O2515" t="str">
        <f t="shared" si="124"/>
        <v>Not Exists</v>
      </c>
      <c r="P2515" t="str">
        <f t="shared" si="125"/>
        <v>Not Exists</v>
      </c>
    </row>
    <row r="2516" spans="1:16">
      <c r="A2516">
        <v>1</v>
      </c>
      <c r="B2516">
        <v>1</v>
      </c>
      <c r="C2516">
        <v>1</v>
      </c>
      <c r="D2516">
        <v>1</v>
      </c>
      <c r="E2516" s="50" t="s">
        <v>1388</v>
      </c>
      <c r="F2516" s="50" t="s">
        <v>1398</v>
      </c>
      <c r="G2516" s="50" t="s">
        <v>256</v>
      </c>
      <c r="H2516" s="50">
        <v>50</v>
      </c>
      <c r="M2516" t="str">
        <f>IF(COUNTIF($A:$A,E2516)=0,"Not Exists","Exists")</f>
        <v>Exists</v>
      </c>
      <c r="N2516" t="str">
        <f t="shared" si="123"/>
        <v>Exists</v>
      </c>
      <c r="O2516" t="str">
        <f t="shared" si="124"/>
        <v>Not Exists</v>
      </c>
      <c r="P2516" t="str">
        <f t="shared" si="125"/>
        <v>Not Exists</v>
      </c>
    </row>
    <row r="2517" spans="1:16">
      <c r="A2517">
        <v>1</v>
      </c>
      <c r="B2517">
        <v>1</v>
      </c>
      <c r="C2517">
        <v>1</v>
      </c>
      <c r="D2517">
        <v>1</v>
      </c>
      <c r="E2517" s="50" t="s">
        <v>1403</v>
      </c>
      <c r="F2517" s="50" t="s">
        <v>1404</v>
      </c>
      <c r="G2517" s="50" t="s">
        <v>256</v>
      </c>
      <c r="H2517" s="50">
        <v>50</v>
      </c>
      <c r="M2517" t="str">
        <f>IF(COUNTIF($A:$A,E2517)=0,"Not Exists","Exists")</f>
        <v>Exists</v>
      </c>
      <c r="N2517" t="str">
        <f t="shared" si="123"/>
        <v>Exists</v>
      </c>
      <c r="O2517" t="str">
        <f t="shared" si="124"/>
        <v>Not Exists</v>
      </c>
      <c r="P2517" t="str">
        <f t="shared" si="125"/>
        <v>Not Exists</v>
      </c>
    </row>
    <row r="2518" spans="1:16">
      <c r="A2518">
        <v>1</v>
      </c>
      <c r="B2518">
        <v>1</v>
      </c>
      <c r="C2518">
        <v>1</v>
      </c>
      <c r="D2518">
        <v>1</v>
      </c>
      <c r="E2518" s="50" t="s">
        <v>1403</v>
      </c>
      <c r="F2518" s="50" t="s">
        <v>1407</v>
      </c>
      <c r="G2518" s="50" t="s">
        <v>251</v>
      </c>
      <c r="H2518" s="50">
        <v>17</v>
      </c>
      <c r="M2518" t="str">
        <f>IF(COUNTIF($A:$A,E2518)=0,"Not Exists","Exists")</f>
        <v>Exists</v>
      </c>
      <c r="N2518" t="str">
        <f t="shared" si="123"/>
        <v>Exists</v>
      </c>
      <c r="O2518" t="str">
        <f t="shared" si="124"/>
        <v>Not Exists</v>
      </c>
      <c r="P2518" t="str">
        <f t="shared" si="125"/>
        <v>Not Exists</v>
      </c>
    </row>
    <row r="2519" spans="1:16">
      <c r="A2519">
        <v>1</v>
      </c>
      <c r="B2519">
        <v>1</v>
      </c>
      <c r="C2519">
        <v>1</v>
      </c>
      <c r="D2519">
        <v>1</v>
      </c>
      <c r="E2519" s="50" t="s">
        <v>1403</v>
      </c>
      <c r="F2519" s="50" t="s">
        <v>1409</v>
      </c>
      <c r="G2519" s="50" t="s">
        <v>256</v>
      </c>
      <c r="H2519" s="50">
        <v>50</v>
      </c>
      <c r="M2519" t="str">
        <f>IF(COUNTIF($A:$A,E2519)=0,"Not Exists","Exists")</f>
        <v>Exists</v>
      </c>
      <c r="N2519" t="str">
        <f t="shared" si="123"/>
        <v>Exists</v>
      </c>
      <c r="O2519" t="str">
        <f t="shared" si="124"/>
        <v>Not Exists</v>
      </c>
      <c r="P2519" t="str">
        <f t="shared" si="125"/>
        <v>Not Exists</v>
      </c>
    </row>
    <row r="2520" spans="1:16">
      <c r="A2520">
        <v>1</v>
      </c>
      <c r="B2520">
        <v>1</v>
      </c>
      <c r="C2520">
        <v>1</v>
      </c>
      <c r="D2520">
        <v>1</v>
      </c>
      <c r="E2520" s="50" t="s">
        <v>1403</v>
      </c>
      <c r="F2520" s="50" t="s">
        <v>1411</v>
      </c>
      <c r="G2520" s="50" t="s">
        <v>251</v>
      </c>
      <c r="H2520" s="50">
        <v>17</v>
      </c>
      <c r="M2520" t="str">
        <f>IF(COUNTIF($A:$A,E2520)=0,"Not Exists","Exists")</f>
        <v>Exists</v>
      </c>
      <c r="N2520" t="str">
        <f t="shared" si="123"/>
        <v>Exists</v>
      </c>
      <c r="O2520" t="str">
        <f t="shared" si="124"/>
        <v>Not Exists</v>
      </c>
      <c r="P2520" t="str">
        <f t="shared" si="125"/>
        <v>Not Exists</v>
      </c>
    </row>
    <row r="2521" spans="1:16">
      <c r="A2521">
        <v>1</v>
      </c>
      <c r="B2521">
        <v>1</v>
      </c>
      <c r="C2521">
        <v>1</v>
      </c>
      <c r="D2521">
        <v>1</v>
      </c>
      <c r="E2521" s="50" t="s">
        <v>1403</v>
      </c>
      <c r="F2521" s="50" t="s">
        <v>1413</v>
      </c>
      <c r="G2521" s="50" t="s">
        <v>256</v>
      </c>
      <c r="H2521" s="50">
        <v>50</v>
      </c>
      <c r="M2521" t="str">
        <f>IF(COUNTIF($A:$A,E2521)=0,"Not Exists","Exists")</f>
        <v>Exists</v>
      </c>
      <c r="N2521" t="str">
        <f t="shared" si="123"/>
        <v>Exists</v>
      </c>
      <c r="O2521" t="str">
        <f t="shared" si="124"/>
        <v>Not Exists</v>
      </c>
      <c r="P2521" t="str">
        <f t="shared" si="125"/>
        <v>Not Exists</v>
      </c>
    </row>
    <row r="2522" spans="1:16">
      <c r="A2522">
        <v>1</v>
      </c>
      <c r="B2522">
        <v>1</v>
      </c>
      <c r="C2522">
        <v>1</v>
      </c>
      <c r="D2522">
        <v>1</v>
      </c>
      <c r="E2522" s="50" t="s">
        <v>1403</v>
      </c>
      <c r="F2522" s="50" t="s">
        <v>1415</v>
      </c>
      <c r="G2522" s="50" t="s">
        <v>256</v>
      </c>
      <c r="H2522" s="50">
        <v>50</v>
      </c>
      <c r="M2522" t="str">
        <f>IF(COUNTIF($A:$A,E2522)=0,"Not Exists","Exists")</f>
        <v>Exists</v>
      </c>
      <c r="N2522" t="str">
        <f t="shared" si="123"/>
        <v>Exists</v>
      </c>
      <c r="O2522" t="str">
        <f t="shared" si="124"/>
        <v>Not Exists</v>
      </c>
      <c r="P2522" t="str">
        <f t="shared" si="125"/>
        <v>Not Exists</v>
      </c>
    </row>
    <row r="2523" spans="1:16">
      <c r="A2523">
        <v>1</v>
      </c>
      <c r="B2523">
        <v>1</v>
      </c>
      <c r="C2523">
        <v>1</v>
      </c>
      <c r="D2523">
        <v>1</v>
      </c>
      <c r="E2523" s="50" t="s">
        <v>1403</v>
      </c>
      <c r="F2523" s="50" t="s">
        <v>1417</v>
      </c>
      <c r="G2523" s="50" t="s">
        <v>251</v>
      </c>
      <c r="H2523" s="50">
        <v>41</v>
      </c>
      <c r="M2523" t="str">
        <f>IF(COUNTIF($A:$A,E2523)=0,"Not Exists","Exists")</f>
        <v>Exists</v>
      </c>
      <c r="N2523" t="str">
        <f t="shared" si="123"/>
        <v>Exists</v>
      </c>
      <c r="O2523" t="str">
        <f t="shared" si="124"/>
        <v>Not Exists</v>
      </c>
      <c r="P2523" t="str">
        <f t="shared" si="125"/>
        <v>Not Exists</v>
      </c>
    </row>
    <row r="2524" spans="1:16">
      <c r="A2524">
        <v>1</v>
      </c>
      <c r="B2524">
        <v>1</v>
      </c>
      <c r="C2524">
        <v>1</v>
      </c>
      <c r="D2524">
        <v>1</v>
      </c>
      <c r="E2524" s="50" t="s">
        <v>1403</v>
      </c>
      <c r="F2524" s="50" t="s">
        <v>1418</v>
      </c>
      <c r="G2524" s="50" t="s">
        <v>256</v>
      </c>
      <c r="H2524" s="50">
        <v>50</v>
      </c>
      <c r="M2524" t="str">
        <f>IF(COUNTIF($A:$A,E2524)=0,"Not Exists","Exists")</f>
        <v>Exists</v>
      </c>
      <c r="N2524" t="str">
        <f t="shared" si="123"/>
        <v>Exists</v>
      </c>
      <c r="O2524" t="str">
        <f t="shared" si="124"/>
        <v>Not Exists</v>
      </c>
      <c r="P2524" t="str">
        <f t="shared" si="125"/>
        <v>Not Exists</v>
      </c>
    </row>
    <row r="2525" spans="1:16">
      <c r="A2525">
        <v>1</v>
      </c>
      <c r="B2525">
        <v>1</v>
      </c>
      <c r="C2525">
        <v>1</v>
      </c>
      <c r="D2525">
        <v>1</v>
      </c>
      <c r="E2525" s="50" t="s">
        <v>1419</v>
      </c>
      <c r="F2525" s="50" t="s">
        <v>1420</v>
      </c>
      <c r="G2525" s="50" t="s">
        <v>256</v>
      </c>
      <c r="H2525" s="50">
        <v>50</v>
      </c>
      <c r="M2525" t="str">
        <f>IF(COUNTIF($A:$A,E2525)=0,"Not Exists","Exists")</f>
        <v>Exists</v>
      </c>
      <c r="N2525" t="str">
        <f t="shared" si="123"/>
        <v>Exists</v>
      </c>
      <c r="O2525" t="str">
        <f t="shared" si="124"/>
        <v>Not Exists</v>
      </c>
      <c r="P2525" t="str">
        <f t="shared" si="125"/>
        <v>Not Exists</v>
      </c>
    </row>
    <row r="2526" spans="1:16">
      <c r="A2526">
        <v>1</v>
      </c>
      <c r="B2526">
        <v>1</v>
      </c>
      <c r="C2526">
        <v>1</v>
      </c>
      <c r="D2526">
        <v>1</v>
      </c>
      <c r="E2526" s="50" t="s">
        <v>1419</v>
      </c>
      <c r="F2526" s="50" t="s">
        <v>1422</v>
      </c>
      <c r="G2526" s="50" t="s">
        <v>256</v>
      </c>
      <c r="H2526" s="50">
        <v>50</v>
      </c>
      <c r="M2526" t="str">
        <f>IF(COUNTIF($A:$A,E2526)=0,"Not Exists","Exists")</f>
        <v>Exists</v>
      </c>
      <c r="N2526" t="str">
        <f t="shared" si="123"/>
        <v>Exists</v>
      </c>
      <c r="O2526" t="str">
        <f t="shared" si="124"/>
        <v>Not Exists</v>
      </c>
      <c r="P2526" t="str">
        <f t="shared" si="125"/>
        <v>Not Exists</v>
      </c>
    </row>
    <row r="2527" spans="1:16">
      <c r="A2527">
        <v>1</v>
      </c>
      <c r="B2527">
        <v>1</v>
      </c>
      <c r="C2527">
        <v>1</v>
      </c>
      <c r="D2527">
        <v>1</v>
      </c>
      <c r="E2527" s="50" t="s">
        <v>1419</v>
      </c>
      <c r="F2527" s="50" t="s">
        <v>1423</v>
      </c>
      <c r="G2527" s="50" t="s">
        <v>251</v>
      </c>
      <c r="H2527" s="50">
        <v>17</v>
      </c>
      <c r="M2527" t="str">
        <f>IF(COUNTIF($A:$A,E2527)=0,"Not Exists","Exists")</f>
        <v>Exists</v>
      </c>
      <c r="N2527" t="str">
        <f t="shared" si="123"/>
        <v>Exists</v>
      </c>
      <c r="O2527" t="str">
        <f t="shared" si="124"/>
        <v>Not Exists</v>
      </c>
      <c r="P2527" t="str">
        <f t="shared" si="125"/>
        <v>Not Exists</v>
      </c>
    </row>
    <row r="2528" spans="1:16">
      <c r="A2528">
        <v>1</v>
      </c>
      <c r="B2528">
        <v>1</v>
      </c>
      <c r="C2528">
        <v>1</v>
      </c>
      <c r="D2528">
        <v>1</v>
      </c>
      <c r="E2528" s="50" t="s">
        <v>1419</v>
      </c>
      <c r="F2528" s="50" t="s">
        <v>1424</v>
      </c>
      <c r="G2528" s="50" t="s">
        <v>256</v>
      </c>
      <c r="H2528" s="50">
        <v>50</v>
      </c>
      <c r="M2528" t="str">
        <f>IF(COUNTIF($A:$A,E2528)=0,"Not Exists","Exists")</f>
        <v>Exists</v>
      </c>
      <c r="N2528" t="str">
        <f t="shared" si="123"/>
        <v>Exists</v>
      </c>
      <c r="O2528" t="str">
        <f t="shared" si="124"/>
        <v>Not Exists</v>
      </c>
      <c r="P2528" t="str">
        <f t="shared" si="125"/>
        <v>Not Exists</v>
      </c>
    </row>
    <row r="2529" spans="1:16">
      <c r="A2529">
        <v>1</v>
      </c>
      <c r="B2529">
        <v>1</v>
      </c>
      <c r="C2529">
        <v>1</v>
      </c>
      <c r="D2529">
        <v>1</v>
      </c>
      <c r="E2529" s="50" t="s">
        <v>1419</v>
      </c>
      <c r="F2529" s="50" t="s">
        <v>1425</v>
      </c>
      <c r="G2529" s="50" t="s">
        <v>251</v>
      </c>
      <c r="H2529" s="50">
        <v>17</v>
      </c>
      <c r="M2529" t="str">
        <f>IF(COUNTIF($A:$A,E2529)=0,"Not Exists","Exists")</f>
        <v>Exists</v>
      </c>
      <c r="N2529" t="str">
        <f t="shared" si="123"/>
        <v>Exists</v>
      </c>
      <c r="O2529" t="str">
        <f t="shared" si="124"/>
        <v>Not Exists</v>
      </c>
      <c r="P2529" t="str">
        <f t="shared" si="125"/>
        <v>Not Exists</v>
      </c>
    </row>
    <row r="2530" spans="1:16">
      <c r="A2530">
        <v>1</v>
      </c>
      <c r="B2530">
        <v>1</v>
      </c>
      <c r="C2530">
        <v>1</v>
      </c>
      <c r="D2530">
        <v>1</v>
      </c>
      <c r="E2530" s="50" t="s">
        <v>1419</v>
      </c>
      <c r="F2530" s="50" t="s">
        <v>1426</v>
      </c>
      <c r="G2530" s="50" t="s">
        <v>256</v>
      </c>
      <c r="H2530" s="50">
        <v>50</v>
      </c>
      <c r="M2530" t="str">
        <f>IF(COUNTIF($A:$A,E2530)=0,"Not Exists","Exists")</f>
        <v>Exists</v>
      </c>
      <c r="N2530" t="str">
        <f t="shared" si="123"/>
        <v>Exists</v>
      </c>
      <c r="O2530" t="str">
        <f t="shared" si="124"/>
        <v>Not Exists</v>
      </c>
      <c r="P2530" t="str">
        <f t="shared" si="125"/>
        <v>Not Exists</v>
      </c>
    </row>
    <row r="2531" spans="1:16">
      <c r="A2531">
        <v>1</v>
      </c>
      <c r="B2531">
        <v>1</v>
      </c>
      <c r="C2531">
        <v>1</v>
      </c>
      <c r="D2531">
        <v>1</v>
      </c>
      <c r="E2531" s="50" t="s">
        <v>1419</v>
      </c>
      <c r="F2531" s="50" t="s">
        <v>1427</v>
      </c>
      <c r="G2531" s="50" t="s">
        <v>256</v>
      </c>
      <c r="H2531" s="50">
        <v>3000</v>
      </c>
      <c r="M2531" t="str">
        <f>IF(COUNTIF($A:$A,E2531)=0,"Not Exists","Exists")</f>
        <v>Exists</v>
      </c>
      <c r="N2531" t="str">
        <f t="shared" si="123"/>
        <v>Exists</v>
      </c>
      <c r="O2531" t="str">
        <f t="shared" si="124"/>
        <v>Not Exists</v>
      </c>
      <c r="P2531" t="str">
        <f t="shared" si="125"/>
        <v>Not Exists</v>
      </c>
    </row>
    <row r="2532" spans="1:16">
      <c r="A2532">
        <v>1</v>
      </c>
      <c r="B2532">
        <v>1</v>
      </c>
      <c r="C2532">
        <v>1</v>
      </c>
      <c r="D2532">
        <v>1</v>
      </c>
      <c r="E2532" s="50" t="s">
        <v>1428</v>
      </c>
      <c r="F2532" s="50" t="s">
        <v>1429</v>
      </c>
      <c r="G2532" s="50" t="s">
        <v>256</v>
      </c>
      <c r="H2532" s="50">
        <v>50</v>
      </c>
      <c r="M2532" t="str">
        <f>IF(COUNTIF($A:$A,E2532)=0,"Not Exists","Exists")</f>
        <v>Exists</v>
      </c>
      <c r="N2532" t="str">
        <f t="shared" si="123"/>
        <v>Exists</v>
      </c>
      <c r="O2532" t="str">
        <f t="shared" si="124"/>
        <v>Not Exists</v>
      </c>
      <c r="P2532" t="str">
        <f t="shared" si="125"/>
        <v>Not Exists</v>
      </c>
    </row>
    <row r="2533" spans="1:16">
      <c r="A2533">
        <v>1</v>
      </c>
      <c r="B2533">
        <v>1</v>
      </c>
      <c r="C2533">
        <v>1</v>
      </c>
      <c r="D2533">
        <v>1</v>
      </c>
      <c r="E2533" s="50" t="s">
        <v>1428</v>
      </c>
      <c r="F2533" s="50" t="s">
        <v>389</v>
      </c>
      <c r="G2533" s="50" t="s">
        <v>256</v>
      </c>
      <c r="H2533" s="50">
        <v>50</v>
      </c>
      <c r="M2533" t="str">
        <f>IF(COUNTIF($A:$A,E2533)=0,"Not Exists","Exists")</f>
        <v>Exists</v>
      </c>
      <c r="N2533" t="str">
        <f t="shared" si="123"/>
        <v>Exists</v>
      </c>
      <c r="O2533" t="str">
        <f t="shared" si="124"/>
        <v>Not Exists</v>
      </c>
      <c r="P2533" t="str">
        <f t="shared" si="125"/>
        <v>Not Exists</v>
      </c>
    </row>
    <row r="2534" spans="1:16">
      <c r="A2534">
        <v>1</v>
      </c>
      <c r="B2534">
        <v>1</v>
      </c>
      <c r="C2534">
        <v>1</v>
      </c>
      <c r="D2534">
        <v>1</v>
      </c>
      <c r="E2534" s="50" t="s">
        <v>1428</v>
      </c>
      <c r="F2534" s="50" t="s">
        <v>1436</v>
      </c>
      <c r="G2534" s="50" t="s">
        <v>256</v>
      </c>
      <c r="H2534" s="50">
        <v>450</v>
      </c>
      <c r="M2534" t="str">
        <f>IF(COUNTIF($A:$A,E2534)=0,"Not Exists","Exists")</f>
        <v>Exists</v>
      </c>
      <c r="N2534" t="str">
        <f t="shared" si="123"/>
        <v>Exists</v>
      </c>
      <c r="O2534" t="str">
        <f t="shared" si="124"/>
        <v>Not Exists</v>
      </c>
      <c r="P2534" t="str">
        <f t="shared" si="125"/>
        <v>Not Exists</v>
      </c>
    </row>
    <row r="2535" spans="1:16">
      <c r="A2535">
        <v>1</v>
      </c>
      <c r="B2535">
        <v>1</v>
      </c>
      <c r="C2535">
        <v>1</v>
      </c>
      <c r="D2535">
        <v>1</v>
      </c>
      <c r="E2535" s="50" t="s">
        <v>1428</v>
      </c>
      <c r="F2535" s="50" t="s">
        <v>1437</v>
      </c>
      <c r="G2535" s="50" t="s">
        <v>251</v>
      </c>
      <c r="H2535" s="50">
        <v>1</v>
      </c>
      <c r="M2535" t="str">
        <f>IF(COUNTIF($A:$A,E2535)=0,"Not Exists","Exists")</f>
        <v>Exists</v>
      </c>
      <c r="N2535" t="str">
        <f t="shared" si="123"/>
        <v>Exists</v>
      </c>
      <c r="O2535" t="str">
        <f t="shared" si="124"/>
        <v>Not Exists</v>
      </c>
      <c r="P2535" t="str">
        <f t="shared" si="125"/>
        <v>Not Exists</v>
      </c>
    </row>
    <row r="2536" spans="1:16">
      <c r="A2536">
        <v>1</v>
      </c>
      <c r="B2536">
        <v>1</v>
      </c>
      <c r="C2536">
        <v>1</v>
      </c>
      <c r="D2536">
        <v>1</v>
      </c>
      <c r="E2536" s="50" t="s">
        <v>1428</v>
      </c>
      <c r="F2536" s="50" t="s">
        <v>1431</v>
      </c>
      <c r="G2536" s="50" t="s">
        <v>251</v>
      </c>
      <c r="H2536" s="50">
        <v>17</v>
      </c>
      <c r="M2536" t="str">
        <f>IF(COUNTIF($A:$A,E2536)=0,"Not Exists","Exists")</f>
        <v>Exists</v>
      </c>
      <c r="N2536" t="str">
        <f t="shared" si="123"/>
        <v>Exists</v>
      </c>
      <c r="O2536" t="str">
        <f t="shared" si="124"/>
        <v>Not Exists</v>
      </c>
      <c r="P2536" t="str">
        <f t="shared" si="125"/>
        <v>Not Exists</v>
      </c>
    </row>
    <row r="2537" spans="1:16">
      <c r="A2537">
        <v>1</v>
      </c>
      <c r="B2537">
        <v>1</v>
      </c>
      <c r="C2537">
        <v>1</v>
      </c>
      <c r="D2537">
        <v>1</v>
      </c>
      <c r="E2537" s="50" t="s">
        <v>1428</v>
      </c>
      <c r="F2537" s="50" t="s">
        <v>1432</v>
      </c>
      <c r="G2537" s="50" t="s">
        <v>256</v>
      </c>
      <c r="H2537" s="50">
        <v>50</v>
      </c>
      <c r="M2537" t="str">
        <f>IF(COUNTIF($A:$A,E2537)=0,"Not Exists","Exists")</f>
        <v>Exists</v>
      </c>
      <c r="N2537" t="str">
        <f t="shared" si="123"/>
        <v>Exists</v>
      </c>
      <c r="O2537" t="str">
        <f t="shared" si="124"/>
        <v>Not Exists</v>
      </c>
      <c r="P2537" t="str">
        <f t="shared" si="125"/>
        <v>Not Exists</v>
      </c>
    </row>
    <row r="2538" spans="1:16">
      <c r="A2538">
        <v>1</v>
      </c>
      <c r="B2538">
        <v>1</v>
      </c>
      <c r="C2538">
        <v>1</v>
      </c>
      <c r="D2538">
        <v>1</v>
      </c>
      <c r="E2538" s="50" t="s">
        <v>1428</v>
      </c>
      <c r="F2538" s="50" t="s">
        <v>1434</v>
      </c>
      <c r="G2538" s="50" t="s">
        <v>251</v>
      </c>
      <c r="H2538" s="50">
        <v>17</v>
      </c>
      <c r="M2538" t="str">
        <f>IF(COUNTIF($A:$A,E2538)=0,"Not Exists","Exists")</f>
        <v>Exists</v>
      </c>
      <c r="N2538" t="str">
        <f t="shared" si="123"/>
        <v>Exists</v>
      </c>
      <c r="O2538" t="str">
        <f t="shared" si="124"/>
        <v>Not Exists</v>
      </c>
      <c r="P2538" t="str">
        <f t="shared" si="125"/>
        <v>Not Exists</v>
      </c>
    </row>
    <row r="2539" spans="1:16">
      <c r="A2539">
        <v>1</v>
      </c>
      <c r="B2539">
        <v>1</v>
      </c>
      <c r="C2539">
        <v>1</v>
      </c>
      <c r="D2539">
        <v>1</v>
      </c>
      <c r="E2539" s="50" t="s">
        <v>1428</v>
      </c>
      <c r="F2539" s="50" t="s">
        <v>1435</v>
      </c>
      <c r="G2539" s="50" t="s">
        <v>256</v>
      </c>
      <c r="H2539" s="50">
        <v>50</v>
      </c>
      <c r="M2539" t="str">
        <f>IF(COUNTIF($A:$A,E2539)=0,"Not Exists","Exists")</f>
        <v>Exists</v>
      </c>
      <c r="N2539" t="str">
        <f t="shared" si="123"/>
        <v>Exists</v>
      </c>
      <c r="O2539" t="str">
        <f t="shared" si="124"/>
        <v>Not Exists</v>
      </c>
      <c r="P2539" t="str">
        <f t="shared" si="125"/>
        <v>Not Exists</v>
      </c>
    </row>
    <row r="2540" spans="1:16">
      <c r="A2540">
        <v>1</v>
      </c>
      <c r="B2540">
        <v>1</v>
      </c>
      <c r="C2540">
        <v>1</v>
      </c>
      <c r="D2540">
        <v>1</v>
      </c>
      <c r="E2540" s="50" t="s">
        <v>1438</v>
      </c>
      <c r="F2540" s="50" t="s">
        <v>1439</v>
      </c>
      <c r="G2540" s="50" t="s">
        <v>256</v>
      </c>
      <c r="H2540" s="50">
        <v>50</v>
      </c>
      <c r="M2540" t="str">
        <f>IF(COUNTIF($A:$A,E2540)=0,"Not Exists","Exists")</f>
        <v>Exists</v>
      </c>
      <c r="N2540" t="str">
        <f t="shared" si="123"/>
        <v>Exists</v>
      </c>
      <c r="O2540" t="str">
        <f t="shared" si="124"/>
        <v>Not Exists</v>
      </c>
      <c r="P2540" t="str">
        <f t="shared" si="125"/>
        <v>Not Exists</v>
      </c>
    </row>
    <row r="2541" spans="1:16">
      <c r="A2541">
        <v>1</v>
      </c>
      <c r="B2541">
        <v>1</v>
      </c>
      <c r="C2541">
        <v>1</v>
      </c>
      <c r="D2541">
        <v>1</v>
      </c>
      <c r="E2541" s="50" t="s">
        <v>1438</v>
      </c>
      <c r="F2541" s="50" t="s">
        <v>1445</v>
      </c>
      <c r="G2541" s="50" t="s">
        <v>256</v>
      </c>
      <c r="H2541" s="50">
        <v>450</v>
      </c>
      <c r="M2541" t="str">
        <f>IF(COUNTIF($A:$A,E2541)=0,"Not Exists","Exists")</f>
        <v>Exists</v>
      </c>
      <c r="N2541" t="str">
        <f t="shared" si="123"/>
        <v>Exists</v>
      </c>
      <c r="O2541" t="str">
        <f t="shared" si="124"/>
        <v>Not Exists</v>
      </c>
      <c r="P2541" t="str">
        <f t="shared" si="125"/>
        <v>Not Exists</v>
      </c>
    </row>
    <row r="2542" spans="1:16">
      <c r="A2542">
        <v>1</v>
      </c>
      <c r="B2542">
        <v>1</v>
      </c>
      <c r="C2542">
        <v>1</v>
      </c>
      <c r="D2542">
        <v>1</v>
      </c>
      <c r="E2542" s="50" t="s">
        <v>1438</v>
      </c>
      <c r="F2542" s="50" t="s">
        <v>1446</v>
      </c>
      <c r="G2542" s="50" t="s">
        <v>256</v>
      </c>
      <c r="H2542" s="50">
        <v>450</v>
      </c>
      <c r="M2542" t="str">
        <f>IF(COUNTIF($A:$A,E2542)=0,"Not Exists","Exists")</f>
        <v>Exists</v>
      </c>
      <c r="N2542" t="str">
        <f t="shared" si="123"/>
        <v>Exists</v>
      </c>
      <c r="O2542" t="str">
        <f t="shared" si="124"/>
        <v>Not Exists</v>
      </c>
      <c r="P2542" t="str">
        <f t="shared" si="125"/>
        <v>Not Exists</v>
      </c>
    </row>
    <row r="2543" spans="1:16">
      <c r="A2543">
        <v>1</v>
      </c>
      <c r="B2543">
        <v>1</v>
      </c>
      <c r="C2543">
        <v>1</v>
      </c>
      <c r="D2543">
        <v>1</v>
      </c>
      <c r="E2543" s="50" t="s">
        <v>1438</v>
      </c>
      <c r="F2543" s="50" t="s">
        <v>1447</v>
      </c>
      <c r="G2543" s="50" t="s">
        <v>251</v>
      </c>
      <c r="H2543" s="50">
        <v>1</v>
      </c>
      <c r="M2543" t="str">
        <f>IF(COUNTIF($A:$A,E2543)=0,"Not Exists","Exists")</f>
        <v>Exists</v>
      </c>
      <c r="N2543" t="str">
        <f t="shared" si="123"/>
        <v>Exists</v>
      </c>
      <c r="O2543" t="str">
        <f t="shared" si="124"/>
        <v>Not Exists</v>
      </c>
      <c r="P2543" t="str">
        <f t="shared" si="125"/>
        <v>Not Exists</v>
      </c>
    </row>
    <row r="2544" spans="1:16">
      <c r="A2544">
        <v>1</v>
      </c>
      <c r="B2544">
        <v>1</v>
      </c>
      <c r="C2544">
        <v>1</v>
      </c>
      <c r="D2544">
        <v>1</v>
      </c>
      <c r="E2544" s="50" t="s">
        <v>1438</v>
      </c>
      <c r="F2544" s="50" t="s">
        <v>1449</v>
      </c>
      <c r="G2544" s="50" t="s">
        <v>256</v>
      </c>
      <c r="H2544" s="50">
        <v>450</v>
      </c>
      <c r="M2544" t="str">
        <f>IF(COUNTIF($A:$A,E2544)=0,"Not Exists","Exists")</f>
        <v>Exists</v>
      </c>
      <c r="N2544" t="str">
        <f t="shared" si="123"/>
        <v>Exists</v>
      </c>
      <c r="O2544" t="str">
        <f t="shared" si="124"/>
        <v>Not Exists</v>
      </c>
      <c r="P2544" t="str">
        <f t="shared" si="125"/>
        <v>Not Exists</v>
      </c>
    </row>
    <row r="2545" spans="1:16">
      <c r="A2545">
        <v>1</v>
      </c>
      <c r="B2545">
        <v>1</v>
      </c>
      <c r="C2545">
        <v>1</v>
      </c>
      <c r="D2545">
        <v>1</v>
      </c>
      <c r="E2545" s="50" t="s">
        <v>1438</v>
      </c>
      <c r="F2545" s="50" t="s">
        <v>1450</v>
      </c>
      <c r="G2545" s="50" t="s">
        <v>256</v>
      </c>
      <c r="H2545" s="50">
        <v>450</v>
      </c>
      <c r="M2545" t="str">
        <f>IF(COUNTIF($A:$A,E2545)=0,"Not Exists","Exists")</f>
        <v>Exists</v>
      </c>
      <c r="N2545" t="str">
        <f t="shared" si="123"/>
        <v>Exists</v>
      </c>
      <c r="O2545" t="str">
        <f t="shared" si="124"/>
        <v>Not Exists</v>
      </c>
      <c r="P2545" t="str">
        <f t="shared" si="125"/>
        <v>Not Exists</v>
      </c>
    </row>
    <row r="2546" spans="1:16">
      <c r="A2546">
        <v>1</v>
      </c>
      <c r="B2546">
        <v>1</v>
      </c>
      <c r="C2546">
        <v>1</v>
      </c>
      <c r="D2546">
        <v>1</v>
      </c>
      <c r="E2546" s="50" t="s">
        <v>1438</v>
      </c>
      <c r="F2546" s="50" t="s">
        <v>1451</v>
      </c>
      <c r="G2546" s="50" t="s">
        <v>256</v>
      </c>
      <c r="H2546" s="50">
        <v>450</v>
      </c>
      <c r="M2546" t="str">
        <f>IF(COUNTIF($A:$A,E2546)=0,"Not Exists","Exists")</f>
        <v>Exists</v>
      </c>
      <c r="N2546" t="str">
        <f t="shared" si="123"/>
        <v>Exists</v>
      </c>
      <c r="O2546" t="str">
        <f t="shared" si="124"/>
        <v>Not Exists</v>
      </c>
      <c r="P2546" t="str">
        <f t="shared" si="125"/>
        <v>Not Exists</v>
      </c>
    </row>
    <row r="2547" spans="1:16">
      <c r="A2547">
        <v>1</v>
      </c>
      <c r="B2547">
        <v>1</v>
      </c>
      <c r="C2547">
        <v>1</v>
      </c>
      <c r="D2547">
        <v>1</v>
      </c>
      <c r="E2547" s="50" t="s">
        <v>1438</v>
      </c>
      <c r="F2547" s="50" t="s">
        <v>1441</v>
      </c>
      <c r="G2547" s="50" t="s">
        <v>251</v>
      </c>
      <c r="H2547" s="50">
        <v>17</v>
      </c>
      <c r="M2547" t="str">
        <f>IF(COUNTIF($A:$A,E2547)=0,"Not Exists","Exists")</f>
        <v>Exists</v>
      </c>
      <c r="N2547" t="str">
        <f t="shared" si="123"/>
        <v>Exists</v>
      </c>
      <c r="O2547" t="str">
        <f t="shared" si="124"/>
        <v>Not Exists</v>
      </c>
      <c r="P2547" t="str">
        <f t="shared" si="125"/>
        <v>Not Exists</v>
      </c>
    </row>
    <row r="2548" spans="1:16">
      <c r="A2548">
        <v>1</v>
      </c>
      <c r="B2548">
        <v>1</v>
      </c>
      <c r="C2548">
        <v>1</v>
      </c>
      <c r="D2548">
        <v>1</v>
      </c>
      <c r="E2548" s="50" t="s">
        <v>1438</v>
      </c>
      <c r="F2548" s="50" t="s">
        <v>1442</v>
      </c>
      <c r="G2548" s="50" t="s">
        <v>256</v>
      </c>
      <c r="H2548" s="50">
        <v>50</v>
      </c>
      <c r="M2548" t="str">
        <f>IF(COUNTIF($A:$A,E2548)=0,"Not Exists","Exists")</f>
        <v>Exists</v>
      </c>
      <c r="N2548" t="str">
        <f t="shared" si="123"/>
        <v>Exists</v>
      </c>
      <c r="O2548" t="str">
        <f t="shared" si="124"/>
        <v>Not Exists</v>
      </c>
      <c r="P2548" t="str">
        <f t="shared" si="125"/>
        <v>Not Exists</v>
      </c>
    </row>
    <row r="2549" spans="1:16">
      <c r="A2549">
        <v>1</v>
      </c>
      <c r="B2549">
        <v>1</v>
      </c>
      <c r="C2549">
        <v>1</v>
      </c>
      <c r="D2549">
        <v>1</v>
      </c>
      <c r="E2549" s="50" t="s">
        <v>1438</v>
      </c>
      <c r="F2549" s="50" t="s">
        <v>1443</v>
      </c>
      <c r="G2549" s="50" t="s">
        <v>251</v>
      </c>
      <c r="H2549" s="50">
        <v>17</v>
      </c>
      <c r="M2549" t="str">
        <f>IF(COUNTIF($A:$A,E2549)=0,"Not Exists","Exists")</f>
        <v>Exists</v>
      </c>
      <c r="N2549" t="str">
        <f t="shared" si="123"/>
        <v>Exists</v>
      </c>
      <c r="O2549" t="str">
        <f t="shared" si="124"/>
        <v>Not Exists</v>
      </c>
      <c r="P2549" t="str">
        <f t="shared" si="125"/>
        <v>Not Exists</v>
      </c>
    </row>
    <row r="2550" spans="1:16">
      <c r="A2550">
        <v>1</v>
      </c>
      <c r="B2550">
        <v>1</v>
      </c>
      <c r="C2550">
        <v>1</v>
      </c>
      <c r="D2550">
        <v>1</v>
      </c>
      <c r="E2550" s="50" t="s">
        <v>1438</v>
      </c>
      <c r="F2550" s="50" t="s">
        <v>1444</v>
      </c>
      <c r="G2550" s="50" t="s">
        <v>256</v>
      </c>
      <c r="H2550" s="50">
        <v>50</v>
      </c>
      <c r="M2550" t="str">
        <f>IF(COUNTIF($A:$A,E2550)=0,"Not Exists","Exists")</f>
        <v>Exists</v>
      </c>
      <c r="N2550" t="str">
        <f t="shared" si="123"/>
        <v>Exists</v>
      </c>
      <c r="O2550" t="str">
        <f t="shared" si="124"/>
        <v>Not Exists</v>
      </c>
      <c r="P2550" t="str">
        <f t="shared" si="125"/>
        <v>Not Exists</v>
      </c>
    </row>
    <row r="2551" spans="1:16">
      <c r="A2551">
        <v>1</v>
      </c>
      <c r="B2551">
        <v>1</v>
      </c>
      <c r="C2551">
        <v>1</v>
      </c>
      <c r="D2551">
        <v>1</v>
      </c>
      <c r="E2551" s="50" t="s">
        <v>1452</v>
      </c>
      <c r="F2551" s="50" t="s">
        <v>1453</v>
      </c>
      <c r="G2551" s="50" t="s">
        <v>256</v>
      </c>
      <c r="H2551" s="50">
        <v>50</v>
      </c>
      <c r="M2551" t="str">
        <f>IF(COUNTIF($A:$A,E2551)=0,"Not Exists","Exists")</f>
        <v>Exists</v>
      </c>
      <c r="N2551" t="str">
        <f t="shared" si="123"/>
        <v>Exists</v>
      </c>
      <c r="O2551" t="str">
        <f t="shared" si="124"/>
        <v>Not Exists</v>
      </c>
      <c r="P2551" t="str">
        <f t="shared" si="125"/>
        <v>Not Exists</v>
      </c>
    </row>
    <row r="2552" spans="1:16">
      <c r="A2552">
        <v>1</v>
      </c>
      <c r="B2552">
        <v>1</v>
      </c>
      <c r="C2552">
        <v>1</v>
      </c>
      <c r="D2552">
        <v>1</v>
      </c>
      <c r="E2552" s="50" t="s">
        <v>1452</v>
      </c>
      <c r="F2552" s="50" t="s">
        <v>1455</v>
      </c>
      <c r="G2552" s="50" t="s">
        <v>251</v>
      </c>
      <c r="H2552" s="50">
        <v>17</v>
      </c>
      <c r="M2552" t="str">
        <f>IF(COUNTIF($A:$A,E2552)=0,"Not Exists","Exists")</f>
        <v>Exists</v>
      </c>
      <c r="N2552" t="str">
        <f t="shared" si="123"/>
        <v>Exists</v>
      </c>
      <c r="O2552" t="str">
        <f t="shared" si="124"/>
        <v>Not Exists</v>
      </c>
      <c r="P2552" t="str">
        <f t="shared" si="125"/>
        <v>Not Exists</v>
      </c>
    </row>
    <row r="2553" spans="1:16">
      <c r="A2553">
        <v>1</v>
      </c>
      <c r="B2553">
        <v>1</v>
      </c>
      <c r="C2553">
        <v>1</v>
      </c>
      <c r="D2553">
        <v>1</v>
      </c>
      <c r="E2553" s="50" t="s">
        <v>1452</v>
      </c>
      <c r="F2553" s="50" t="s">
        <v>1456</v>
      </c>
      <c r="G2553" s="50" t="s">
        <v>256</v>
      </c>
      <c r="H2553" s="50">
        <v>50</v>
      </c>
      <c r="M2553" t="str">
        <f>IF(COUNTIF($A:$A,E2553)=0,"Not Exists","Exists")</f>
        <v>Exists</v>
      </c>
      <c r="N2553" t="str">
        <f t="shared" si="123"/>
        <v>Exists</v>
      </c>
      <c r="O2553" t="str">
        <f t="shared" si="124"/>
        <v>Not Exists</v>
      </c>
      <c r="P2553" t="str">
        <f t="shared" si="125"/>
        <v>Not Exists</v>
      </c>
    </row>
    <row r="2554" spans="1:16">
      <c r="A2554">
        <v>1</v>
      </c>
      <c r="B2554">
        <v>1</v>
      </c>
      <c r="C2554">
        <v>1</v>
      </c>
      <c r="D2554">
        <v>1</v>
      </c>
      <c r="E2554" s="50" t="s">
        <v>1452</v>
      </c>
      <c r="F2554" s="50" t="s">
        <v>1457</v>
      </c>
      <c r="G2554" s="50" t="s">
        <v>251</v>
      </c>
      <c r="H2554" s="50">
        <v>17</v>
      </c>
      <c r="M2554" t="str">
        <f>IF(COUNTIF($A:$A,E2554)=0,"Not Exists","Exists")</f>
        <v>Exists</v>
      </c>
      <c r="N2554" t="str">
        <f t="shared" si="123"/>
        <v>Exists</v>
      </c>
      <c r="O2554" t="str">
        <f t="shared" si="124"/>
        <v>Not Exists</v>
      </c>
      <c r="P2554" t="str">
        <f t="shared" si="125"/>
        <v>Not Exists</v>
      </c>
    </row>
    <row r="2555" spans="1:16">
      <c r="A2555">
        <v>1</v>
      </c>
      <c r="B2555">
        <v>1</v>
      </c>
      <c r="C2555">
        <v>1</v>
      </c>
      <c r="D2555">
        <v>1</v>
      </c>
      <c r="E2555" s="50" t="s">
        <v>1452</v>
      </c>
      <c r="F2555" s="50" t="s">
        <v>1458</v>
      </c>
      <c r="G2555" s="50" t="s">
        <v>256</v>
      </c>
      <c r="H2555" s="50">
        <v>50</v>
      </c>
      <c r="M2555" t="str">
        <f>IF(COUNTIF($A:$A,E2555)=0,"Not Exists","Exists")</f>
        <v>Exists</v>
      </c>
      <c r="N2555" t="str">
        <f t="shared" si="123"/>
        <v>Exists</v>
      </c>
      <c r="O2555" t="str">
        <f t="shared" si="124"/>
        <v>Not Exists</v>
      </c>
      <c r="P2555" t="str">
        <f t="shared" si="125"/>
        <v>Not Exists</v>
      </c>
    </row>
    <row r="2556" spans="1:16">
      <c r="A2556">
        <v>1</v>
      </c>
      <c r="B2556">
        <v>1</v>
      </c>
      <c r="C2556">
        <v>1</v>
      </c>
      <c r="D2556">
        <v>1</v>
      </c>
      <c r="E2556" s="50" t="s">
        <v>1452</v>
      </c>
      <c r="F2556" s="50" t="s">
        <v>1459</v>
      </c>
      <c r="G2556" s="50" t="s">
        <v>256</v>
      </c>
      <c r="H2556" s="50">
        <v>3000</v>
      </c>
      <c r="M2556" t="str">
        <f>IF(COUNTIF($A:$A,E2556)=0,"Not Exists","Exists")</f>
        <v>Exists</v>
      </c>
      <c r="N2556" t="str">
        <f t="shared" si="123"/>
        <v>Exists</v>
      </c>
      <c r="O2556" t="str">
        <f t="shared" si="124"/>
        <v>Not Exists</v>
      </c>
      <c r="P2556" t="str">
        <f t="shared" si="125"/>
        <v>Not Exists</v>
      </c>
    </row>
    <row r="2557" spans="1:16">
      <c r="A2557">
        <v>1</v>
      </c>
      <c r="B2557">
        <v>1</v>
      </c>
      <c r="C2557">
        <v>1</v>
      </c>
      <c r="D2557">
        <v>1</v>
      </c>
      <c r="E2557" s="50" t="s">
        <v>1452</v>
      </c>
      <c r="F2557" s="50" t="s">
        <v>1460</v>
      </c>
      <c r="G2557" s="50" t="s">
        <v>254</v>
      </c>
      <c r="H2557" s="50">
        <v>22</v>
      </c>
      <c r="M2557" t="str">
        <f>IF(COUNTIF($A:$A,E2557)=0,"Not Exists","Exists")</f>
        <v>Exists</v>
      </c>
      <c r="N2557" t="str">
        <f t="shared" si="123"/>
        <v>Exists</v>
      </c>
      <c r="O2557" t="str">
        <f t="shared" si="124"/>
        <v>Not Exists</v>
      </c>
      <c r="P2557" t="str">
        <f t="shared" si="125"/>
        <v>Not Exists</v>
      </c>
    </row>
    <row r="2558" spans="1:16">
      <c r="A2558">
        <v>1</v>
      </c>
      <c r="B2558">
        <v>1</v>
      </c>
      <c r="C2558">
        <v>1</v>
      </c>
      <c r="D2558">
        <v>1</v>
      </c>
      <c r="E2558" s="50" t="s">
        <v>1452</v>
      </c>
      <c r="F2558" s="50" t="s">
        <v>1461</v>
      </c>
      <c r="G2558" s="50" t="s">
        <v>256</v>
      </c>
      <c r="H2558" s="50">
        <v>50</v>
      </c>
      <c r="M2558" t="str">
        <f>IF(COUNTIF($A:$A,E2558)=0,"Not Exists","Exists")</f>
        <v>Exists</v>
      </c>
      <c r="N2558" t="str">
        <f t="shared" si="123"/>
        <v>Exists</v>
      </c>
      <c r="O2558" t="str">
        <f t="shared" si="124"/>
        <v>Not Exists</v>
      </c>
      <c r="P2558" t="str">
        <f t="shared" si="125"/>
        <v>Not Exists</v>
      </c>
    </row>
    <row r="2559" spans="1:16">
      <c r="A2559">
        <v>1</v>
      </c>
      <c r="B2559">
        <v>1</v>
      </c>
      <c r="C2559">
        <v>1</v>
      </c>
      <c r="D2559">
        <v>1</v>
      </c>
      <c r="E2559" s="50" t="s">
        <v>1452</v>
      </c>
      <c r="F2559" s="50" t="s">
        <v>1462</v>
      </c>
      <c r="G2559" s="50" t="s">
        <v>256</v>
      </c>
      <c r="H2559" s="50">
        <v>50</v>
      </c>
      <c r="M2559" t="str">
        <f>IF(COUNTIF($A:$A,E2559)=0,"Not Exists","Exists")</f>
        <v>Exists</v>
      </c>
      <c r="N2559" t="str">
        <f t="shared" si="123"/>
        <v>Exists</v>
      </c>
      <c r="O2559" t="str">
        <f t="shared" si="124"/>
        <v>Not Exists</v>
      </c>
      <c r="P2559" t="str">
        <f t="shared" si="125"/>
        <v>Not Exists</v>
      </c>
    </row>
    <row r="2560" spans="1:16">
      <c r="A2560">
        <v>1</v>
      </c>
      <c r="B2560">
        <v>1</v>
      </c>
      <c r="C2560">
        <v>1</v>
      </c>
      <c r="D2560">
        <v>1</v>
      </c>
      <c r="E2560" s="50" t="s">
        <v>1452</v>
      </c>
      <c r="F2560" s="50" t="s">
        <v>1463</v>
      </c>
      <c r="G2560" s="50" t="s">
        <v>256</v>
      </c>
      <c r="H2560" s="50">
        <v>50</v>
      </c>
      <c r="M2560" t="str">
        <f>IF(COUNTIF($A:$A,E2560)=0,"Not Exists","Exists")</f>
        <v>Exists</v>
      </c>
      <c r="N2560" t="str">
        <f t="shared" si="123"/>
        <v>Exists</v>
      </c>
      <c r="O2560" t="str">
        <f t="shared" si="124"/>
        <v>Not Exists</v>
      </c>
      <c r="P2560" t="str">
        <f t="shared" si="125"/>
        <v>Not Exists</v>
      </c>
    </row>
    <row r="2561" spans="1:16">
      <c r="A2561">
        <v>1</v>
      </c>
      <c r="B2561">
        <v>1</v>
      </c>
      <c r="C2561">
        <v>1</v>
      </c>
      <c r="D2561">
        <v>1</v>
      </c>
      <c r="E2561" s="50" t="s">
        <v>1452</v>
      </c>
      <c r="F2561" s="50" t="s">
        <v>1465</v>
      </c>
      <c r="G2561" s="50" t="s">
        <v>254</v>
      </c>
      <c r="H2561" s="50">
        <v>22</v>
      </c>
      <c r="M2561" t="str">
        <f>IF(COUNTIF($A:$A,E2561)=0,"Not Exists","Exists")</f>
        <v>Exists</v>
      </c>
      <c r="N2561" t="str">
        <f t="shared" si="123"/>
        <v>Exists</v>
      </c>
      <c r="O2561" t="str">
        <f t="shared" si="124"/>
        <v>Not Exists</v>
      </c>
      <c r="P2561" t="str">
        <f t="shared" si="125"/>
        <v>Not Exists</v>
      </c>
    </row>
    <row r="2562" spans="1:16">
      <c r="A2562">
        <v>1</v>
      </c>
      <c r="B2562">
        <v>1</v>
      </c>
      <c r="C2562">
        <v>1</v>
      </c>
      <c r="D2562">
        <v>1</v>
      </c>
      <c r="E2562" s="50" t="s">
        <v>1452</v>
      </c>
      <c r="F2562" s="50" t="s">
        <v>1466</v>
      </c>
      <c r="G2562" s="50" t="s">
        <v>256</v>
      </c>
      <c r="H2562" s="50">
        <v>3000</v>
      </c>
      <c r="M2562" t="str">
        <f>IF(COUNTIF($A:$A,E2562)=0,"Not Exists","Exists")</f>
        <v>Exists</v>
      </c>
      <c r="N2562" t="str">
        <f t="shared" ref="N2562:N2588" si="126">IF(COUNTIF($A:$B,F2562)=0,"Not Exists","Exists")</f>
        <v>Exists</v>
      </c>
      <c r="O2562" t="str">
        <f t="shared" si="124"/>
        <v>Not Exists</v>
      </c>
      <c r="P2562" t="str">
        <f t="shared" si="125"/>
        <v>Not Exists</v>
      </c>
    </row>
    <row r="2563" spans="1:16">
      <c r="A2563">
        <v>1</v>
      </c>
      <c r="B2563">
        <v>1</v>
      </c>
      <c r="C2563">
        <v>1</v>
      </c>
      <c r="D2563">
        <v>1</v>
      </c>
      <c r="E2563" s="50" t="s">
        <v>1452</v>
      </c>
      <c r="F2563" s="50" t="s">
        <v>1467</v>
      </c>
      <c r="G2563" s="50" t="s">
        <v>254</v>
      </c>
      <c r="H2563" s="50">
        <v>22</v>
      </c>
      <c r="M2563" t="str">
        <f>IF(COUNTIF($A:$A,E2563)=0,"Not Exists","Exists")</f>
        <v>Exists</v>
      </c>
      <c r="N2563" t="str">
        <f t="shared" si="126"/>
        <v>Exists</v>
      </c>
      <c r="O2563" t="str">
        <f t="shared" si="124"/>
        <v>Not Exists</v>
      </c>
      <c r="P2563" t="str">
        <f t="shared" si="125"/>
        <v>Not Exists</v>
      </c>
    </row>
    <row r="2564" spans="1:16">
      <c r="A2564">
        <v>1</v>
      </c>
      <c r="B2564">
        <v>1</v>
      </c>
      <c r="C2564">
        <v>1</v>
      </c>
      <c r="D2564">
        <v>1</v>
      </c>
      <c r="E2564" s="50" t="s">
        <v>1452</v>
      </c>
      <c r="F2564" s="50" t="s">
        <v>1468</v>
      </c>
      <c r="G2564" s="50" t="s">
        <v>256</v>
      </c>
      <c r="H2564" s="50">
        <v>450</v>
      </c>
      <c r="M2564" t="str">
        <f>IF(COUNTIF($A:$A,E2564)=0,"Not Exists","Exists")</f>
        <v>Exists</v>
      </c>
      <c r="N2564" t="str">
        <f t="shared" si="126"/>
        <v>Exists</v>
      </c>
      <c r="O2564" t="str">
        <f t="shared" ref="O2564:O2627" si="127">IF(COUNTIF($E:$E,A2564)=0,"Not Exists","Exists")</f>
        <v>Not Exists</v>
      </c>
      <c r="P2564" t="str">
        <f t="shared" ref="P2564:P2627" si="128">IF(COUNTIF($F:$F,B2564)=0,"Not Exists","Exists")</f>
        <v>Not Exists</v>
      </c>
    </row>
    <row r="2565" spans="1:16">
      <c r="A2565">
        <v>1</v>
      </c>
      <c r="B2565">
        <v>1</v>
      </c>
      <c r="C2565">
        <v>1</v>
      </c>
      <c r="D2565">
        <v>1</v>
      </c>
      <c r="E2565" s="50" t="s">
        <v>1452</v>
      </c>
      <c r="F2565" s="50" t="s">
        <v>1469</v>
      </c>
      <c r="G2565" s="50" t="s">
        <v>254</v>
      </c>
      <c r="H2565" s="50">
        <v>22</v>
      </c>
      <c r="M2565" t="str">
        <f>IF(COUNTIF($A:$A,E2565)=0,"Not Exists","Exists")</f>
        <v>Exists</v>
      </c>
      <c r="N2565" t="str">
        <f t="shared" si="126"/>
        <v>Exists</v>
      </c>
      <c r="O2565" t="str">
        <f t="shared" si="127"/>
        <v>Not Exists</v>
      </c>
      <c r="P2565" t="str">
        <f t="shared" si="128"/>
        <v>Not Exists</v>
      </c>
    </row>
    <row r="2566" spans="1:16">
      <c r="A2566">
        <v>1</v>
      </c>
      <c r="B2566">
        <v>1</v>
      </c>
      <c r="C2566">
        <v>1</v>
      </c>
      <c r="D2566">
        <v>1</v>
      </c>
      <c r="E2566" s="50" t="s">
        <v>1452</v>
      </c>
      <c r="F2566" s="50" t="s">
        <v>1470</v>
      </c>
      <c r="G2566" s="50" t="s">
        <v>256</v>
      </c>
      <c r="H2566" s="50">
        <v>50</v>
      </c>
      <c r="M2566" t="str">
        <f>IF(COUNTIF($A:$A,E2566)=0,"Not Exists","Exists")</f>
        <v>Exists</v>
      </c>
      <c r="N2566" t="str">
        <f t="shared" si="126"/>
        <v>Exists</v>
      </c>
      <c r="O2566" t="str">
        <f t="shared" si="127"/>
        <v>Not Exists</v>
      </c>
      <c r="P2566" t="str">
        <f t="shared" si="128"/>
        <v>Not Exists</v>
      </c>
    </row>
    <row r="2567" spans="1:16">
      <c r="A2567">
        <v>1</v>
      </c>
      <c r="B2567">
        <v>1</v>
      </c>
      <c r="C2567">
        <v>1</v>
      </c>
      <c r="D2567">
        <v>1</v>
      </c>
      <c r="E2567" s="50" t="s">
        <v>1452</v>
      </c>
      <c r="F2567" s="50" t="s">
        <v>1471</v>
      </c>
      <c r="G2567" s="50" t="s">
        <v>256</v>
      </c>
      <c r="H2567" s="50">
        <v>50</v>
      </c>
      <c r="M2567" t="str">
        <f>IF(COUNTIF($A:$A,E2567)=0,"Not Exists","Exists")</f>
        <v>Exists</v>
      </c>
      <c r="N2567" t="str">
        <f t="shared" si="126"/>
        <v>Exists</v>
      </c>
      <c r="O2567" t="str">
        <f t="shared" si="127"/>
        <v>Not Exists</v>
      </c>
      <c r="P2567" t="str">
        <f t="shared" si="128"/>
        <v>Not Exists</v>
      </c>
    </row>
    <row r="2568" spans="1:16">
      <c r="A2568">
        <v>1</v>
      </c>
      <c r="B2568">
        <v>1</v>
      </c>
      <c r="C2568">
        <v>1</v>
      </c>
      <c r="D2568">
        <v>1</v>
      </c>
      <c r="E2568" s="50" t="s">
        <v>1452</v>
      </c>
      <c r="F2568" s="50" t="s">
        <v>1472</v>
      </c>
      <c r="G2568" s="50" t="s">
        <v>256</v>
      </c>
      <c r="H2568" s="50">
        <v>50</v>
      </c>
      <c r="M2568" t="str">
        <f>IF(COUNTIF($A:$A,E2568)=0,"Not Exists","Exists")</f>
        <v>Exists</v>
      </c>
      <c r="N2568" t="str">
        <f t="shared" si="126"/>
        <v>Exists</v>
      </c>
      <c r="O2568" t="str">
        <f t="shared" si="127"/>
        <v>Not Exists</v>
      </c>
      <c r="P2568" t="str">
        <f t="shared" si="128"/>
        <v>Not Exists</v>
      </c>
    </row>
    <row r="2569" spans="1:16">
      <c r="A2569">
        <v>1</v>
      </c>
      <c r="B2569">
        <v>1</v>
      </c>
      <c r="C2569">
        <v>1</v>
      </c>
      <c r="D2569">
        <v>1</v>
      </c>
      <c r="E2569" s="50" t="s">
        <v>1452</v>
      </c>
      <c r="F2569" s="50" t="s">
        <v>1473</v>
      </c>
      <c r="G2569" s="50" t="s">
        <v>256</v>
      </c>
      <c r="H2569" s="50">
        <v>50</v>
      </c>
      <c r="M2569" t="str">
        <f>IF(COUNTIF($A:$A,E2569)=0,"Not Exists","Exists")</f>
        <v>Exists</v>
      </c>
      <c r="N2569" t="str">
        <f t="shared" si="126"/>
        <v>Exists</v>
      </c>
      <c r="O2569" t="str">
        <f t="shared" si="127"/>
        <v>Not Exists</v>
      </c>
      <c r="P2569" t="str">
        <f t="shared" si="128"/>
        <v>Not Exists</v>
      </c>
    </row>
    <row r="2570" spans="1:16">
      <c r="A2570">
        <v>1</v>
      </c>
      <c r="B2570">
        <v>1</v>
      </c>
      <c r="C2570">
        <v>1</v>
      </c>
      <c r="D2570">
        <v>1</v>
      </c>
      <c r="E2570" s="50" t="s">
        <v>1474</v>
      </c>
      <c r="F2570" s="50" t="s">
        <v>1475</v>
      </c>
      <c r="G2570" s="50" t="s">
        <v>256</v>
      </c>
      <c r="H2570" s="50">
        <v>50</v>
      </c>
      <c r="M2570" t="str">
        <f>IF(COUNTIF($A:$A,E2570)=0,"Not Exists","Exists")</f>
        <v>Exists</v>
      </c>
      <c r="N2570" t="str">
        <f t="shared" si="126"/>
        <v>Exists</v>
      </c>
      <c r="O2570" t="str">
        <f t="shared" si="127"/>
        <v>Not Exists</v>
      </c>
      <c r="P2570" t="str">
        <f t="shared" si="128"/>
        <v>Not Exists</v>
      </c>
    </row>
    <row r="2571" spans="1:16">
      <c r="A2571">
        <v>1</v>
      </c>
      <c r="B2571">
        <v>1</v>
      </c>
      <c r="C2571">
        <v>1</v>
      </c>
      <c r="D2571">
        <v>1</v>
      </c>
      <c r="E2571" s="50" t="s">
        <v>1474</v>
      </c>
      <c r="F2571" s="50" t="s">
        <v>1482</v>
      </c>
      <c r="G2571" s="50" t="s">
        <v>256</v>
      </c>
      <c r="H2571" s="50">
        <v>450</v>
      </c>
      <c r="M2571" t="str">
        <f>IF(COUNTIF($A:$A,E2571)=0,"Not Exists","Exists")</f>
        <v>Exists</v>
      </c>
      <c r="N2571" t="str">
        <f t="shared" si="126"/>
        <v>Exists</v>
      </c>
      <c r="O2571" t="str">
        <f t="shared" si="127"/>
        <v>Not Exists</v>
      </c>
      <c r="P2571" t="str">
        <f t="shared" si="128"/>
        <v>Not Exists</v>
      </c>
    </row>
    <row r="2572" spans="1:16">
      <c r="A2572">
        <v>1</v>
      </c>
      <c r="B2572">
        <v>1</v>
      </c>
      <c r="C2572">
        <v>1</v>
      </c>
      <c r="D2572">
        <v>1</v>
      </c>
      <c r="E2572" s="50" t="s">
        <v>1474</v>
      </c>
      <c r="F2572" s="50" t="s">
        <v>1477</v>
      </c>
      <c r="G2572" s="50" t="s">
        <v>251</v>
      </c>
      <c r="H2572" s="50">
        <v>17</v>
      </c>
      <c r="M2572" t="str">
        <f>IF(COUNTIF($A:$A,E2572)=0,"Not Exists","Exists")</f>
        <v>Exists</v>
      </c>
      <c r="N2572" t="str">
        <f t="shared" si="126"/>
        <v>Exists</v>
      </c>
      <c r="O2572" t="str">
        <f t="shared" si="127"/>
        <v>Not Exists</v>
      </c>
      <c r="P2572" t="str">
        <f t="shared" si="128"/>
        <v>Not Exists</v>
      </c>
    </row>
    <row r="2573" spans="1:16">
      <c r="A2573">
        <v>1</v>
      </c>
      <c r="B2573">
        <v>1</v>
      </c>
      <c r="C2573">
        <v>1</v>
      </c>
      <c r="D2573">
        <v>1</v>
      </c>
      <c r="E2573" s="50" t="s">
        <v>1474</v>
      </c>
      <c r="F2573" s="50" t="s">
        <v>1478</v>
      </c>
      <c r="G2573" s="50" t="s">
        <v>256</v>
      </c>
      <c r="H2573" s="50">
        <v>50</v>
      </c>
      <c r="M2573" t="str">
        <f>IF(COUNTIF($A:$A,E2573)=0,"Not Exists","Exists")</f>
        <v>Exists</v>
      </c>
      <c r="N2573" t="str">
        <f t="shared" si="126"/>
        <v>Exists</v>
      </c>
      <c r="O2573" t="str">
        <f t="shared" si="127"/>
        <v>Not Exists</v>
      </c>
      <c r="P2573" t="str">
        <f t="shared" si="128"/>
        <v>Not Exists</v>
      </c>
    </row>
    <row r="2574" spans="1:16">
      <c r="A2574">
        <v>1</v>
      </c>
      <c r="B2574">
        <v>1</v>
      </c>
      <c r="C2574">
        <v>1</v>
      </c>
      <c r="D2574">
        <v>1</v>
      </c>
      <c r="E2574" s="50" t="s">
        <v>1474</v>
      </c>
      <c r="F2574" s="50" t="s">
        <v>1479</v>
      </c>
      <c r="G2574" s="50" t="s">
        <v>251</v>
      </c>
      <c r="H2574" s="50">
        <v>17</v>
      </c>
      <c r="M2574" t="str">
        <f>IF(COUNTIF($A:$A,E2574)=0,"Not Exists","Exists")</f>
        <v>Exists</v>
      </c>
      <c r="N2574" t="str">
        <f t="shared" si="126"/>
        <v>Exists</v>
      </c>
      <c r="O2574" t="str">
        <f t="shared" si="127"/>
        <v>Not Exists</v>
      </c>
      <c r="P2574" t="str">
        <f t="shared" si="128"/>
        <v>Not Exists</v>
      </c>
    </row>
    <row r="2575" spans="1:16">
      <c r="A2575">
        <v>1</v>
      </c>
      <c r="B2575">
        <v>1</v>
      </c>
      <c r="C2575">
        <v>1</v>
      </c>
      <c r="D2575">
        <v>1</v>
      </c>
      <c r="E2575" s="50" t="s">
        <v>1474</v>
      </c>
      <c r="F2575" s="50" t="s">
        <v>1481</v>
      </c>
      <c r="G2575" s="50" t="s">
        <v>256</v>
      </c>
      <c r="H2575" s="50">
        <v>50</v>
      </c>
      <c r="M2575" t="str">
        <f>IF(COUNTIF($A:$A,E2575)=0,"Not Exists","Exists")</f>
        <v>Exists</v>
      </c>
      <c r="N2575" t="str">
        <f t="shared" si="126"/>
        <v>Exists</v>
      </c>
      <c r="O2575" t="str">
        <f t="shared" si="127"/>
        <v>Not Exists</v>
      </c>
      <c r="P2575" t="str">
        <f t="shared" si="128"/>
        <v>Not Exists</v>
      </c>
    </row>
    <row r="2576" spans="1:16">
      <c r="A2576">
        <v>1</v>
      </c>
      <c r="B2576">
        <v>1</v>
      </c>
      <c r="C2576">
        <v>1</v>
      </c>
      <c r="D2576">
        <v>1</v>
      </c>
      <c r="E2576" s="50" t="s">
        <v>1529</v>
      </c>
      <c r="F2576" s="50" t="s">
        <v>1530</v>
      </c>
      <c r="G2576" s="50" t="s">
        <v>256</v>
      </c>
      <c r="H2576" s="50">
        <v>50</v>
      </c>
      <c r="M2576" t="str">
        <f>IF(COUNTIF($A:$A,E2576)=0,"Not Exists","Exists")</f>
        <v>Exists</v>
      </c>
      <c r="N2576" t="str">
        <f t="shared" si="126"/>
        <v>Exists</v>
      </c>
      <c r="O2576" t="str">
        <f t="shared" si="127"/>
        <v>Not Exists</v>
      </c>
      <c r="P2576" t="str">
        <f t="shared" si="128"/>
        <v>Not Exists</v>
      </c>
    </row>
    <row r="2577" spans="1:16">
      <c r="A2577">
        <v>1</v>
      </c>
      <c r="B2577">
        <v>1</v>
      </c>
      <c r="C2577">
        <v>1</v>
      </c>
      <c r="D2577">
        <v>1</v>
      </c>
      <c r="E2577" s="50" t="s">
        <v>1529</v>
      </c>
      <c r="F2577" s="50" t="s">
        <v>1532</v>
      </c>
      <c r="G2577" s="50" t="s">
        <v>251</v>
      </c>
      <c r="H2577" s="50">
        <v>17</v>
      </c>
      <c r="M2577" t="str">
        <f>IF(COUNTIF($A:$A,E2577)=0,"Not Exists","Exists")</f>
        <v>Exists</v>
      </c>
      <c r="N2577" t="str">
        <f t="shared" si="126"/>
        <v>Exists</v>
      </c>
      <c r="O2577" t="str">
        <f t="shared" si="127"/>
        <v>Not Exists</v>
      </c>
      <c r="P2577" t="str">
        <f t="shared" si="128"/>
        <v>Not Exists</v>
      </c>
    </row>
    <row r="2578" spans="1:16">
      <c r="A2578">
        <v>1</v>
      </c>
      <c r="B2578">
        <v>1</v>
      </c>
      <c r="C2578">
        <v>1</v>
      </c>
      <c r="D2578">
        <v>1</v>
      </c>
      <c r="E2578" s="50" t="s">
        <v>1529</v>
      </c>
      <c r="F2578" s="50" t="s">
        <v>1533</v>
      </c>
      <c r="G2578" s="50" t="s">
        <v>256</v>
      </c>
      <c r="H2578" s="50">
        <v>50</v>
      </c>
      <c r="M2578" t="str">
        <f>IF(COUNTIF($A:$A,E2578)=0,"Not Exists","Exists")</f>
        <v>Exists</v>
      </c>
      <c r="N2578" t="str">
        <f t="shared" si="126"/>
        <v>Exists</v>
      </c>
      <c r="O2578" t="str">
        <f t="shared" si="127"/>
        <v>Not Exists</v>
      </c>
      <c r="P2578" t="str">
        <f t="shared" si="128"/>
        <v>Not Exists</v>
      </c>
    </row>
    <row r="2579" spans="1:16">
      <c r="A2579">
        <v>1</v>
      </c>
      <c r="B2579">
        <v>1</v>
      </c>
      <c r="C2579">
        <v>1</v>
      </c>
      <c r="D2579">
        <v>1</v>
      </c>
      <c r="E2579" s="50" t="s">
        <v>1529</v>
      </c>
      <c r="F2579" s="50" t="s">
        <v>1534</v>
      </c>
      <c r="G2579" s="50" t="s">
        <v>251</v>
      </c>
      <c r="H2579" s="50">
        <v>17</v>
      </c>
      <c r="M2579" t="str">
        <f>IF(COUNTIF($A:$A,E2579)=0,"Not Exists","Exists")</f>
        <v>Exists</v>
      </c>
      <c r="N2579" t="str">
        <f t="shared" si="126"/>
        <v>Exists</v>
      </c>
      <c r="O2579" t="str">
        <f t="shared" si="127"/>
        <v>Not Exists</v>
      </c>
      <c r="P2579" t="str">
        <f t="shared" si="128"/>
        <v>Not Exists</v>
      </c>
    </row>
    <row r="2580" spans="1:16">
      <c r="A2580">
        <v>1</v>
      </c>
      <c r="B2580">
        <v>1</v>
      </c>
      <c r="C2580">
        <v>1</v>
      </c>
      <c r="D2580">
        <v>1</v>
      </c>
      <c r="E2580" s="50" t="s">
        <v>1529</v>
      </c>
      <c r="F2580" s="50" t="s">
        <v>1535</v>
      </c>
      <c r="G2580" s="50" t="s">
        <v>256</v>
      </c>
      <c r="H2580" s="50">
        <v>50</v>
      </c>
      <c r="M2580" t="str">
        <f>IF(COUNTIF($A:$A,E2580)=0,"Not Exists","Exists")</f>
        <v>Exists</v>
      </c>
      <c r="N2580" t="str">
        <f t="shared" si="126"/>
        <v>Exists</v>
      </c>
      <c r="O2580" t="str">
        <f t="shared" si="127"/>
        <v>Not Exists</v>
      </c>
      <c r="P2580" t="str">
        <f t="shared" si="128"/>
        <v>Not Exists</v>
      </c>
    </row>
    <row r="2581" spans="1:16">
      <c r="A2581">
        <v>1</v>
      </c>
      <c r="B2581">
        <v>1</v>
      </c>
      <c r="C2581">
        <v>1</v>
      </c>
      <c r="D2581">
        <v>1</v>
      </c>
      <c r="E2581" s="50" t="s">
        <v>1529</v>
      </c>
      <c r="F2581" s="50" t="s">
        <v>1536</v>
      </c>
      <c r="G2581" s="50" t="s">
        <v>256</v>
      </c>
      <c r="H2581" s="50">
        <v>450</v>
      </c>
      <c r="M2581" t="str">
        <f>IF(COUNTIF($A:$A,E2581)=0,"Not Exists","Exists")</f>
        <v>Exists</v>
      </c>
      <c r="N2581" t="str">
        <f t="shared" si="126"/>
        <v>Exists</v>
      </c>
      <c r="O2581" t="str">
        <f t="shared" si="127"/>
        <v>Not Exists</v>
      </c>
      <c r="P2581" t="str">
        <f t="shared" si="128"/>
        <v>Not Exists</v>
      </c>
    </row>
    <row r="2582" spans="1:16">
      <c r="A2582">
        <v>1</v>
      </c>
      <c r="B2582">
        <v>1</v>
      </c>
      <c r="C2582">
        <v>1</v>
      </c>
      <c r="D2582">
        <v>1</v>
      </c>
      <c r="E2582" s="50" t="s">
        <v>1529</v>
      </c>
      <c r="F2582" s="50" t="s">
        <v>1537</v>
      </c>
      <c r="G2582" s="50" t="s">
        <v>254</v>
      </c>
      <c r="H2582" s="50">
        <v>22</v>
      </c>
      <c r="M2582" t="str">
        <f>IF(COUNTIF($A:$A,E2582)=0,"Not Exists","Exists")</f>
        <v>Exists</v>
      </c>
      <c r="N2582" t="str">
        <f t="shared" si="126"/>
        <v>Exists</v>
      </c>
      <c r="O2582" t="str">
        <f t="shared" si="127"/>
        <v>Not Exists</v>
      </c>
      <c r="P2582" t="str">
        <f t="shared" si="128"/>
        <v>Not Exists</v>
      </c>
    </row>
    <row r="2583" spans="1:16">
      <c r="A2583">
        <v>1</v>
      </c>
      <c r="B2583">
        <v>1</v>
      </c>
      <c r="C2583">
        <v>1</v>
      </c>
      <c r="D2583">
        <v>1</v>
      </c>
      <c r="E2583" s="50" t="s">
        <v>1529</v>
      </c>
      <c r="F2583" s="50" t="s">
        <v>1538</v>
      </c>
      <c r="G2583" s="50" t="s">
        <v>256</v>
      </c>
      <c r="H2583" s="50">
        <v>3000</v>
      </c>
      <c r="M2583" t="str">
        <f>IF(COUNTIF($A:$A,E2583)=0,"Not Exists","Exists")</f>
        <v>Exists</v>
      </c>
      <c r="N2583" t="str">
        <f t="shared" si="126"/>
        <v>Exists</v>
      </c>
      <c r="O2583" t="str">
        <f t="shared" si="127"/>
        <v>Not Exists</v>
      </c>
      <c r="P2583" t="str">
        <f t="shared" si="128"/>
        <v>Not Exists</v>
      </c>
    </row>
    <row r="2584" spans="1:16">
      <c r="A2584">
        <v>1</v>
      </c>
      <c r="B2584">
        <v>1</v>
      </c>
      <c r="C2584">
        <v>1</v>
      </c>
      <c r="D2584">
        <v>1</v>
      </c>
      <c r="E2584" s="50" t="s">
        <v>1529</v>
      </c>
      <c r="F2584" s="50" t="s">
        <v>1539</v>
      </c>
      <c r="G2584" s="50" t="s">
        <v>256</v>
      </c>
      <c r="H2584" s="50">
        <v>450</v>
      </c>
      <c r="M2584" t="str">
        <f>IF(COUNTIF($A:$A,E2584)=0,"Not Exists","Exists")</f>
        <v>Exists</v>
      </c>
      <c r="N2584" t="str">
        <f t="shared" si="126"/>
        <v>Exists</v>
      </c>
      <c r="O2584" t="str">
        <f t="shared" si="127"/>
        <v>Not Exists</v>
      </c>
      <c r="P2584" t="str">
        <f t="shared" si="128"/>
        <v>Not Exists</v>
      </c>
    </row>
    <row r="2585" spans="1:16">
      <c r="A2585">
        <v>1</v>
      </c>
      <c r="B2585">
        <v>1</v>
      </c>
      <c r="C2585">
        <v>1</v>
      </c>
      <c r="D2585">
        <v>1</v>
      </c>
      <c r="E2585" s="50" t="s">
        <v>1529</v>
      </c>
      <c r="F2585" s="50" t="s">
        <v>1540</v>
      </c>
      <c r="G2585" s="50" t="s">
        <v>256</v>
      </c>
      <c r="H2585" s="50">
        <v>450</v>
      </c>
      <c r="M2585" t="str">
        <f>IF(COUNTIF($A:$A,E2585)=0,"Not Exists","Exists")</f>
        <v>Exists</v>
      </c>
      <c r="N2585" t="str">
        <f t="shared" si="126"/>
        <v>Exists</v>
      </c>
      <c r="O2585" t="str">
        <f t="shared" si="127"/>
        <v>Not Exists</v>
      </c>
      <c r="P2585" t="str">
        <f t="shared" si="128"/>
        <v>Not Exists</v>
      </c>
    </row>
    <row r="2586" spans="1:16">
      <c r="A2586">
        <v>1</v>
      </c>
      <c r="B2586">
        <v>1</v>
      </c>
      <c r="C2586">
        <v>1</v>
      </c>
      <c r="D2586">
        <v>1</v>
      </c>
      <c r="E2586" s="50" t="s">
        <v>1529</v>
      </c>
      <c r="F2586" s="50" t="s">
        <v>1541</v>
      </c>
      <c r="G2586" s="50" t="s">
        <v>254</v>
      </c>
      <c r="H2586" s="50">
        <v>22</v>
      </c>
      <c r="M2586" t="str">
        <f>IF(COUNTIF($A:$A,E2586)=0,"Not Exists","Exists")</f>
        <v>Exists</v>
      </c>
      <c r="N2586" t="str">
        <f t="shared" si="126"/>
        <v>Exists</v>
      </c>
      <c r="O2586" t="str">
        <f t="shared" si="127"/>
        <v>Not Exists</v>
      </c>
      <c r="P2586" t="str">
        <f t="shared" si="128"/>
        <v>Not Exists</v>
      </c>
    </row>
    <row r="2587" spans="1:16">
      <c r="A2587">
        <v>1</v>
      </c>
      <c r="B2587">
        <v>1</v>
      </c>
      <c r="C2587">
        <v>1</v>
      </c>
      <c r="D2587">
        <v>1</v>
      </c>
      <c r="E2587" s="50" t="s">
        <v>1529</v>
      </c>
      <c r="F2587" s="50" t="s">
        <v>1542</v>
      </c>
      <c r="G2587" s="50" t="s">
        <v>254</v>
      </c>
      <c r="H2587" s="50">
        <v>22</v>
      </c>
      <c r="M2587" t="str">
        <f>IF(COUNTIF($A:$A,E2587)=0,"Not Exists","Exists")</f>
        <v>Exists</v>
      </c>
      <c r="N2587" t="str">
        <f t="shared" si="126"/>
        <v>Exists</v>
      </c>
      <c r="O2587" t="str">
        <f t="shared" si="127"/>
        <v>Not Exists</v>
      </c>
      <c r="P2587" t="str">
        <f t="shared" si="128"/>
        <v>Not Exists</v>
      </c>
    </row>
    <row r="2588" spans="1:16">
      <c r="A2588">
        <v>1</v>
      </c>
      <c r="B2588">
        <v>1</v>
      </c>
      <c r="C2588">
        <v>1</v>
      </c>
      <c r="D2588">
        <v>1</v>
      </c>
      <c r="E2588" s="50" t="s">
        <v>1529</v>
      </c>
      <c r="F2588" s="50" t="s">
        <v>1544</v>
      </c>
      <c r="G2588" s="50" t="s">
        <v>256</v>
      </c>
      <c r="H2588" s="50">
        <v>50</v>
      </c>
      <c r="M2588" t="str">
        <f>IF(COUNTIF($A:$A,E2588)=0,"Not Exists","Exists")</f>
        <v>Exists</v>
      </c>
      <c r="N2588" t="str">
        <f t="shared" si="126"/>
        <v>Exists</v>
      </c>
      <c r="O2588" t="str">
        <f t="shared" si="127"/>
        <v>Not Exists</v>
      </c>
      <c r="P2588" t="str">
        <f t="shared" si="128"/>
        <v>Not Exists</v>
      </c>
    </row>
    <row r="2589" spans="1:16">
      <c r="A2589">
        <v>1</v>
      </c>
      <c r="B2589">
        <v>1</v>
      </c>
      <c r="C2589">
        <v>1</v>
      </c>
      <c r="D2589">
        <v>1</v>
      </c>
      <c r="E2589" s="50" t="s">
        <v>2213</v>
      </c>
      <c r="F2589" s="50" t="s">
        <v>392</v>
      </c>
      <c r="G2589" s="50" t="s">
        <v>256</v>
      </c>
      <c r="H2589" s="50">
        <v>50</v>
      </c>
      <c r="M2589" t="str">
        <f>IF(COUNTIF($A:$A,E2589)=0,"Not Exists","Exists")</f>
        <v>Not Exists</v>
      </c>
      <c r="N2589" t="str">
        <f t="shared" ref="N2589:N2652" si="129">IF(COUNTIF($A:$B,F2589)=0,"Not Exists","Exists")</f>
        <v>Exists</v>
      </c>
      <c r="O2589" t="str">
        <f t="shared" si="127"/>
        <v>Not Exists</v>
      </c>
      <c r="P2589" t="str">
        <f t="shared" si="128"/>
        <v>Not Exists</v>
      </c>
    </row>
    <row r="2590" spans="1:16">
      <c r="A2590">
        <v>1</v>
      </c>
      <c r="B2590">
        <v>1</v>
      </c>
      <c r="C2590">
        <v>1</v>
      </c>
      <c r="D2590">
        <v>1</v>
      </c>
      <c r="E2590" s="50" t="s">
        <v>2213</v>
      </c>
      <c r="F2590" s="50" t="s">
        <v>1014</v>
      </c>
      <c r="G2590" s="50" t="s">
        <v>256</v>
      </c>
      <c r="H2590" s="50">
        <v>50</v>
      </c>
      <c r="M2590" t="str">
        <f>IF(COUNTIF($A:$A,E2590)=0,"Not Exists","Exists")</f>
        <v>Not Exists</v>
      </c>
      <c r="N2590" t="str">
        <f t="shared" si="129"/>
        <v>Exists</v>
      </c>
      <c r="O2590" t="str">
        <f t="shared" si="127"/>
        <v>Not Exists</v>
      </c>
      <c r="P2590" t="str">
        <f t="shared" si="128"/>
        <v>Not Exists</v>
      </c>
    </row>
    <row r="2591" spans="1:16">
      <c r="A2591">
        <v>1</v>
      </c>
      <c r="B2591">
        <v>1</v>
      </c>
      <c r="C2591">
        <v>1</v>
      </c>
      <c r="D2591">
        <v>1</v>
      </c>
      <c r="E2591" s="50" t="s">
        <v>2213</v>
      </c>
      <c r="F2591" s="50" t="s">
        <v>357</v>
      </c>
      <c r="G2591" s="50" t="s">
        <v>256</v>
      </c>
      <c r="H2591" s="50">
        <v>50</v>
      </c>
      <c r="M2591" t="str">
        <f>IF(COUNTIF($A:$A,E2591)=0,"Not Exists","Exists")</f>
        <v>Not Exists</v>
      </c>
      <c r="N2591" t="str">
        <f t="shared" si="129"/>
        <v>Exists</v>
      </c>
      <c r="O2591" t="str">
        <f t="shared" si="127"/>
        <v>Not Exists</v>
      </c>
      <c r="P2591" t="str">
        <f t="shared" si="128"/>
        <v>Not Exists</v>
      </c>
    </row>
    <row r="2592" spans="1:16">
      <c r="A2592">
        <v>1</v>
      </c>
      <c r="B2592">
        <v>1</v>
      </c>
      <c r="C2592">
        <v>1</v>
      </c>
      <c r="D2592">
        <v>1</v>
      </c>
      <c r="E2592" s="50" t="s">
        <v>2213</v>
      </c>
      <c r="F2592" s="50" t="s">
        <v>2214</v>
      </c>
      <c r="G2592" s="50" t="s">
        <v>256</v>
      </c>
      <c r="H2592" s="50">
        <v>1</v>
      </c>
      <c r="M2592" t="str">
        <f>IF(COUNTIF($A:$A,E2592)=0,"Not Exists","Exists")</f>
        <v>Not Exists</v>
      </c>
      <c r="N2592" t="str">
        <f t="shared" si="129"/>
        <v>Not Exists</v>
      </c>
      <c r="O2592" t="str">
        <f t="shared" si="127"/>
        <v>Not Exists</v>
      </c>
      <c r="P2592" t="str">
        <f t="shared" si="128"/>
        <v>Not Exists</v>
      </c>
    </row>
    <row r="2593" spans="1:16">
      <c r="A2593">
        <v>1</v>
      </c>
      <c r="B2593">
        <v>1</v>
      </c>
      <c r="C2593">
        <v>1</v>
      </c>
      <c r="D2593">
        <v>1</v>
      </c>
      <c r="E2593" s="50" t="s">
        <v>1545</v>
      </c>
      <c r="F2593" s="50" t="s">
        <v>1546</v>
      </c>
      <c r="G2593" s="50" t="s">
        <v>256</v>
      </c>
      <c r="H2593" s="50">
        <v>50</v>
      </c>
      <c r="M2593" t="str">
        <f>IF(COUNTIF($A:$A,E2593)=0,"Not Exists","Exists")</f>
        <v>Exists</v>
      </c>
      <c r="N2593" t="str">
        <f t="shared" si="129"/>
        <v>Exists</v>
      </c>
      <c r="O2593" t="str">
        <f t="shared" si="127"/>
        <v>Not Exists</v>
      </c>
      <c r="P2593" t="str">
        <f t="shared" si="128"/>
        <v>Not Exists</v>
      </c>
    </row>
    <row r="2594" spans="1:16">
      <c r="A2594">
        <v>1</v>
      </c>
      <c r="B2594">
        <v>1</v>
      </c>
      <c r="C2594">
        <v>1</v>
      </c>
      <c r="D2594">
        <v>1</v>
      </c>
      <c r="E2594" s="50" t="s">
        <v>1545</v>
      </c>
      <c r="F2594" s="50" t="s">
        <v>1548</v>
      </c>
      <c r="G2594" s="50" t="s">
        <v>251</v>
      </c>
      <c r="H2594" s="50">
        <v>17</v>
      </c>
      <c r="M2594" t="str">
        <f>IF(COUNTIF($A:$A,E2594)=0,"Not Exists","Exists")</f>
        <v>Exists</v>
      </c>
      <c r="N2594" t="str">
        <f t="shared" si="129"/>
        <v>Exists</v>
      </c>
      <c r="O2594" t="str">
        <f t="shared" si="127"/>
        <v>Not Exists</v>
      </c>
      <c r="P2594" t="str">
        <f t="shared" si="128"/>
        <v>Not Exists</v>
      </c>
    </row>
    <row r="2595" spans="1:16">
      <c r="A2595">
        <v>1</v>
      </c>
      <c r="B2595">
        <v>1</v>
      </c>
      <c r="C2595">
        <v>1</v>
      </c>
      <c r="D2595">
        <v>1</v>
      </c>
      <c r="E2595" s="50" t="s">
        <v>1545</v>
      </c>
      <c r="F2595" s="50" t="s">
        <v>1549</v>
      </c>
      <c r="G2595" s="50" t="s">
        <v>256</v>
      </c>
      <c r="H2595" s="50">
        <v>50</v>
      </c>
      <c r="M2595" t="str">
        <f>IF(COUNTIF($A:$A,E2595)=0,"Not Exists","Exists")</f>
        <v>Exists</v>
      </c>
      <c r="N2595" t="str">
        <f t="shared" si="129"/>
        <v>Exists</v>
      </c>
      <c r="O2595" t="str">
        <f t="shared" si="127"/>
        <v>Not Exists</v>
      </c>
      <c r="P2595" t="str">
        <f t="shared" si="128"/>
        <v>Not Exists</v>
      </c>
    </row>
    <row r="2596" spans="1:16">
      <c r="A2596">
        <v>1</v>
      </c>
      <c r="B2596">
        <v>1</v>
      </c>
      <c r="C2596">
        <v>1</v>
      </c>
      <c r="D2596">
        <v>1</v>
      </c>
      <c r="E2596" s="50" t="s">
        <v>1545</v>
      </c>
      <c r="F2596" s="50" t="s">
        <v>1550</v>
      </c>
      <c r="G2596" s="50" t="s">
        <v>251</v>
      </c>
      <c r="H2596" s="50">
        <v>17</v>
      </c>
      <c r="M2596" t="str">
        <f>IF(COUNTIF($A:$A,E2596)=0,"Not Exists","Exists")</f>
        <v>Exists</v>
      </c>
      <c r="N2596" t="str">
        <f t="shared" si="129"/>
        <v>Exists</v>
      </c>
      <c r="O2596" t="str">
        <f t="shared" si="127"/>
        <v>Not Exists</v>
      </c>
      <c r="P2596" t="str">
        <f t="shared" si="128"/>
        <v>Not Exists</v>
      </c>
    </row>
    <row r="2597" spans="1:16">
      <c r="A2597">
        <v>1</v>
      </c>
      <c r="B2597">
        <v>1</v>
      </c>
      <c r="C2597">
        <v>1</v>
      </c>
      <c r="D2597">
        <v>1</v>
      </c>
      <c r="E2597" s="50" t="s">
        <v>1545</v>
      </c>
      <c r="F2597" s="50" t="s">
        <v>1551</v>
      </c>
      <c r="G2597" s="50" t="s">
        <v>256</v>
      </c>
      <c r="H2597" s="50">
        <v>50</v>
      </c>
      <c r="M2597" t="str">
        <f>IF(COUNTIF($A:$A,E2597)=0,"Not Exists","Exists")</f>
        <v>Exists</v>
      </c>
      <c r="N2597" t="str">
        <f t="shared" si="129"/>
        <v>Exists</v>
      </c>
      <c r="O2597" t="str">
        <f t="shared" si="127"/>
        <v>Not Exists</v>
      </c>
      <c r="P2597" t="str">
        <f t="shared" si="128"/>
        <v>Not Exists</v>
      </c>
    </row>
    <row r="2598" spans="1:16">
      <c r="A2598">
        <v>1</v>
      </c>
      <c r="B2598">
        <v>1</v>
      </c>
      <c r="C2598">
        <v>1</v>
      </c>
      <c r="D2598">
        <v>1</v>
      </c>
      <c r="E2598" s="50" t="s">
        <v>1545</v>
      </c>
      <c r="F2598" s="50" t="s">
        <v>1552</v>
      </c>
      <c r="G2598" s="50" t="s">
        <v>254</v>
      </c>
      <c r="H2598" s="50">
        <v>22</v>
      </c>
      <c r="M2598" t="str">
        <f>IF(COUNTIF($A:$A,E2598)=0,"Not Exists","Exists")</f>
        <v>Exists</v>
      </c>
      <c r="N2598" t="str">
        <f t="shared" si="129"/>
        <v>Exists</v>
      </c>
      <c r="O2598" t="str">
        <f t="shared" si="127"/>
        <v>Not Exists</v>
      </c>
      <c r="P2598" t="str">
        <f t="shared" si="128"/>
        <v>Not Exists</v>
      </c>
    </row>
    <row r="2599" spans="1:16">
      <c r="A2599">
        <v>1</v>
      </c>
      <c r="B2599">
        <v>1</v>
      </c>
      <c r="C2599">
        <v>1</v>
      </c>
      <c r="D2599">
        <v>1</v>
      </c>
      <c r="E2599" s="50" t="s">
        <v>1545</v>
      </c>
      <c r="F2599" s="50" t="s">
        <v>1553</v>
      </c>
      <c r="G2599" s="50" t="s">
        <v>256</v>
      </c>
      <c r="H2599" s="50">
        <v>450</v>
      </c>
      <c r="M2599" t="str">
        <f>IF(COUNTIF($A:$A,E2599)=0,"Not Exists","Exists")</f>
        <v>Exists</v>
      </c>
      <c r="N2599" t="str">
        <f t="shared" si="129"/>
        <v>Exists</v>
      </c>
      <c r="O2599" t="str">
        <f t="shared" si="127"/>
        <v>Not Exists</v>
      </c>
      <c r="P2599" t="str">
        <f t="shared" si="128"/>
        <v>Not Exists</v>
      </c>
    </row>
    <row r="2600" spans="1:16">
      <c r="A2600">
        <v>1</v>
      </c>
      <c r="B2600">
        <v>1</v>
      </c>
      <c r="C2600">
        <v>1</v>
      </c>
      <c r="D2600">
        <v>1</v>
      </c>
      <c r="E2600" s="50" t="s">
        <v>1545</v>
      </c>
      <c r="F2600" s="50" t="s">
        <v>1554</v>
      </c>
      <c r="G2600" s="50" t="s">
        <v>256</v>
      </c>
      <c r="H2600" s="50">
        <v>3000</v>
      </c>
      <c r="M2600" t="str">
        <f>IF(COUNTIF($A:$A,E2600)=0,"Not Exists","Exists")</f>
        <v>Exists</v>
      </c>
      <c r="N2600" t="str">
        <f t="shared" si="129"/>
        <v>Exists</v>
      </c>
      <c r="O2600" t="str">
        <f t="shared" si="127"/>
        <v>Not Exists</v>
      </c>
      <c r="P2600" t="str">
        <f t="shared" si="128"/>
        <v>Not Exists</v>
      </c>
    </row>
    <row r="2601" spans="1:16">
      <c r="A2601">
        <v>1</v>
      </c>
      <c r="B2601">
        <v>1</v>
      </c>
      <c r="C2601">
        <v>1</v>
      </c>
      <c r="D2601">
        <v>1</v>
      </c>
      <c r="E2601" s="50" t="s">
        <v>1545</v>
      </c>
      <c r="F2601" s="50" t="s">
        <v>1555</v>
      </c>
      <c r="G2601" s="50" t="s">
        <v>256</v>
      </c>
      <c r="H2601" s="50">
        <v>3000</v>
      </c>
      <c r="M2601" t="str">
        <f>IF(COUNTIF($A:$A,E2601)=0,"Not Exists","Exists")</f>
        <v>Exists</v>
      </c>
      <c r="N2601" t="str">
        <f t="shared" si="129"/>
        <v>Exists</v>
      </c>
      <c r="O2601" t="str">
        <f t="shared" si="127"/>
        <v>Not Exists</v>
      </c>
      <c r="P2601" t="str">
        <f t="shared" si="128"/>
        <v>Not Exists</v>
      </c>
    </row>
    <row r="2602" spans="1:16">
      <c r="A2602">
        <v>1</v>
      </c>
      <c r="B2602">
        <v>1</v>
      </c>
      <c r="C2602">
        <v>1</v>
      </c>
      <c r="D2602">
        <v>1</v>
      </c>
      <c r="E2602" s="50" t="s">
        <v>1545</v>
      </c>
      <c r="F2602" s="50" t="s">
        <v>1556</v>
      </c>
      <c r="G2602" s="50" t="s">
        <v>256</v>
      </c>
      <c r="H2602" s="50">
        <v>50</v>
      </c>
      <c r="M2602" t="str">
        <f>IF(COUNTIF($A:$A,E2602)=0,"Not Exists","Exists")</f>
        <v>Exists</v>
      </c>
      <c r="N2602" t="str">
        <f t="shared" si="129"/>
        <v>Exists</v>
      </c>
      <c r="O2602" t="str">
        <f t="shared" si="127"/>
        <v>Not Exists</v>
      </c>
      <c r="P2602" t="str">
        <f t="shared" si="128"/>
        <v>Not Exists</v>
      </c>
    </row>
    <row r="2603" spans="1:16">
      <c r="A2603">
        <v>1</v>
      </c>
      <c r="B2603">
        <v>1</v>
      </c>
      <c r="C2603">
        <v>1</v>
      </c>
      <c r="D2603">
        <v>1</v>
      </c>
      <c r="E2603" s="50" t="s">
        <v>1557</v>
      </c>
      <c r="F2603" s="50" t="s">
        <v>1558</v>
      </c>
      <c r="G2603" s="50" t="s">
        <v>256</v>
      </c>
      <c r="H2603" s="50">
        <v>50</v>
      </c>
      <c r="M2603" t="str">
        <f>IF(COUNTIF($A:$A,E2603)=0,"Not Exists","Exists")</f>
        <v>Exists</v>
      </c>
      <c r="N2603" t="str">
        <f t="shared" si="129"/>
        <v>Exists</v>
      </c>
      <c r="O2603" t="str">
        <f t="shared" si="127"/>
        <v>Not Exists</v>
      </c>
      <c r="P2603" t="str">
        <f t="shared" si="128"/>
        <v>Not Exists</v>
      </c>
    </row>
    <row r="2604" spans="1:16">
      <c r="A2604">
        <v>1</v>
      </c>
      <c r="B2604">
        <v>1</v>
      </c>
      <c r="C2604">
        <v>1</v>
      </c>
      <c r="D2604">
        <v>1</v>
      </c>
      <c r="E2604" s="50" t="s">
        <v>1557</v>
      </c>
      <c r="F2604" s="50" t="s">
        <v>1561</v>
      </c>
      <c r="G2604" s="50" t="s">
        <v>251</v>
      </c>
      <c r="H2604" s="50">
        <v>17</v>
      </c>
      <c r="M2604" t="str">
        <f>IF(COUNTIF($A:$A,E2604)=0,"Not Exists","Exists")</f>
        <v>Exists</v>
      </c>
      <c r="N2604" t="str">
        <f t="shared" si="129"/>
        <v>Exists</v>
      </c>
      <c r="O2604" t="str">
        <f t="shared" si="127"/>
        <v>Not Exists</v>
      </c>
      <c r="P2604" t="str">
        <f t="shared" si="128"/>
        <v>Not Exists</v>
      </c>
    </row>
    <row r="2605" spans="1:16">
      <c r="A2605">
        <v>1</v>
      </c>
      <c r="B2605">
        <v>1</v>
      </c>
      <c r="C2605">
        <v>1</v>
      </c>
      <c r="D2605">
        <v>1</v>
      </c>
      <c r="E2605" s="50" t="s">
        <v>1557</v>
      </c>
      <c r="F2605" s="50" t="s">
        <v>1562</v>
      </c>
      <c r="G2605" s="50" t="s">
        <v>256</v>
      </c>
      <c r="H2605" s="50">
        <v>50</v>
      </c>
      <c r="M2605" t="str">
        <f>IF(COUNTIF($A:$A,E2605)=0,"Not Exists","Exists")</f>
        <v>Exists</v>
      </c>
      <c r="N2605" t="str">
        <f t="shared" si="129"/>
        <v>Exists</v>
      </c>
      <c r="O2605" t="str">
        <f t="shared" si="127"/>
        <v>Not Exists</v>
      </c>
      <c r="P2605" t="str">
        <f t="shared" si="128"/>
        <v>Not Exists</v>
      </c>
    </row>
    <row r="2606" spans="1:16">
      <c r="A2606">
        <v>1</v>
      </c>
      <c r="B2606">
        <v>1</v>
      </c>
      <c r="C2606">
        <v>1</v>
      </c>
      <c r="D2606">
        <v>1</v>
      </c>
      <c r="E2606" s="50" t="s">
        <v>1557</v>
      </c>
      <c r="F2606" s="50" t="s">
        <v>1563</v>
      </c>
      <c r="G2606" s="50" t="s">
        <v>251</v>
      </c>
      <c r="H2606" s="50">
        <v>17</v>
      </c>
      <c r="M2606" t="str">
        <f>IF(COUNTIF($A:$A,E2606)=0,"Not Exists","Exists")</f>
        <v>Exists</v>
      </c>
      <c r="N2606" t="str">
        <f t="shared" si="129"/>
        <v>Exists</v>
      </c>
      <c r="O2606" t="str">
        <f t="shared" si="127"/>
        <v>Not Exists</v>
      </c>
      <c r="P2606" t="str">
        <f t="shared" si="128"/>
        <v>Not Exists</v>
      </c>
    </row>
    <row r="2607" spans="1:16">
      <c r="A2607">
        <v>1</v>
      </c>
      <c r="B2607">
        <v>1</v>
      </c>
      <c r="C2607">
        <v>1</v>
      </c>
      <c r="D2607">
        <v>1</v>
      </c>
      <c r="E2607" s="50" t="s">
        <v>1557</v>
      </c>
      <c r="F2607" s="50" t="s">
        <v>1564</v>
      </c>
      <c r="G2607" s="50" t="s">
        <v>256</v>
      </c>
      <c r="H2607" s="50">
        <v>50</v>
      </c>
      <c r="M2607" t="str">
        <f>IF(COUNTIF($A:$A,E2607)=0,"Not Exists","Exists")</f>
        <v>Exists</v>
      </c>
      <c r="N2607" t="str">
        <f t="shared" si="129"/>
        <v>Exists</v>
      </c>
      <c r="O2607" t="str">
        <f t="shared" si="127"/>
        <v>Not Exists</v>
      </c>
      <c r="P2607" t="str">
        <f t="shared" si="128"/>
        <v>Not Exists</v>
      </c>
    </row>
    <row r="2608" spans="1:16">
      <c r="A2608">
        <v>1</v>
      </c>
      <c r="B2608">
        <v>1</v>
      </c>
      <c r="C2608">
        <v>1</v>
      </c>
      <c r="D2608">
        <v>1</v>
      </c>
      <c r="E2608" s="50" t="s">
        <v>1557</v>
      </c>
      <c r="F2608" s="50" t="s">
        <v>1565</v>
      </c>
      <c r="G2608" s="50" t="s">
        <v>254</v>
      </c>
      <c r="H2608" s="50">
        <v>22</v>
      </c>
      <c r="M2608" t="str">
        <f>IF(COUNTIF($A:$A,E2608)=0,"Not Exists","Exists")</f>
        <v>Exists</v>
      </c>
      <c r="N2608" t="str">
        <f t="shared" si="129"/>
        <v>Exists</v>
      </c>
      <c r="O2608" t="str">
        <f t="shared" si="127"/>
        <v>Not Exists</v>
      </c>
      <c r="P2608" t="str">
        <f t="shared" si="128"/>
        <v>Not Exists</v>
      </c>
    </row>
    <row r="2609" spans="1:16">
      <c r="A2609">
        <v>1</v>
      </c>
      <c r="B2609">
        <v>1</v>
      </c>
      <c r="C2609">
        <v>1</v>
      </c>
      <c r="D2609">
        <v>1</v>
      </c>
      <c r="E2609" s="50" t="s">
        <v>1557</v>
      </c>
      <c r="F2609" s="50" t="s">
        <v>1566</v>
      </c>
      <c r="G2609" s="50" t="s">
        <v>254</v>
      </c>
      <c r="H2609" s="50">
        <v>22</v>
      </c>
      <c r="M2609" t="str">
        <f>IF(COUNTIF($A:$A,E2609)=0,"Not Exists","Exists")</f>
        <v>Exists</v>
      </c>
      <c r="N2609" t="str">
        <f t="shared" si="129"/>
        <v>Exists</v>
      </c>
      <c r="O2609" t="str">
        <f t="shared" si="127"/>
        <v>Not Exists</v>
      </c>
      <c r="P2609" t="str">
        <f t="shared" si="128"/>
        <v>Not Exists</v>
      </c>
    </row>
    <row r="2610" spans="1:16">
      <c r="A2610">
        <v>1</v>
      </c>
      <c r="B2610">
        <v>1</v>
      </c>
      <c r="C2610">
        <v>1</v>
      </c>
      <c r="D2610">
        <v>1</v>
      </c>
      <c r="E2610" s="50" t="s">
        <v>1557</v>
      </c>
      <c r="F2610" s="50" t="s">
        <v>1567</v>
      </c>
      <c r="G2610" s="50" t="s">
        <v>256</v>
      </c>
      <c r="H2610" s="50">
        <v>50</v>
      </c>
      <c r="M2610" t="str">
        <f>IF(COUNTIF($A:$A,E2610)=0,"Not Exists","Exists")</f>
        <v>Exists</v>
      </c>
      <c r="N2610" t="str">
        <f t="shared" si="129"/>
        <v>Exists</v>
      </c>
      <c r="O2610" t="str">
        <f t="shared" si="127"/>
        <v>Not Exists</v>
      </c>
      <c r="P2610" t="str">
        <f t="shared" si="128"/>
        <v>Not Exists</v>
      </c>
    </row>
    <row r="2611" spans="1:16">
      <c r="A2611">
        <v>1</v>
      </c>
      <c r="B2611">
        <v>1</v>
      </c>
      <c r="C2611">
        <v>1</v>
      </c>
      <c r="D2611">
        <v>1</v>
      </c>
      <c r="E2611" s="50" t="s">
        <v>1557</v>
      </c>
      <c r="F2611" s="50" t="s">
        <v>1568</v>
      </c>
      <c r="G2611" s="50" t="s">
        <v>256</v>
      </c>
      <c r="H2611" s="50">
        <v>50</v>
      </c>
      <c r="M2611" t="str">
        <f>IF(COUNTIF($A:$A,E2611)=0,"Not Exists","Exists")</f>
        <v>Exists</v>
      </c>
      <c r="N2611" t="str">
        <f t="shared" si="129"/>
        <v>Exists</v>
      </c>
      <c r="O2611" t="str">
        <f t="shared" si="127"/>
        <v>Not Exists</v>
      </c>
      <c r="P2611" t="str">
        <f t="shared" si="128"/>
        <v>Not Exists</v>
      </c>
    </row>
    <row r="2612" spans="1:16">
      <c r="A2612">
        <v>1</v>
      </c>
      <c r="B2612">
        <v>1</v>
      </c>
      <c r="C2612">
        <v>1</v>
      </c>
      <c r="D2612">
        <v>1</v>
      </c>
      <c r="E2612" s="50" t="s">
        <v>1557</v>
      </c>
      <c r="F2612" s="50" t="s">
        <v>1569</v>
      </c>
      <c r="G2612" s="50" t="s">
        <v>256</v>
      </c>
      <c r="H2612" s="50">
        <v>3000</v>
      </c>
      <c r="M2612" t="str">
        <f>IF(COUNTIF($A:$A,E2612)=0,"Not Exists","Exists")</f>
        <v>Exists</v>
      </c>
      <c r="N2612" t="str">
        <f t="shared" si="129"/>
        <v>Exists</v>
      </c>
      <c r="O2612" t="str">
        <f t="shared" si="127"/>
        <v>Not Exists</v>
      </c>
      <c r="P2612" t="str">
        <f t="shared" si="128"/>
        <v>Not Exists</v>
      </c>
    </row>
    <row r="2613" spans="1:16">
      <c r="A2613">
        <v>1</v>
      </c>
      <c r="B2613">
        <v>1</v>
      </c>
      <c r="C2613">
        <v>1</v>
      </c>
      <c r="D2613">
        <v>1</v>
      </c>
      <c r="E2613" s="50" t="s">
        <v>1557</v>
      </c>
      <c r="F2613" s="50" t="s">
        <v>1570</v>
      </c>
      <c r="G2613" s="50" t="s">
        <v>256</v>
      </c>
      <c r="H2613" s="50">
        <v>50</v>
      </c>
      <c r="M2613" t="str">
        <f>IF(COUNTIF($A:$A,E2613)=0,"Not Exists","Exists")</f>
        <v>Exists</v>
      </c>
      <c r="N2613" t="str">
        <f t="shared" si="129"/>
        <v>Exists</v>
      </c>
      <c r="O2613" t="str">
        <f t="shared" si="127"/>
        <v>Not Exists</v>
      </c>
      <c r="P2613" t="str">
        <f t="shared" si="128"/>
        <v>Not Exists</v>
      </c>
    </row>
    <row r="2614" spans="1:16">
      <c r="A2614">
        <v>1</v>
      </c>
      <c r="B2614">
        <v>1</v>
      </c>
      <c r="C2614">
        <v>1</v>
      </c>
      <c r="D2614">
        <v>1</v>
      </c>
      <c r="E2614" s="50" t="s">
        <v>1557</v>
      </c>
      <c r="F2614" s="50" t="s">
        <v>1571</v>
      </c>
      <c r="G2614" s="50" t="s">
        <v>256</v>
      </c>
      <c r="H2614" s="50">
        <v>50</v>
      </c>
      <c r="M2614" t="str">
        <f>IF(COUNTIF($A:$A,E2614)=0,"Not Exists","Exists")</f>
        <v>Exists</v>
      </c>
      <c r="N2614" t="str">
        <f t="shared" si="129"/>
        <v>Exists</v>
      </c>
      <c r="O2614" t="str">
        <f t="shared" si="127"/>
        <v>Not Exists</v>
      </c>
      <c r="P2614" t="str">
        <f t="shared" si="128"/>
        <v>Not Exists</v>
      </c>
    </row>
    <row r="2615" spans="1:16">
      <c r="A2615">
        <v>1</v>
      </c>
      <c r="B2615">
        <v>1</v>
      </c>
      <c r="C2615">
        <v>1</v>
      </c>
      <c r="D2615">
        <v>1</v>
      </c>
      <c r="E2615" s="50" t="s">
        <v>1557</v>
      </c>
      <c r="F2615" s="50" t="s">
        <v>1572</v>
      </c>
      <c r="G2615" s="50" t="s">
        <v>256</v>
      </c>
      <c r="H2615" s="50">
        <v>3000</v>
      </c>
      <c r="M2615" t="str">
        <f>IF(COUNTIF($A:$A,E2615)=0,"Not Exists","Exists")</f>
        <v>Exists</v>
      </c>
      <c r="N2615" t="str">
        <f t="shared" si="129"/>
        <v>Exists</v>
      </c>
      <c r="O2615" t="str">
        <f t="shared" si="127"/>
        <v>Not Exists</v>
      </c>
      <c r="P2615" t="str">
        <f t="shared" si="128"/>
        <v>Not Exists</v>
      </c>
    </row>
    <row r="2616" spans="1:16">
      <c r="A2616">
        <v>1</v>
      </c>
      <c r="B2616">
        <v>1</v>
      </c>
      <c r="C2616">
        <v>1</v>
      </c>
      <c r="D2616">
        <v>1</v>
      </c>
      <c r="E2616" s="50" t="s">
        <v>1557</v>
      </c>
      <c r="F2616" s="50" t="s">
        <v>1573</v>
      </c>
      <c r="G2616" s="50" t="s">
        <v>256</v>
      </c>
      <c r="H2616" s="50">
        <v>50</v>
      </c>
      <c r="M2616" t="str">
        <f>IF(COUNTIF($A:$A,E2616)=0,"Not Exists","Exists")</f>
        <v>Exists</v>
      </c>
      <c r="N2616" t="str">
        <f t="shared" si="129"/>
        <v>Exists</v>
      </c>
      <c r="O2616" t="str">
        <f t="shared" si="127"/>
        <v>Not Exists</v>
      </c>
      <c r="P2616" t="str">
        <f t="shared" si="128"/>
        <v>Not Exists</v>
      </c>
    </row>
    <row r="2617" spans="1:16">
      <c r="A2617">
        <v>1</v>
      </c>
      <c r="B2617">
        <v>1</v>
      </c>
      <c r="C2617">
        <v>1</v>
      </c>
      <c r="D2617">
        <v>1</v>
      </c>
      <c r="E2617" s="50" t="s">
        <v>1557</v>
      </c>
      <c r="F2617" s="50" t="s">
        <v>1574</v>
      </c>
      <c r="G2617" s="50" t="s">
        <v>256</v>
      </c>
      <c r="H2617" s="50">
        <v>50</v>
      </c>
      <c r="M2617" t="str">
        <f>IF(COUNTIF($A:$A,E2617)=0,"Not Exists","Exists")</f>
        <v>Exists</v>
      </c>
      <c r="N2617" t="str">
        <f t="shared" si="129"/>
        <v>Exists</v>
      </c>
      <c r="O2617" t="str">
        <f t="shared" si="127"/>
        <v>Not Exists</v>
      </c>
      <c r="P2617" t="str">
        <f t="shared" si="128"/>
        <v>Not Exists</v>
      </c>
    </row>
    <row r="2618" spans="1:16">
      <c r="A2618">
        <v>1</v>
      </c>
      <c r="B2618">
        <v>1</v>
      </c>
      <c r="C2618">
        <v>1</v>
      </c>
      <c r="D2618">
        <v>1</v>
      </c>
      <c r="E2618" s="50" t="s">
        <v>1576</v>
      </c>
      <c r="F2618" s="50" t="s">
        <v>1577</v>
      </c>
      <c r="G2618" s="50" t="s">
        <v>256</v>
      </c>
      <c r="H2618" s="50">
        <v>50</v>
      </c>
      <c r="M2618" t="str">
        <f>IF(COUNTIF($A:$A,E2618)=0,"Not Exists","Exists")</f>
        <v>Exists</v>
      </c>
      <c r="N2618" t="str">
        <f t="shared" si="129"/>
        <v>Exists</v>
      </c>
      <c r="O2618" t="str">
        <f t="shared" si="127"/>
        <v>Not Exists</v>
      </c>
      <c r="P2618" t="str">
        <f t="shared" si="128"/>
        <v>Not Exists</v>
      </c>
    </row>
    <row r="2619" spans="1:16">
      <c r="A2619">
        <v>1</v>
      </c>
      <c r="B2619">
        <v>1</v>
      </c>
      <c r="C2619">
        <v>1</v>
      </c>
      <c r="D2619">
        <v>1</v>
      </c>
      <c r="E2619" s="50" t="s">
        <v>1576</v>
      </c>
      <c r="F2619" s="50" t="s">
        <v>1579</v>
      </c>
      <c r="G2619" s="50" t="s">
        <v>256</v>
      </c>
      <c r="H2619" s="50">
        <v>50</v>
      </c>
      <c r="M2619" t="str">
        <f>IF(COUNTIF($A:$A,E2619)=0,"Not Exists","Exists")</f>
        <v>Exists</v>
      </c>
      <c r="N2619" t="str">
        <f t="shared" si="129"/>
        <v>Exists</v>
      </c>
      <c r="O2619" t="str">
        <f t="shared" si="127"/>
        <v>Not Exists</v>
      </c>
      <c r="P2619" t="str">
        <f t="shared" si="128"/>
        <v>Not Exists</v>
      </c>
    </row>
    <row r="2620" spans="1:16">
      <c r="A2620">
        <v>1</v>
      </c>
      <c r="B2620">
        <v>1</v>
      </c>
      <c r="C2620">
        <v>1</v>
      </c>
      <c r="D2620">
        <v>1</v>
      </c>
      <c r="E2620" s="50" t="s">
        <v>1576</v>
      </c>
      <c r="F2620" s="50" t="s">
        <v>1580</v>
      </c>
      <c r="G2620" s="50" t="s">
        <v>251</v>
      </c>
      <c r="H2620" s="50">
        <v>17</v>
      </c>
      <c r="M2620" t="str">
        <f>IF(COUNTIF($A:$A,E2620)=0,"Not Exists","Exists")</f>
        <v>Exists</v>
      </c>
      <c r="N2620" t="str">
        <f t="shared" si="129"/>
        <v>Exists</v>
      </c>
      <c r="O2620" t="str">
        <f t="shared" si="127"/>
        <v>Not Exists</v>
      </c>
      <c r="P2620" t="str">
        <f t="shared" si="128"/>
        <v>Not Exists</v>
      </c>
    </row>
    <row r="2621" spans="1:16">
      <c r="A2621">
        <v>1</v>
      </c>
      <c r="B2621">
        <v>1</v>
      </c>
      <c r="C2621">
        <v>1</v>
      </c>
      <c r="D2621">
        <v>1</v>
      </c>
      <c r="E2621" s="50" t="s">
        <v>1576</v>
      </c>
      <c r="F2621" s="50" t="s">
        <v>1581</v>
      </c>
      <c r="G2621" s="50" t="s">
        <v>256</v>
      </c>
      <c r="H2621" s="50">
        <v>50</v>
      </c>
      <c r="M2621" t="str">
        <f>IF(COUNTIF($A:$A,E2621)=0,"Not Exists","Exists")</f>
        <v>Exists</v>
      </c>
      <c r="N2621" t="str">
        <f t="shared" si="129"/>
        <v>Exists</v>
      </c>
      <c r="O2621" t="str">
        <f t="shared" si="127"/>
        <v>Not Exists</v>
      </c>
      <c r="P2621" t="str">
        <f t="shared" si="128"/>
        <v>Not Exists</v>
      </c>
    </row>
    <row r="2622" spans="1:16">
      <c r="A2622">
        <v>1</v>
      </c>
      <c r="B2622">
        <v>1</v>
      </c>
      <c r="C2622">
        <v>1</v>
      </c>
      <c r="D2622">
        <v>1</v>
      </c>
      <c r="E2622" s="50" t="s">
        <v>1576</v>
      </c>
      <c r="F2622" s="50" t="s">
        <v>1582</v>
      </c>
      <c r="G2622" s="50" t="s">
        <v>251</v>
      </c>
      <c r="H2622" s="50">
        <v>17</v>
      </c>
      <c r="M2622" t="str">
        <f>IF(COUNTIF($A:$A,E2622)=0,"Not Exists","Exists")</f>
        <v>Exists</v>
      </c>
      <c r="N2622" t="str">
        <f t="shared" si="129"/>
        <v>Exists</v>
      </c>
      <c r="O2622" t="str">
        <f t="shared" si="127"/>
        <v>Not Exists</v>
      </c>
      <c r="P2622" t="str">
        <f t="shared" si="128"/>
        <v>Not Exists</v>
      </c>
    </row>
    <row r="2623" spans="1:16">
      <c r="A2623">
        <v>1</v>
      </c>
      <c r="B2623">
        <v>1</v>
      </c>
      <c r="C2623">
        <v>1</v>
      </c>
      <c r="D2623">
        <v>1</v>
      </c>
      <c r="E2623" s="50" t="s">
        <v>1576</v>
      </c>
      <c r="F2623" s="50" t="s">
        <v>1583</v>
      </c>
      <c r="G2623" s="50" t="s">
        <v>256</v>
      </c>
      <c r="H2623" s="50">
        <v>50</v>
      </c>
      <c r="M2623" t="str">
        <f>IF(COUNTIF($A:$A,E2623)=0,"Not Exists","Exists")</f>
        <v>Exists</v>
      </c>
      <c r="N2623" t="str">
        <f t="shared" si="129"/>
        <v>Exists</v>
      </c>
      <c r="O2623" t="str">
        <f t="shared" si="127"/>
        <v>Not Exists</v>
      </c>
      <c r="P2623" t="str">
        <f t="shared" si="128"/>
        <v>Not Exists</v>
      </c>
    </row>
    <row r="2624" spans="1:16">
      <c r="A2624">
        <v>1</v>
      </c>
      <c r="B2624">
        <v>1</v>
      </c>
      <c r="C2624">
        <v>1</v>
      </c>
      <c r="D2624">
        <v>1</v>
      </c>
      <c r="E2624" s="50" t="s">
        <v>1576</v>
      </c>
      <c r="F2624" s="50" t="s">
        <v>1584</v>
      </c>
      <c r="G2624" s="50" t="s">
        <v>256</v>
      </c>
      <c r="H2624" s="50">
        <v>3000</v>
      </c>
      <c r="M2624" t="str">
        <f>IF(COUNTIF($A:$A,E2624)=0,"Not Exists","Exists")</f>
        <v>Exists</v>
      </c>
      <c r="N2624" t="str">
        <f t="shared" si="129"/>
        <v>Exists</v>
      </c>
      <c r="O2624" t="str">
        <f t="shared" si="127"/>
        <v>Not Exists</v>
      </c>
      <c r="P2624" t="str">
        <f t="shared" si="128"/>
        <v>Not Exists</v>
      </c>
    </row>
    <row r="2625" spans="1:16">
      <c r="A2625">
        <v>1</v>
      </c>
      <c r="B2625">
        <v>1</v>
      </c>
      <c r="C2625">
        <v>1</v>
      </c>
      <c r="D2625">
        <v>1</v>
      </c>
      <c r="E2625" s="50" t="s">
        <v>1585</v>
      </c>
      <c r="F2625" s="50" t="s">
        <v>1586</v>
      </c>
      <c r="G2625" s="50" t="s">
        <v>256</v>
      </c>
      <c r="H2625" s="50">
        <v>50</v>
      </c>
      <c r="M2625" t="str">
        <f>IF(COUNTIF($A:$A,E2625)=0,"Not Exists","Exists")</f>
        <v>Exists</v>
      </c>
      <c r="N2625" t="str">
        <f t="shared" si="129"/>
        <v>Exists</v>
      </c>
      <c r="O2625" t="str">
        <f t="shared" si="127"/>
        <v>Not Exists</v>
      </c>
      <c r="P2625" t="str">
        <f t="shared" si="128"/>
        <v>Not Exists</v>
      </c>
    </row>
    <row r="2626" spans="1:16">
      <c r="A2626">
        <v>1</v>
      </c>
      <c r="B2626">
        <v>1</v>
      </c>
      <c r="C2626">
        <v>1</v>
      </c>
      <c r="D2626">
        <v>1</v>
      </c>
      <c r="E2626" s="50" t="s">
        <v>1585</v>
      </c>
      <c r="F2626" s="50" t="s">
        <v>1588</v>
      </c>
      <c r="G2626" s="50" t="s">
        <v>251</v>
      </c>
      <c r="H2626" s="50">
        <v>17</v>
      </c>
      <c r="M2626" t="str">
        <f>IF(COUNTIF($A:$A,E2626)=0,"Not Exists","Exists")</f>
        <v>Exists</v>
      </c>
      <c r="N2626" t="str">
        <f t="shared" si="129"/>
        <v>Exists</v>
      </c>
      <c r="O2626" t="str">
        <f t="shared" si="127"/>
        <v>Not Exists</v>
      </c>
      <c r="P2626" t="str">
        <f t="shared" si="128"/>
        <v>Not Exists</v>
      </c>
    </row>
    <row r="2627" spans="1:16">
      <c r="A2627">
        <v>1</v>
      </c>
      <c r="B2627">
        <v>1</v>
      </c>
      <c r="C2627">
        <v>1</v>
      </c>
      <c r="D2627">
        <v>1</v>
      </c>
      <c r="E2627" s="50" t="s">
        <v>1585</v>
      </c>
      <c r="F2627" s="50" t="s">
        <v>1589</v>
      </c>
      <c r="G2627" s="50" t="s">
        <v>256</v>
      </c>
      <c r="H2627" s="50">
        <v>50</v>
      </c>
      <c r="M2627" t="str">
        <f>IF(COUNTIF($A:$A,E2627)=0,"Not Exists","Exists")</f>
        <v>Exists</v>
      </c>
      <c r="N2627" t="str">
        <f t="shared" si="129"/>
        <v>Exists</v>
      </c>
      <c r="O2627" t="str">
        <f t="shared" si="127"/>
        <v>Not Exists</v>
      </c>
      <c r="P2627" t="str">
        <f t="shared" si="128"/>
        <v>Not Exists</v>
      </c>
    </row>
    <row r="2628" spans="1:16">
      <c r="A2628">
        <v>1</v>
      </c>
      <c r="B2628">
        <v>1</v>
      </c>
      <c r="C2628">
        <v>1</v>
      </c>
      <c r="D2628">
        <v>1</v>
      </c>
      <c r="E2628" s="50" t="s">
        <v>1585</v>
      </c>
      <c r="F2628" s="50" t="s">
        <v>1590</v>
      </c>
      <c r="G2628" s="50" t="s">
        <v>251</v>
      </c>
      <c r="H2628" s="50">
        <v>17</v>
      </c>
      <c r="M2628" t="str">
        <f>IF(COUNTIF($A:$A,E2628)=0,"Not Exists","Exists")</f>
        <v>Exists</v>
      </c>
      <c r="N2628" t="str">
        <f t="shared" si="129"/>
        <v>Exists</v>
      </c>
      <c r="O2628" t="str">
        <f t="shared" ref="O2628:O2691" si="130">IF(COUNTIF($E:$E,A2628)=0,"Not Exists","Exists")</f>
        <v>Not Exists</v>
      </c>
      <c r="P2628" t="str">
        <f t="shared" ref="P2628:P2691" si="131">IF(COUNTIF($F:$F,B2628)=0,"Not Exists","Exists")</f>
        <v>Not Exists</v>
      </c>
    </row>
    <row r="2629" spans="1:16">
      <c r="A2629">
        <v>1</v>
      </c>
      <c r="B2629">
        <v>1</v>
      </c>
      <c r="C2629">
        <v>1</v>
      </c>
      <c r="D2629">
        <v>1</v>
      </c>
      <c r="E2629" s="50" t="s">
        <v>1585</v>
      </c>
      <c r="F2629" s="50" t="s">
        <v>1591</v>
      </c>
      <c r="G2629" s="50" t="s">
        <v>256</v>
      </c>
      <c r="H2629" s="50">
        <v>50</v>
      </c>
      <c r="M2629" t="str">
        <f>IF(COUNTIF($A:$A,E2629)=0,"Not Exists","Exists")</f>
        <v>Exists</v>
      </c>
      <c r="N2629" t="str">
        <f t="shared" si="129"/>
        <v>Exists</v>
      </c>
      <c r="O2629" t="str">
        <f t="shared" si="130"/>
        <v>Not Exists</v>
      </c>
      <c r="P2629" t="str">
        <f t="shared" si="131"/>
        <v>Not Exists</v>
      </c>
    </row>
    <row r="2630" spans="1:16">
      <c r="A2630">
        <v>1</v>
      </c>
      <c r="B2630">
        <v>1</v>
      </c>
      <c r="C2630">
        <v>1</v>
      </c>
      <c r="D2630">
        <v>1</v>
      </c>
      <c r="E2630" s="50" t="s">
        <v>1585</v>
      </c>
      <c r="F2630" s="50" t="s">
        <v>1593</v>
      </c>
      <c r="G2630" s="50" t="s">
        <v>256</v>
      </c>
      <c r="H2630" s="50">
        <v>50</v>
      </c>
      <c r="M2630" t="str">
        <f>IF(COUNTIF($A:$A,E2630)=0,"Not Exists","Exists")</f>
        <v>Exists</v>
      </c>
      <c r="N2630" t="str">
        <f t="shared" si="129"/>
        <v>Exists</v>
      </c>
      <c r="O2630" t="str">
        <f t="shared" si="130"/>
        <v>Not Exists</v>
      </c>
      <c r="P2630" t="str">
        <f t="shared" si="131"/>
        <v>Not Exists</v>
      </c>
    </row>
    <row r="2631" spans="1:16">
      <c r="A2631">
        <v>1</v>
      </c>
      <c r="B2631">
        <v>1</v>
      </c>
      <c r="C2631">
        <v>1</v>
      </c>
      <c r="D2631">
        <v>1</v>
      </c>
      <c r="E2631" s="50" t="s">
        <v>1585</v>
      </c>
      <c r="F2631" s="50" t="s">
        <v>1594</v>
      </c>
      <c r="G2631" s="50" t="s">
        <v>256</v>
      </c>
      <c r="H2631" s="50">
        <v>50</v>
      </c>
      <c r="M2631" t="str">
        <f>IF(COUNTIF($A:$A,E2631)=0,"Not Exists","Exists")</f>
        <v>Exists</v>
      </c>
      <c r="N2631" t="str">
        <f t="shared" si="129"/>
        <v>Exists</v>
      </c>
      <c r="O2631" t="str">
        <f t="shared" si="130"/>
        <v>Not Exists</v>
      </c>
      <c r="P2631" t="str">
        <f t="shared" si="131"/>
        <v>Not Exists</v>
      </c>
    </row>
    <row r="2632" spans="1:16">
      <c r="A2632">
        <v>1</v>
      </c>
      <c r="B2632">
        <v>1</v>
      </c>
      <c r="C2632">
        <v>1</v>
      </c>
      <c r="D2632">
        <v>1</v>
      </c>
      <c r="E2632" s="50" t="s">
        <v>1585</v>
      </c>
      <c r="F2632" s="50" t="s">
        <v>1595</v>
      </c>
      <c r="G2632" s="50" t="s">
        <v>256</v>
      </c>
      <c r="H2632" s="50">
        <v>50</v>
      </c>
      <c r="M2632" t="str">
        <f>IF(COUNTIF($A:$A,E2632)=0,"Not Exists","Exists")</f>
        <v>Exists</v>
      </c>
      <c r="N2632" t="str">
        <f t="shared" si="129"/>
        <v>Exists</v>
      </c>
      <c r="O2632" t="str">
        <f t="shared" si="130"/>
        <v>Not Exists</v>
      </c>
      <c r="P2632" t="str">
        <f t="shared" si="131"/>
        <v>Not Exists</v>
      </c>
    </row>
    <row r="2633" spans="1:16">
      <c r="A2633">
        <v>1</v>
      </c>
      <c r="B2633">
        <v>1</v>
      </c>
      <c r="C2633">
        <v>1</v>
      </c>
      <c r="D2633">
        <v>1</v>
      </c>
      <c r="E2633" s="50" t="s">
        <v>1596</v>
      </c>
      <c r="F2633" s="50" t="s">
        <v>1597</v>
      </c>
      <c r="G2633" s="50" t="s">
        <v>256</v>
      </c>
      <c r="H2633" s="50">
        <v>50</v>
      </c>
      <c r="M2633" t="str">
        <f>IF(COUNTIF($A:$A,E2633)=0,"Not Exists","Exists")</f>
        <v>Exists</v>
      </c>
      <c r="N2633" t="str">
        <f t="shared" si="129"/>
        <v>Exists</v>
      </c>
      <c r="O2633" t="str">
        <f t="shared" si="130"/>
        <v>Not Exists</v>
      </c>
      <c r="P2633" t="str">
        <f t="shared" si="131"/>
        <v>Not Exists</v>
      </c>
    </row>
    <row r="2634" spans="1:16">
      <c r="A2634">
        <v>1</v>
      </c>
      <c r="B2634">
        <v>1</v>
      </c>
      <c r="C2634">
        <v>1</v>
      </c>
      <c r="D2634">
        <v>1</v>
      </c>
      <c r="E2634" s="50" t="s">
        <v>1596</v>
      </c>
      <c r="F2634" s="50" t="s">
        <v>1598</v>
      </c>
      <c r="G2634" s="50" t="s">
        <v>256</v>
      </c>
      <c r="H2634" s="50">
        <v>50</v>
      </c>
      <c r="M2634" t="str">
        <f>IF(COUNTIF($A:$A,E2634)=0,"Not Exists","Exists")</f>
        <v>Exists</v>
      </c>
      <c r="N2634" t="str">
        <f t="shared" si="129"/>
        <v>Exists</v>
      </c>
      <c r="O2634" t="str">
        <f t="shared" si="130"/>
        <v>Not Exists</v>
      </c>
      <c r="P2634" t="str">
        <f t="shared" si="131"/>
        <v>Not Exists</v>
      </c>
    </row>
    <row r="2635" spans="1:16">
      <c r="A2635">
        <v>1</v>
      </c>
      <c r="B2635">
        <v>1</v>
      </c>
      <c r="C2635">
        <v>1</v>
      </c>
      <c r="D2635">
        <v>1</v>
      </c>
      <c r="E2635" s="50" t="s">
        <v>1596</v>
      </c>
      <c r="F2635" s="50" t="s">
        <v>1600</v>
      </c>
      <c r="G2635" s="50" t="s">
        <v>251</v>
      </c>
      <c r="H2635" s="50">
        <v>17</v>
      </c>
      <c r="M2635" t="str">
        <f>IF(COUNTIF($A:$A,E2635)=0,"Not Exists","Exists")</f>
        <v>Exists</v>
      </c>
      <c r="N2635" t="str">
        <f t="shared" si="129"/>
        <v>Exists</v>
      </c>
      <c r="O2635" t="str">
        <f t="shared" si="130"/>
        <v>Not Exists</v>
      </c>
      <c r="P2635" t="str">
        <f t="shared" si="131"/>
        <v>Not Exists</v>
      </c>
    </row>
    <row r="2636" spans="1:16">
      <c r="A2636">
        <v>1</v>
      </c>
      <c r="B2636">
        <v>1</v>
      </c>
      <c r="C2636">
        <v>1</v>
      </c>
      <c r="D2636">
        <v>1</v>
      </c>
      <c r="E2636" s="50" t="s">
        <v>1596</v>
      </c>
      <c r="F2636" s="50" t="s">
        <v>1601</v>
      </c>
      <c r="G2636" s="50" t="s">
        <v>256</v>
      </c>
      <c r="H2636" s="50">
        <v>50</v>
      </c>
      <c r="M2636" t="str">
        <f>IF(COUNTIF($A:$A,E2636)=0,"Not Exists","Exists")</f>
        <v>Exists</v>
      </c>
      <c r="N2636" t="str">
        <f t="shared" si="129"/>
        <v>Exists</v>
      </c>
      <c r="O2636" t="str">
        <f t="shared" si="130"/>
        <v>Not Exists</v>
      </c>
      <c r="P2636" t="str">
        <f t="shared" si="131"/>
        <v>Not Exists</v>
      </c>
    </row>
    <row r="2637" spans="1:16">
      <c r="A2637">
        <v>1</v>
      </c>
      <c r="B2637">
        <v>1</v>
      </c>
      <c r="C2637">
        <v>1</v>
      </c>
      <c r="D2637">
        <v>1</v>
      </c>
      <c r="E2637" s="50" t="s">
        <v>1596</v>
      </c>
      <c r="F2637" s="50" t="s">
        <v>1602</v>
      </c>
      <c r="G2637" s="50" t="s">
        <v>251</v>
      </c>
      <c r="H2637" s="50">
        <v>17</v>
      </c>
      <c r="M2637" t="str">
        <f>IF(COUNTIF($A:$A,E2637)=0,"Not Exists","Exists")</f>
        <v>Exists</v>
      </c>
      <c r="N2637" t="str">
        <f t="shared" si="129"/>
        <v>Exists</v>
      </c>
      <c r="O2637" t="str">
        <f t="shared" si="130"/>
        <v>Not Exists</v>
      </c>
      <c r="P2637" t="str">
        <f t="shared" si="131"/>
        <v>Not Exists</v>
      </c>
    </row>
    <row r="2638" spans="1:16">
      <c r="A2638">
        <v>1</v>
      </c>
      <c r="B2638">
        <v>1</v>
      </c>
      <c r="C2638">
        <v>1</v>
      </c>
      <c r="D2638">
        <v>1</v>
      </c>
      <c r="E2638" s="50" t="s">
        <v>1596</v>
      </c>
      <c r="F2638" s="50" t="s">
        <v>1603</v>
      </c>
      <c r="G2638" s="50" t="s">
        <v>256</v>
      </c>
      <c r="H2638" s="50">
        <v>50</v>
      </c>
      <c r="M2638" t="str">
        <f>IF(COUNTIF($A:$A,E2638)=0,"Not Exists","Exists")</f>
        <v>Exists</v>
      </c>
      <c r="N2638" t="str">
        <f t="shared" si="129"/>
        <v>Exists</v>
      </c>
      <c r="O2638" t="str">
        <f t="shared" si="130"/>
        <v>Not Exists</v>
      </c>
      <c r="P2638" t="str">
        <f t="shared" si="131"/>
        <v>Not Exists</v>
      </c>
    </row>
    <row r="2639" spans="1:16">
      <c r="A2639">
        <v>1</v>
      </c>
      <c r="B2639">
        <v>1</v>
      </c>
      <c r="C2639">
        <v>1</v>
      </c>
      <c r="D2639">
        <v>1</v>
      </c>
      <c r="E2639" s="50" t="s">
        <v>1604</v>
      </c>
      <c r="F2639" s="50" t="s">
        <v>1605</v>
      </c>
      <c r="G2639" s="50" t="s">
        <v>256</v>
      </c>
      <c r="H2639" s="50">
        <v>50</v>
      </c>
      <c r="M2639" t="str">
        <f>IF(COUNTIF($A:$A,E2639)=0,"Not Exists","Exists")</f>
        <v>Exists</v>
      </c>
      <c r="N2639" t="str">
        <f t="shared" si="129"/>
        <v>Exists</v>
      </c>
      <c r="O2639" t="str">
        <f t="shared" si="130"/>
        <v>Not Exists</v>
      </c>
      <c r="P2639" t="str">
        <f t="shared" si="131"/>
        <v>Not Exists</v>
      </c>
    </row>
    <row r="2640" spans="1:16">
      <c r="A2640">
        <v>1</v>
      </c>
      <c r="B2640">
        <v>1</v>
      </c>
      <c r="C2640">
        <v>1</v>
      </c>
      <c r="D2640">
        <v>1</v>
      </c>
      <c r="E2640" s="50" t="s">
        <v>1604</v>
      </c>
      <c r="F2640" s="50" t="s">
        <v>1606</v>
      </c>
      <c r="G2640" s="50" t="s">
        <v>256</v>
      </c>
      <c r="H2640" s="50">
        <v>50</v>
      </c>
      <c r="M2640" t="str">
        <f>IF(COUNTIF($A:$A,E2640)=0,"Not Exists","Exists")</f>
        <v>Exists</v>
      </c>
      <c r="N2640" t="str">
        <f t="shared" si="129"/>
        <v>Exists</v>
      </c>
      <c r="O2640" t="str">
        <f t="shared" si="130"/>
        <v>Not Exists</v>
      </c>
      <c r="P2640" t="str">
        <f t="shared" si="131"/>
        <v>Not Exists</v>
      </c>
    </row>
    <row r="2641" spans="1:16">
      <c r="A2641">
        <v>1</v>
      </c>
      <c r="B2641">
        <v>1</v>
      </c>
      <c r="C2641">
        <v>1</v>
      </c>
      <c r="D2641">
        <v>1</v>
      </c>
      <c r="E2641" s="50" t="s">
        <v>1604</v>
      </c>
      <c r="F2641" s="50" t="s">
        <v>1608</v>
      </c>
      <c r="G2641" s="50" t="s">
        <v>251</v>
      </c>
      <c r="H2641" s="50">
        <v>17</v>
      </c>
      <c r="M2641" t="str">
        <f>IF(COUNTIF($A:$A,E2641)=0,"Not Exists","Exists")</f>
        <v>Exists</v>
      </c>
      <c r="N2641" t="str">
        <f t="shared" si="129"/>
        <v>Exists</v>
      </c>
      <c r="O2641" t="str">
        <f t="shared" si="130"/>
        <v>Not Exists</v>
      </c>
      <c r="P2641" t="str">
        <f t="shared" si="131"/>
        <v>Not Exists</v>
      </c>
    </row>
    <row r="2642" spans="1:16">
      <c r="A2642">
        <v>1</v>
      </c>
      <c r="B2642">
        <v>1</v>
      </c>
      <c r="C2642">
        <v>1</v>
      </c>
      <c r="D2642">
        <v>1</v>
      </c>
      <c r="E2642" s="50" t="s">
        <v>1604</v>
      </c>
      <c r="F2642" s="50" t="s">
        <v>1610</v>
      </c>
      <c r="G2642" s="50" t="s">
        <v>256</v>
      </c>
      <c r="H2642" s="50">
        <v>50</v>
      </c>
      <c r="M2642" t="str">
        <f>IF(COUNTIF($A:$A,E2642)=0,"Not Exists","Exists")</f>
        <v>Exists</v>
      </c>
      <c r="N2642" t="str">
        <f t="shared" si="129"/>
        <v>Exists</v>
      </c>
      <c r="O2642" t="str">
        <f t="shared" si="130"/>
        <v>Not Exists</v>
      </c>
      <c r="P2642" t="str">
        <f t="shared" si="131"/>
        <v>Not Exists</v>
      </c>
    </row>
    <row r="2643" spans="1:16">
      <c r="A2643">
        <v>1</v>
      </c>
      <c r="B2643">
        <v>1</v>
      </c>
      <c r="C2643">
        <v>1</v>
      </c>
      <c r="D2643">
        <v>1</v>
      </c>
      <c r="E2643" s="50" t="s">
        <v>1604</v>
      </c>
      <c r="F2643" s="50" t="s">
        <v>1611</v>
      </c>
      <c r="G2643" s="50" t="s">
        <v>251</v>
      </c>
      <c r="H2643" s="50">
        <v>17</v>
      </c>
      <c r="M2643" t="str">
        <f>IF(COUNTIF($A:$A,E2643)=0,"Not Exists","Exists")</f>
        <v>Exists</v>
      </c>
      <c r="N2643" t="str">
        <f t="shared" si="129"/>
        <v>Exists</v>
      </c>
      <c r="O2643" t="str">
        <f t="shared" si="130"/>
        <v>Not Exists</v>
      </c>
      <c r="P2643" t="str">
        <f t="shared" si="131"/>
        <v>Not Exists</v>
      </c>
    </row>
    <row r="2644" spans="1:16">
      <c r="A2644">
        <v>1</v>
      </c>
      <c r="B2644">
        <v>1</v>
      </c>
      <c r="C2644">
        <v>1</v>
      </c>
      <c r="D2644">
        <v>1</v>
      </c>
      <c r="E2644" s="50" t="s">
        <v>1604</v>
      </c>
      <c r="F2644" s="50" t="s">
        <v>1612</v>
      </c>
      <c r="G2644" s="50" t="s">
        <v>256</v>
      </c>
      <c r="H2644" s="50">
        <v>50</v>
      </c>
      <c r="M2644" t="str">
        <f>IF(COUNTIF($A:$A,E2644)=0,"Not Exists","Exists")</f>
        <v>Exists</v>
      </c>
      <c r="N2644" t="str">
        <f t="shared" si="129"/>
        <v>Exists</v>
      </c>
      <c r="O2644" t="str">
        <f t="shared" si="130"/>
        <v>Not Exists</v>
      </c>
      <c r="P2644" t="str">
        <f t="shared" si="131"/>
        <v>Not Exists</v>
      </c>
    </row>
    <row r="2645" spans="1:16">
      <c r="A2645">
        <v>1</v>
      </c>
      <c r="B2645">
        <v>1</v>
      </c>
      <c r="C2645">
        <v>1</v>
      </c>
      <c r="D2645">
        <v>1</v>
      </c>
      <c r="E2645" s="50" t="s">
        <v>1613</v>
      </c>
      <c r="F2645" s="50" t="s">
        <v>1614</v>
      </c>
      <c r="G2645" s="50" t="s">
        <v>256</v>
      </c>
      <c r="H2645" s="50">
        <v>50</v>
      </c>
      <c r="M2645" t="str">
        <f>IF(COUNTIF($A:$A,E2645)=0,"Not Exists","Exists")</f>
        <v>Exists</v>
      </c>
      <c r="N2645" t="str">
        <f t="shared" si="129"/>
        <v>Exists</v>
      </c>
      <c r="O2645" t="str">
        <f t="shared" si="130"/>
        <v>Not Exists</v>
      </c>
      <c r="P2645" t="str">
        <f t="shared" si="131"/>
        <v>Not Exists</v>
      </c>
    </row>
    <row r="2646" spans="1:16">
      <c r="A2646">
        <v>1</v>
      </c>
      <c r="B2646">
        <v>1</v>
      </c>
      <c r="C2646">
        <v>1</v>
      </c>
      <c r="D2646">
        <v>1</v>
      </c>
      <c r="E2646" s="50" t="s">
        <v>1613</v>
      </c>
      <c r="F2646" s="50" t="s">
        <v>1615</v>
      </c>
      <c r="G2646" s="50" t="s">
        <v>256</v>
      </c>
      <c r="H2646" s="50">
        <v>50</v>
      </c>
      <c r="M2646" t="str">
        <f>IF(COUNTIF($A:$A,E2646)=0,"Not Exists","Exists")</f>
        <v>Exists</v>
      </c>
      <c r="N2646" t="str">
        <f t="shared" si="129"/>
        <v>Exists</v>
      </c>
      <c r="O2646" t="str">
        <f t="shared" si="130"/>
        <v>Not Exists</v>
      </c>
      <c r="P2646" t="str">
        <f t="shared" si="131"/>
        <v>Not Exists</v>
      </c>
    </row>
    <row r="2647" spans="1:16">
      <c r="A2647">
        <v>1</v>
      </c>
      <c r="B2647">
        <v>1</v>
      </c>
      <c r="C2647">
        <v>1</v>
      </c>
      <c r="D2647">
        <v>1</v>
      </c>
      <c r="E2647" s="50" t="s">
        <v>1613</v>
      </c>
      <c r="F2647" s="50" t="s">
        <v>1617</v>
      </c>
      <c r="G2647" s="50" t="s">
        <v>251</v>
      </c>
      <c r="H2647" s="50">
        <v>17</v>
      </c>
      <c r="M2647" t="str">
        <f>IF(COUNTIF($A:$A,E2647)=0,"Not Exists","Exists")</f>
        <v>Exists</v>
      </c>
      <c r="N2647" t="str">
        <f t="shared" si="129"/>
        <v>Exists</v>
      </c>
      <c r="O2647" t="str">
        <f t="shared" si="130"/>
        <v>Not Exists</v>
      </c>
      <c r="P2647" t="str">
        <f t="shared" si="131"/>
        <v>Not Exists</v>
      </c>
    </row>
    <row r="2648" spans="1:16">
      <c r="A2648">
        <v>1</v>
      </c>
      <c r="B2648">
        <v>1</v>
      </c>
      <c r="C2648">
        <v>1</v>
      </c>
      <c r="D2648">
        <v>1</v>
      </c>
      <c r="E2648" s="50" t="s">
        <v>1613</v>
      </c>
      <c r="F2648" s="50" t="s">
        <v>1618</v>
      </c>
      <c r="G2648" s="50" t="s">
        <v>256</v>
      </c>
      <c r="H2648" s="50">
        <v>50</v>
      </c>
      <c r="M2648" t="str">
        <f>IF(COUNTIF($A:$A,E2648)=0,"Not Exists","Exists")</f>
        <v>Exists</v>
      </c>
      <c r="N2648" t="str">
        <f t="shared" si="129"/>
        <v>Exists</v>
      </c>
      <c r="O2648" t="str">
        <f t="shared" si="130"/>
        <v>Not Exists</v>
      </c>
      <c r="P2648" t="str">
        <f t="shared" si="131"/>
        <v>Not Exists</v>
      </c>
    </row>
    <row r="2649" spans="1:16">
      <c r="A2649">
        <v>1</v>
      </c>
      <c r="B2649">
        <v>1</v>
      </c>
      <c r="C2649">
        <v>1</v>
      </c>
      <c r="D2649">
        <v>1</v>
      </c>
      <c r="E2649" s="50" t="s">
        <v>1613</v>
      </c>
      <c r="F2649" s="50" t="s">
        <v>1619</v>
      </c>
      <c r="G2649" s="50" t="s">
        <v>251</v>
      </c>
      <c r="H2649" s="50">
        <v>17</v>
      </c>
      <c r="M2649" t="str">
        <f>IF(COUNTIF($A:$A,E2649)=0,"Not Exists","Exists")</f>
        <v>Exists</v>
      </c>
      <c r="N2649" t="str">
        <f t="shared" si="129"/>
        <v>Exists</v>
      </c>
      <c r="O2649" t="str">
        <f t="shared" si="130"/>
        <v>Not Exists</v>
      </c>
      <c r="P2649" t="str">
        <f t="shared" si="131"/>
        <v>Not Exists</v>
      </c>
    </row>
    <row r="2650" spans="1:16">
      <c r="A2650">
        <v>1</v>
      </c>
      <c r="B2650">
        <v>1</v>
      </c>
      <c r="C2650">
        <v>1</v>
      </c>
      <c r="D2650">
        <v>1</v>
      </c>
      <c r="E2650" s="50" t="s">
        <v>1613</v>
      </c>
      <c r="F2650" s="50" t="s">
        <v>1620</v>
      </c>
      <c r="G2650" s="50" t="s">
        <v>256</v>
      </c>
      <c r="H2650" s="50">
        <v>50</v>
      </c>
      <c r="M2650" t="str">
        <f>IF(COUNTIF($A:$A,E2650)=0,"Not Exists","Exists")</f>
        <v>Exists</v>
      </c>
      <c r="N2650" t="str">
        <f t="shared" si="129"/>
        <v>Exists</v>
      </c>
      <c r="O2650" t="str">
        <f t="shared" si="130"/>
        <v>Not Exists</v>
      </c>
      <c r="P2650" t="str">
        <f t="shared" si="131"/>
        <v>Not Exists</v>
      </c>
    </row>
    <row r="2651" spans="1:16">
      <c r="A2651">
        <v>1</v>
      </c>
      <c r="B2651">
        <v>1</v>
      </c>
      <c r="C2651">
        <v>1</v>
      </c>
      <c r="D2651">
        <v>1</v>
      </c>
      <c r="E2651" s="50" t="s">
        <v>1621</v>
      </c>
      <c r="F2651" s="50" t="s">
        <v>1014</v>
      </c>
      <c r="G2651" s="50" t="s">
        <v>256</v>
      </c>
      <c r="H2651" s="50">
        <v>50</v>
      </c>
      <c r="M2651" t="str">
        <f>IF(COUNTIF($A:$A,E2651)=0,"Not Exists","Exists")</f>
        <v>Exists</v>
      </c>
      <c r="N2651" t="str">
        <f t="shared" si="129"/>
        <v>Exists</v>
      </c>
      <c r="O2651" t="str">
        <f t="shared" si="130"/>
        <v>Not Exists</v>
      </c>
      <c r="P2651" t="str">
        <f t="shared" si="131"/>
        <v>Not Exists</v>
      </c>
    </row>
    <row r="2652" spans="1:16">
      <c r="A2652">
        <v>1</v>
      </c>
      <c r="B2652">
        <v>1</v>
      </c>
      <c r="C2652">
        <v>1</v>
      </c>
      <c r="D2652">
        <v>1</v>
      </c>
      <c r="E2652" s="50" t="s">
        <v>1621</v>
      </c>
      <c r="F2652" s="50" t="s">
        <v>1623</v>
      </c>
      <c r="G2652" s="50" t="s">
        <v>251</v>
      </c>
      <c r="H2652" s="50">
        <v>17</v>
      </c>
      <c r="M2652" t="str">
        <f>IF(COUNTIF($A:$A,E2652)=0,"Not Exists","Exists")</f>
        <v>Exists</v>
      </c>
      <c r="N2652" t="str">
        <f t="shared" si="129"/>
        <v>Exists</v>
      </c>
      <c r="O2652" t="str">
        <f t="shared" si="130"/>
        <v>Not Exists</v>
      </c>
      <c r="P2652" t="str">
        <f t="shared" si="131"/>
        <v>Not Exists</v>
      </c>
    </row>
    <row r="2653" spans="1:16">
      <c r="A2653">
        <v>1</v>
      </c>
      <c r="B2653">
        <v>1</v>
      </c>
      <c r="C2653">
        <v>1</v>
      </c>
      <c r="D2653">
        <v>1</v>
      </c>
      <c r="E2653" s="50" t="s">
        <v>1621</v>
      </c>
      <c r="F2653" s="50" t="s">
        <v>1624</v>
      </c>
      <c r="G2653" s="50" t="s">
        <v>256</v>
      </c>
      <c r="H2653" s="50">
        <v>50</v>
      </c>
      <c r="M2653" t="str">
        <f>IF(COUNTIF($A:$A,E2653)=0,"Not Exists","Exists")</f>
        <v>Exists</v>
      </c>
      <c r="N2653" t="str">
        <f t="shared" ref="N2653:N2716" si="132">IF(COUNTIF($A:$B,F2653)=0,"Not Exists","Exists")</f>
        <v>Exists</v>
      </c>
      <c r="O2653" t="str">
        <f t="shared" si="130"/>
        <v>Not Exists</v>
      </c>
      <c r="P2653" t="str">
        <f t="shared" si="131"/>
        <v>Not Exists</v>
      </c>
    </row>
    <row r="2654" spans="1:16">
      <c r="A2654">
        <v>1</v>
      </c>
      <c r="B2654">
        <v>1</v>
      </c>
      <c r="C2654">
        <v>1</v>
      </c>
      <c r="D2654">
        <v>1</v>
      </c>
      <c r="E2654" s="50" t="s">
        <v>1621</v>
      </c>
      <c r="F2654" s="50" t="s">
        <v>1626</v>
      </c>
      <c r="G2654" s="50" t="s">
        <v>251</v>
      </c>
      <c r="H2654" s="50">
        <v>17</v>
      </c>
      <c r="M2654" t="str">
        <f>IF(COUNTIF($A:$A,E2654)=0,"Not Exists","Exists")</f>
        <v>Exists</v>
      </c>
      <c r="N2654" t="str">
        <f t="shared" si="132"/>
        <v>Exists</v>
      </c>
      <c r="O2654" t="str">
        <f t="shared" si="130"/>
        <v>Not Exists</v>
      </c>
      <c r="P2654" t="str">
        <f t="shared" si="131"/>
        <v>Not Exists</v>
      </c>
    </row>
    <row r="2655" spans="1:16">
      <c r="A2655">
        <v>1</v>
      </c>
      <c r="B2655">
        <v>1</v>
      </c>
      <c r="C2655">
        <v>1</v>
      </c>
      <c r="D2655">
        <v>1</v>
      </c>
      <c r="E2655" s="50" t="s">
        <v>1621</v>
      </c>
      <c r="F2655" s="50" t="s">
        <v>1627</v>
      </c>
      <c r="G2655" s="50" t="s">
        <v>256</v>
      </c>
      <c r="H2655" s="50">
        <v>50</v>
      </c>
      <c r="M2655" t="str">
        <f>IF(COUNTIF($A:$A,E2655)=0,"Not Exists","Exists")</f>
        <v>Exists</v>
      </c>
      <c r="N2655" t="str">
        <f t="shared" si="132"/>
        <v>Exists</v>
      </c>
      <c r="O2655" t="str">
        <f t="shared" si="130"/>
        <v>Not Exists</v>
      </c>
      <c r="P2655" t="str">
        <f t="shared" si="131"/>
        <v>Not Exists</v>
      </c>
    </row>
    <row r="2656" spans="1:16">
      <c r="A2656">
        <v>1</v>
      </c>
      <c r="B2656">
        <v>1</v>
      </c>
      <c r="C2656">
        <v>1</v>
      </c>
      <c r="D2656">
        <v>1</v>
      </c>
      <c r="E2656" s="50" t="s">
        <v>1621</v>
      </c>
      <c r="F2656" s="50" t="s">
        <v>1628</v>
      </c>
      <c r="G2656" s="50" t="s">
        <v>256</v>
      </c>
      <c r="H2656" s="50">
        <v>450</v>
      </c>
      <c r="M2656" t="str">
        <f>IF(COUNTIF($A:$A,E2656)=0,"Not Exists","Exists")</f>
        <v>Exists</v>
      </c>
      <c r="N2656" t="str">
        <f t="shared" si="132"/>
        <v>Exists</v>
      </c>
      <c r="O2656" t="str">
        <f t="shared" si="130"/>
        <v>Not Exists</v>
      </c>
      <c r="P2656" t="str">
        <f t="shared" si="131"/>
        <v>Not Exists</v>
      </c>
    </row>
    <row r="2657" spans="1:16">
      <c r="A2657">
        <v>1</v>
      </c>
      <c r="B2657">
        <v>1</v>
      </c>
      <c r="C2657">
        <v>1</v>
      </c>
      <c r="D2657">
        <v>1</v>
      </c>
      <c r="E2657" s="50" t="s">
        <v>1621</v>
      </c>
      <c r="F2657" s="50" t="s">
        <v>1629</v>
      </c>
      <c r="G2657" s="50" t="s">
        <v>256</v>
      </c>
      <c r="H2657" s="50">
        <v>50</v>
      </c>
      <c r="M2657" t="str">
        <f>IF(COUNTIF($A:$A,E2657)=0,"Not Exists","Exists")</f>
        <v>Exists</v>
      </c>
      <c r="N2657" t="str">
        <f t="shared" si="132"/>
        <v>Exists</v>
      </c>
      <c r="O2657" t="str">
        <f t="shared" si="130"/>
        <v>Not Exists</v>
      </c>
      <c r="P2657" t="str">
        <f t="shared" si="131"/>
        <v>Not Exists</v>
      </c>
    </row>
    <row r="2658" spans="1:16">
      <c r="A2658">
        <v>1</v>
      </c>
      <c r="B2658">
        <v>1</v>
      </c>
      <c r="C2658">
        <v>1</v>
      </c>
      <c r="D2658">
        <v>1</v>
      </c>
      <c r="E2658" s="50" t="s">
        <v>1621</v>
      </c>
      <c r="F2658" s="50" t="s">
        <v>1630</v>
      </c>
      <c r="G2658" s="50" t="s">
        <v>256</v>
      </c>
      <c r="H2658" s="50">
        <v>3000</v>
      </c>
      <c r="M2658" t="str">
        <f>IF(COUNTIF($A:$A,E2658)=0,"Not Exists","Exists")</f>
        <v>Exists</v>
      </c>
      <c r="N2658" t="str">
        <f t="shared" si="132"/>
        <v>Exists</v>
      </c>
      <c r="O2658" t="str">
        <f t="shared" si="130"/>
        <v>Not Exists</v>
      </c>
      <c r="P2658" t="str">
        <f t="shared" si="131"/>
        <v>Not Exists</v>
      </c>
    </row>
    <row r="2659" spans="1:16">
      <c r="A2659">
        <v>1</v>
      </c>
      <c r="B2659">
        <v>1</v>
      </c>
      <c r="C2659">
        <v>1</v>
      </c>
      <c r="D2659">
        <v>1</v>
      </c>
      <c r="E2659" s="50" t="s">
        <v>1621</v>
      </c>
      <c r="F2659" s="50" t="s">
        <v>1631</v>
      </c>
      <c r="G2659" s="50" t="s">
        <v>256</v>
      </c>
      <c r="H2659" s="50">
        <v>1000</v>
      </c>
      <c r="M2659" t="str">
        <f>IF(COUNTIF($A:$A,E2659)=0,"Not Exists","Exists")</f>
        <v>Exists</v>
      </c>
      <c r="N2659" t="str">
        <f t="shared" si="132"/>
        <v>Exists</v>
      </c>
      <c r="O2659" t="str">
        <f t="shared" si="130"/>
        <v>Not Exists</v>
      </c>
      <c r="P2659" t="str">
        <f t="shared" si="131"/>
        <v>Not Exists</v>
      </c>
    </row>
    <row r="2660" spans="1:16">
      <c r="A2660">
        <v>1</v>
      </c>
      <c r="B2660">
        <v>1</v>
      </c>
      <c r="C2660">
        <v>1</v>
      </c>
      <c r="D2660">
        <v>1</v>
      </c>
      <c r="E2660" s="50" t="s">
        <v>1621</v>
      </c>
      <c r="F2660" s="50" t="s">
        <v>1632</v>
      </c>
      <c r="G2660" s="50" t="s">
        <v>256</v>
      </c>
      <c r="H2660" s="50">
        <v>50</v>
      </c>
      <c r="M2660" t="str">
        <f>IF(COUNTIF($A:$A,E2660)=0,"Not Exists","Exists")</f>
        <v>Exists</v>
      </c>
      <c r="N2660" t="str">
        <f t="shared" si="132"/>
        <v>Exists</v>
      </c>
      <c r="O2660" t="str">
        <f t="shared" si="130"/>
        <v>Not Exists</v>
      </c>
      <c r="P2660" t="str">
        <f t="shared" si="131"/>
        <v>Not Exists</v>
      </c>
    </row>
    <row r="2661" spans="1:16">
      <c r="A2661">
        <v>1</v>
      </c>
      <c r="B2661">
        <v>1</v>
      </c>
      <c r="C2661">
        <v>1</v>
      </c>
      <c r="D2661">
        <v>1</v>
      </c>
      <c r="E2661" s="50" t="s">
        <v>1621</v>
      </c>
      <c r="F2661" s="50" t="s">
        <v>1633</v>
      </c>
      <c r="G2661" s="50" t="s">
        <v>256</v>
      </c>
      <c r="H2661" s="50">
        <v>50</v>
      </c>
      <c r="M2661" t="str">
        <f>IF(COUNTIF($A:$A,E2661)=0,"Not Exists","Exists")</f>
        <v>Exists</v>
      </c>
      <c r="N2661" t="str">
        <f t="shared" si="132"/>
        <v>Exists</v>
      </c>
      <c r="O2661" t="str">
        <f t="shared" si="130"/>
        <v>Not Exists</v>
      </c>
      <c r="P2661" t="str">
        <f t="shared" si="131"/>
        <v>Not Exists</v>
      </c>
    </row>
    <row r="2662" spans="1:16">
      <c r="A2662">
        <v>1</v>
      </c>
      <c r="B2662">
        <v>1</v>
      </c>
      <c r="C2662">
        <v>1</v>
      </c>
      <c r="D2662">
        <v>1</v>
      </c>
      <c r="E2662" s="50" t="s">
        <v>1634</v>
      </c>
      <c r="F2662" s="50" t="s">
        <v>1635</v>
      </c>
      <c r="G2662" s="50" t="s">
        <v>256</v>
      </c>
      <c r="H2662" s="50">
        <v>50</v>
      </c>
      <c r="M2662" t="str">
        <f>IF(COUNTIF($A:$A,E2662)=0,"Not Exists","Exists")</f>
        <v>Exists</v>
      </c>
      <c r="N2662" t="str">
        <f t="shared" si="132"/>
        <v>Exists</v>
      </c>
      <c r="O2662" t="str">
        <f t="shared" si="130"/>
        <v>Not Exists</v>
      </c>
      <c r="P2662" t="str">
        <f t="shared" si="131"/>
        <v>Not Exists</v>
      </c>
    </row>
    <row r="2663" spans="1:16">
      <c r="A2663">
        <v>1</v>
      </c>
      <c r="B2663">
        <v>1</v>
      </c>
      <c r="C2663">
        <v>1</v>
      </c>
      <c r="D2663">
        <v>1</v>
      </c>
      <c r="E2663" s="50" t="s">
        <v>1634</v>
      </c>
      <c r="F2663" s="50" t="s">
        <v>1637</v>
      </c>
      <c r="G2663" s="50" t="s">
        <v>251</v>
      </c>
      <c r="H2663" s="50">
        <v>17</v>
      </c>
      <c r="M2663" t="str">
        <f>IF(COUNTIF($A:$A,E2663)=0,"Not Exists","Exists")</f>
        <v>Exists</v>
      </c>
      <c r="N2663" t="str">
        <f t="shared" si="132"/>
        <v>Exists</v>
      </c>
      <c r="O2663" t="str">
        <f t="shared" si="130"/>
        <v>Not Exists</v>
      </c>
      <c r="P2663" t="str">
        <f t="shared" si="131"/>
        <v>Not Exists</v>
      </c>
    </row>
    <row r="2664" spans="1:16">
      <c r="A2664">
        <v>1</v>
      </c>
      <c r="B2664">
        <v>1</v>
      </c>
      <c r="C2664">
        <v>1</v>
      </c>
      <c r="D2664">
        <v>1</v>
      </c>
      <c r="E2664" s="50" t="s">
        <v>1634</v>
      </c>
      <c r="F2664" s="50" t="s">
        <v>1638</v>
      </c>
      <c r="G2664" s="50" t="s">
        <v>256</v>
      </c>
      <c r="H2664" s="50">
        <v>50</v>
      </c>
      <c r="M2664" t="str">
        <f>IF(COUNTIF($A:$A,E2664)=0,"Not Exists","Exists")</f>
        <v>Exists</v>
      </c>
      <c r="N2664" t="str">
        <f t="shared" si="132"/>
        <v>Exists</v>
      </c>
      <c r="O2664" t="str">
        <f t="shared" si="130"/>
        <v>Not Exists</v>
      </c>
      <c r="P2664" t="str">
        <f t="shared" si="131"/>
        <v>Not Exists</v>
      </c>
    </row>
    <row r="2665" spans="1:16">
      <c r="A2665">
        <v>1</v>
      </c>
      <c r="B2665">
        <v>1</v>
      </c>
      <c r="C2665">
        <v>1</v>
      </c>
      <c r="D2665">
        <v>1</v>
      </c>
      <c r="E2665" s="50" t="s">
        <v>1634</v>
      </c>
      <c r="F2665" s="50" t="s">
        <v>1639</v>
      </c>
      <c r="G2665" s="50" t="s">
        <v>251</v>
      </c>
      <c r="H2665" s="50">
        <v>17</v>
      </c>
      <c r="M2665" t="str">
        <f>IF(COUNTIF($A:$A,E2665)=0,"Not Exists","Exists")</f>
        <v>Exists</v>
      </c>
      <c r="N2665" t="str">
        <f t="shared" si="132"/>
        <v>Exists</v>
      </c>
      <c r="O2665" t="str">
        <f t="shared" si="130"/>
        <v>Not Exists</v>
      </c>
      <c r="P2665" t="str">
        <f t="shared" si="131"/>
        <v>Not Exists</v>
      </c>
    </row>
    <row r="2666" spans="1:16">
      <c r="A2666">
        <v>1</v>
      </c>
      <c r="B2666">
        <v>1</v>
      </c>
      <c r="C2666">
        <v>1</v>
      </c>
      <c r="D2666">
        <v>1</v>
      </c>
      <c r="E2666" s="50" t="s">
        <v>1634</v>
      </c>
      <c r="F2666" s="50" t="s">
        <v>1640</v>
      </c>
      <c r="G2666" s="50" t="s">
        <v>256</v>
      </c>
      <c r="H2666" s="50">
        <v>50</v>
      </c>
      <c r="M2666" t="str">
        <f>IF(COUNTIF($A:$A,E2666)=0,"Not Exists","Exists")</f>
        <v>Exists</v>
      </c>
      <c r="N2666" t="str">
        <f t="shared" si="132"/>
        <v>Exists</v>
      </c>
      <c r="O2666" t="str">
        <f t="shared" si="130"/>
        <v>Not Exists</v>
      </c>
      <c r="P2666" t="str">
        <f t="shared" si="131"/>
        <v>Not Exists</v>
      </c>
    </row>
    <row r="2667" spans="1:16">
      <c r="A2667">
        <v>1</v>
      </c>
      <c r="B2667">
        <v>1</v>
      </c>
      <c r="C2667">
        <v>1</v>
      </c>
      <c r="D2667">
        <v>1</v>
      </c>
      <c r="E2667" s="50" t="s">
        <v>1634</v>
      </c>
      <c r="F2667" s="50" t="s">
        <v>1642</v>
      </c>
      <c r="G2667" s="50" t="s">
        <v>256</v>
      </c>
      <c r="H2667" s="50">
        <v>450</v>
      </c>
      <c r="M2667" t="str">
        <f>IF(COUNTIF($A:$A,E2667)=0,"Not Exists","Exists")</f>
        <v>Exists</v>
      </c>
      <c r="N2667" t="str">
        <f t="shared" si="132"/>
        <v>Exists</v>
      </c>
      <c r="O2667" t="str">
        <f t="shared" si="130"/>
        <v>Not Exists</v>
      </c>
      <c r="P2667" t="str">
        <f t="shared" si="131"/>
        <v>Not Exists</v>
      </c>
    </row>
    <row r="2668" spans="1:16">
      <c r="A2668">
        <v>1</v>
      </c>
      <c r="B2668">
        <v>1</v>
      </c>
      <c r="C2668">
        <v>1</v>
      </c>
      <c r="D2668">
        <v>1</v>
      </c>
      <c r="E2668" s="50" t="s">
        <v>1634</v>
      </c>
      <c r="F2668" s="50" t="s">
        <v>1643</v>
      </c>
      <c r="G2668" s="50" t="s">
        <v>256</v>
      </c>
      <c r="H2668" s="50">
        <v>50</v>
      </c>
      <c r="M2668" t="str">
        <f>IF(COUNTIF($A:$A,E2668)=0,"Not Exists","Exists")</f>
        <v>Exists</v>
      </c>
      <c r="N2668" t="str">
        <f t="shared" si="132"/>
        <v>Exists</v>
      </c>
      <c r="O2668" t="str">
        <f t="shared" si="130"/>
        <v>Not Exists</v>
      </c>
      <c r="P2668" t="str">
        <f t="shared" si="131"/>
        <v>Not Exists</v>
      </c>
    </row>
    <row r="2669" spans="1:16">
      <c r="A2669">
        <v>1</v>
      </c>
      <c r="B2669">
        <v>1</v>
      </c>
      <c r="C2669">
        <v>1</v>
      </c>
      <c r="D2669">
        <v>1</v>
      </c>
      <c r="E2669" s="50" t="s">
        <v>1634</v>
      </c>
      <c r="F2669" s="50" t="s">
        <v>1644</v>
      </c>
      <c r="G2669" s="50" t="s">
        <v>256</v>
      </c>
      <c r="H2669" s="50">
        <v>3000</v>
      </c>
      <c r="M2669" t="str">
        <f>IF(COUNTIF($A:$A,E2669)=0,"Not Exists","Exists")</f>
        <v>Exists</v>
      </c>
      <c r="N2669" t="str">
        <f t="shared" si="132"/>
        <v>Exists</v>
      </c>
      <c r="O2669" t="str">
        <f t="shared" si="130"/>
        <v>Not Exists</v>
      </c>
      <c r="P2669" t="str">
        <f t="shared" si="131"/>
        <v>Not Exists</v>
      </c>
    </row>
    <row r="2670" spans="1:16">
      <c r="A2670">
        <v>1</v>
      </c>
      <c r="B2670">
        <v>1</v>
      </c>
      <c r="C2670">
        <v>1</v>
      </c>
      <c r="D2670">
        <v>1</v>
      </c>
      <c r="E2670" s="50" t="s">
        <v>1634</v>
      </c>
      <c r="F2670" s="50" t="s">
        <v>1645</v>
      </c>
      <c r="G2670" s="50" t="s">
        <v>256</v>
      </c>
      <c r="H2670" s="50">
        <v>1000</v>
      </c>
      <c r="M2670" t="str">
        <f>IF(COUNTIF($A:$A,E2670)=0,"Not Exists","Exists")</f>
        <v>Exists</v>
      </c>
      <c r="N2670" t="str">
        <f t="shared" si="132"/>
        <v>Exists</v>
      </c>
      <c r="O2670" t="str">
        <f t="shared" si="130"/>
        <v>Not Exists</v>
      </c>
      <c r="P2670" t="str">
        <f t="shared" si="131"/>
        <v>Not Exists</v>
      </c>
    </row>
    <row r="2671" spans="1:16">
      <c r="A2671">
        <v>1</v>
      </c>
      <c r="B2671">
        <v>1</v>
      </c>
      <c r="C2671">
        <v>1</v>
      </c>
      <c r="D2671">
        <v>1</v>
      </c>
      <c r="E2671" s="50" t="s">
        <v>1634</v>
      </c>
      <c r="F2671" s="50" t="s">
        <v>1646</v>
      </c>
      <c r="G2671" s="50" t="s">
        <v>256</v>
      </c>
      <c r="H2671" s="50">
        <v>50</v>
      </c>
      <c r="M2671" t="str">
        <f>IF(COUNTIF($A:$A,E2671)=0,"Not Exists","Exists")</f>
        <v>Exists</v>
      </c>
      <c r="N2671" t="str">
        <f t="shared" si="132"/>
        <v>Exists</v>
      </c>
      <c r="O2671" t="str">
        <f t="shared" si="130"/>
        <v>Not Exists</v>
      </c>
      <c r="P2671" t="str">
        <f t="shared" si="131"/>
        <v>Not Exists</v>
      </c>
    </row>
    <row r="2672" spans="1:16">
      <c r="A2672">
        <v>1</v>
      </c>
      <c r="B2672">
        <v>1</v>
      </c>
      <c r="C2672">
        <v>1</v>
      </c>
      <c r="D2672">
        <v>1</v>
      </c>
      <c r="E2672" s="50" t="s">
        <v>1634</v>
      </c>
      <c r="F2672" s="50" t="s">
        <v>1647</v>
      </c>
      <c r="G2672" s="50" t="s">
        <v>256</v>
      </c>
      <c r="H2672" s="50">
        <v>50</v>
      </c>
      <c r="M2672" t="str">
        <f>IF(COUNTIF($A:$A,E2672)=0,"Not Exists","Exists")</f>
        <v>Exists</v>
      </c>
      <c r="N2672" t="str">
        <f t="shared" si="132"/>
        <v>Exists</v>
      </c>
      <c r="O2672" t="str">
        <f t="shared" si="130"/>
        <v>Not Exists</v>
      </c>
      <c r="P2672" t="str">
        <f t="shared" si="131"/>
        <v>Not Exists</v>
      </c>
    </row>
    <row r="2673" spans="1:16">
      <c r="A2673">
        <v>1</v>
      </c>
      <c r="B2673">
        <v>1</v>
      </c>
      <c r="C2673">
        <v>1</v>
      </c>
      <c r="D2673">
        <v>1</v>
      </c>
      <c r="E2673" s="50" t="s">
        <v>1634</v>
      </c>
      <c r="F2673" s="50" t="s">
        <v>1648</v>
      </c>
      <c r="G2673" s="50" t="s">
        <v>256</v>
      </c>
      <c r="H2673" s="50">
        <v>50</v>
      </c>
      <c r="M2673" t="str">
        <f>IF(COUNTIF($A:$A,E2673)=0,"Not Exists","Exists")</f>
        <v>Exists</v>
      </c>
      <c r="N2673" t="str">
        <f t="shared" si="132"/>
        <v>Exists</v>
      </c>
      <c r="O2673" t="str">
        <f t="shared" si="130"/>
        <v>Not Exists</v>
      </c>
      <c r="P2673" t="str">
        <f t="shared" si="131"/>
        <v>Not Exists</v>
      </c>
    </row>
    <row r="2674" spans="1:16">
      <c r="A2674">
        <v>1</v>
      </c>
      <c r="B2674">
        <v>1</v>
      </c>
      <c r="C2674">
        <v>1</v>
      </c>
      <c r="D2674">
        <v>1</v>
      </c>
      <c r="E2674" s="50" t="s">
        <v>1634</v>
      </c>
      <c r="F2674" s="50" t="s">
        <v>1649</v>
      </c>
      <c r="G2674" s="50" t="s">
        <v>256</v>
      </c>
      <c r="H2674" s="50">
        <v>50</v>
      </c>
      <c r="M2674" t="str">
        <f>IF(COUNTIF($A:$A,E2674)=0,"Not Exists","Exists")</f>
        <v>Exists</v>
      </c>
      <c r="N2674" t="str">
        <f t="shared" si="132"/>
        <v>Exists</v>
      </c>
      <c r="O2674" t="str">
        <f t="shared" si="130"/>
        <v>Not Exists</v>
      </c>
      <c r="P2674" t="str">
        <f t="shared" si="131"/>
        <v>Not Exists</v>
      </c>
    </row>
    <row r="2675" spans="1:16">
      <c r="A2675">
        <v>1</v>
      </c>
      <c r="B2675">
        <v>1</v>
      </c>
      <c r="C2675">
        <v>1</v>
      </c>
      <c r="D2675">
        <v>1</v>
      </c>
      <c r="E2675" s="50" t="s">
        <v>1650</v>
      </c>
      <c r="F2675" s="50" t="s">
        <v>1651</v>
      </c>
      <c r="G2675" s="50" t="s">
        <v>256</v>
      </c>
      <c r="H2675" s="50">
        <v>50</v>
      </c>
      <c r="M2675" t="str">
        <f>IF(COUNTIF($A:$A,E2675)=0,"Not Exists","Exists")</f>
        <v>Exists</v>
      </c>
      <c r="N2675" t="str">
        <f t="shared" si="132"/>
        <v>Exists</v>
      </c>
      <c r="O2675" t="str">
        <f t="shared" si="130"/>
        <v>Not Exists</v>
      </c>
      <c r="P2675" t="str">
        <f t="shared" si="131"/>
        <v>Not Exists</v>
      </c>
    </row>
    <row r="2676" spans="1:16">
      <c r="A2676">
        <v>1</v>
      </c>
      <c r="B2676">
        <v>1</v>
      </c>
      <c r="C2676">
        <v>1</v>
      </c>
      <c r="D2676">
        <v>1</v>
      </c>
      <c r="E2676" s="50" t="s">
        <v>1650</v>
      </c>
      <c r="F2676" s="50" t="s">
        <v>1653</v>
      </c>
      <c r="G2676" s="50" t="s">
        <v>251</v>
      </c>
      <c r="H2676" s="50">
        <v>17</v>
      </c>
      <c r="M2676" t="str">
        <f>IF(COUNTIF($A:$A,E2676)=0,"Not Exists","Exists")</f>
        <v>Exists</v>
      </c>
      <c r="N2676" t="str">
        <f t="shared" si="132"/>
        <v>Exists</v>
      </c>
      <c r="O2676" t="str">
        <f t="shared" si="130"/>
        <v>Not Exists</v>
      </c>
      <c r="P2676" t="str">
        <f t="shared" si="131"/>
        <v>Not Exists</v>
      </c>
    </row>
    <row r="2677" spans="1:16">
      <c r="A2677">
        <v>1</v>
      </c>
      <c r="B2677">
        <v>1</v>
      </c>
      <c r="C2677">
        <v>1</v>
      </c>
      <c r="D2677">
        <v>1</v>
      </c>
      <c r="E2677" s="50" t="s">
        <v>1650</v>
      </c>
      <c r="F2677" s="50" t="s">
        <v>1654</v>
      </c>
      <c r="G2677" s="50" t="s">
        <v>256</v>
      </c>
      <c r="H2677" s="50">
        <v>50</v>
      </c>
      <c r="M2677" t="str">
        <f>IF(COUNTIF($A:$A,E2677)=0,"Not Exists","Exists")</f>
        <v>Exists</v>
      </c>
      <c r="N2677" t="str">
        <f t="shared" si="132"/>
        <v>Exists</v>
      </c>
      <c r="O2677" t="str">
        <f t="shared" si="130"/>
        <v>Not Exists</v>
      </c>
      <c r="P2677" t="str">
        <f t="shared" si="131"/>
        <v>Not Exists</v>
      </c>
    </row>
    <row r="2678" spans="1:16">
      <c r="A2678">
        <v>1</v>
      </c>
      <c r="B2678">
        <v>1</v>
      </c>
      <c r="C2678">
        <v>1</v>
      </c>
      <c r="D2678">
        <v>1</v>
      </c>
      <c r="E2678" s="50" t="s">
        <v>1650</v>
      </c>
      <c r="F2678" s="50" t="s">
        <v>1655</v>
      </c>
      <c r="G2678" s="50" t="s">
        <v>251</v>
      </c>
      <c r="H2678" s="50">
        <v>17</v>
      </c>
      <c r="M2678" t="str">
        <f>IF(COUNTIF($A:$A,E2678)=0,"Not Exists","Exists")</f>
        <v>Exists</v>
      </c>
      <c r="N2678" t="str">
        <f t="shared" si="132"/>
        <v>Exists</v>
      </c>
      <c r="O2678" t="str">
        <f t="shared" si="130"/>
        <v>Not Exists</v>
      </c>
      <c r="P2678" t="str">
        <f t="shared" si="131"/>
        <v>Not Exists</v>
      </c>
    </row>
    <row r="2679" spans="1:16">
      <c r="A2679">
        <v>1</v>
      </c>
      <c r="B2679">
        <v>1</v>
      </c>
      <c r="C2679">
        <v>1</v>
      </c>
      <c r="D2679">
        <v>1</v>
      </c>
      <c r="E2679" s="50" t="s">
        <v>1650</v>
      </c>
      <c r="F2679" s="50" t="s">
        <v>1656</v>
      </c>
      <c r="G2679" s="50" t="s">
        <v>256</v>
      </c>
      <c r="H2679" s="50">
        <v>50</v>
      </c>
      <c r="M2679" t="str">
        <f>IF(COUNTIF($A:$A,E2679)=0,"Not Exists","Exists")</f>
        <v>Exists</v>
      </c>
      <c r="N2679" t="str">
        <f t="shared" si="132"/>
        <v>Exists</v>
      </c>
      <c r="O2679" t="str">
        <f t="shared" si="130"/>
        <v>Not Exists</v>
      </c>
      <c r="P2679" t="str">
        <f t="shared" si="131"/>
        <v>Not Exists</v>
      </c>
    </row>
    <row r="2680" spans="1:16">
      <c r="A2680">
        <v>1</v>
      </c>
      <c r="B2680">
        <v>1</v>
      </c>
      <c r="C2680">
        <v>1</v>
      </c>
      <c r="D2680">
        <v>1</v>
      </c>
      <c r="E2680" s="50" t="s">
        <v>1650</v>
      </c>
      <c r="F2680" s="50" t="s">
        <v>1658</v>
      </c>
      <c r="G2680" s="50" t="s">
        <v>256</v>
      </c>
      <c r="H2680" s="50">
        <v>50</v>
      </c>
      <c r="M2680" t="str">
        <f>IF(COUNTIF($A:$A,E2680)=0,"Not Exists","Exists")</f>
        <v>Exists</v>
      </c>
      <c r="N2680" t="str">
        <f t="shared" si="132"/>
        <v>Exists</v>
      </c>
      <c r="O2680" t="str">
        <f t="shared" si="130"/>
        <v>Not Exists</v>
      </c>
      <c r="P2680" t="str">
        <f t="shared" si="131"/>
        <v>Not Exists</v>
      </c>
    </row>
    <row r="2681" spans="1:16">
      <c r="A2681">
        <v>1</v>
      </c>
      <c r="B2681">
        <v>1</v>
      </c>
      <c r="C2681">
        <v>1</v>
      </c>
      <c r="D2681">
        <v>1</v>
      </c>
      <c r="E2681" s="50" t="s">
        <v>1650</v>
      </c>
      <c r="F2681" s="50" t="s">
        <v>1659</v>
      </c>
      <c r="G2681" s="50" t="s">
        <v>256</v>
      </c>
      <c r="H2681" s="50">
        <v>50</v>
      </c>
      <c r="M2681" t="str">
        <f>IF(COUNTIF($A:$A,E2681)=0,"Not Exists","Exists")</f>
        <v>Exists</v>
      </c>
      <c r="N2681" t="str">
        <f t="shared" si="132"/>
        <v>Exists</v>
      </c>
      <c r="O2681" t="str">
        <f t="shared" si="130"/>
        <v>Not Exists</v>
      </c>
      <c r="P2681" t="str">
        <f t="shared" si="131"/>
        <v>Not Exists</v>
      </c>
    </row>
    <row r="2682" spans="1:16">
      <c r="A2682">
        <v>1</v>
      </c>
      <c r="B2682">
        <v>1</v>
      </c>
      <c r="C2682">
        <v>1</v>
      </c>
      <c r="D2682">
        <v>1</v>
      </c>
      <c r="E2682" s="50" t="s">
        <v>1650</v>
      </c>
      <c r="F2682" s="50" t="s">
        <v>1660</v>
      </c>
      <c r="G2682" s="50" t="s">
        <v>256</v>
      </c>
      <c r="H2682" s="50">
        <v>50</v>
      </c>
      <c r="M2682" t="str">
        <f>IF(COUNTIF($A:$A,E2682)=0,"Not Exists","Exists")</f>
        <v>Exists</v>
      </c>
      <c r="N2682" t="str">
        <f t="shared" si="132"/>
        <v>Exists</v>
      </c>
      <c r="O2682" t="str">
        <f t="shared" si="130"/>
        <v>Not Exists</v>
      </c>
      <c r="P2682" t="str">
        <f t="shared" si="131"/>
        <v>Not Exists</v>
      </c>
    </row>
    <row r="2683" spans="1:16">
      <c r="A2683">
        <v>1</v>
      </c>
      <c r="B2683">
        <v>1</v>
      </c>
      <c r="C2683">
        <v>1</v>
      </c>
      <c r="D2683">
        <v>1</v>
      </c>
      <c r="E2683" s="50" t="s">
        <v>1650</v>
      </c>
      <c r="F2683" s="50" t="s">
        <v>1661</v>
      </c>
      <c r="G2683" s="50" t="s">
        <v>256</v>
      </c>
      <c r="H2683" s="50">
        <v>50</v>
      </c>
      <c r="M2683" t="str">
        <f>IF(COUNTIF($A:$A,E2683)=0,"Not Exists","Exists")</f>
        <v>Exists</v>
      </c>
      <c r="N2683" t="str">
        <f t="shared" si="132"/>
        <v>Exists</v>
      </c>
      <c r="O2683" t="str">
        <f t="shared" si="130"/>
        <v>Not Exists</v>
      </c>
      <c r="P2683" t="str">
        <f t="shared" si="131"/>
        <v>Not Exists</v>
      </c>
    </row>
    <row r="2684" spans="1:16">
      <c r="A2684">
        <v>1</v>
      </c>
      <c r="B2684">
        <v>1</v>
      </c>
      <c r="C2684">
        <v>1</v>
      </c>
      <c r="D2684">
        <v>1</v>
      </c>
      <c r="E2684" s="50" t="s">
        <v>1650</v>
      </c>
      <c r="F2684" s="50" t="s">
        <v>1662</v>
      </c>
      <c r="G2684" s="50" t="s">
        <v>256</v>
      </c>
      <c r="H2684" s="50">
        <v>50</v>
      </c>
      <c r="M2684" t="str">
        <f>IF(COUNTIF($A:$A,E2684)=0,"Not Exists","Exists")</f>
        <v>Exists</v>
      </c>
      <c r="N2684" t="str">
        <f t="shared" si="132"/>
        <v>Exists</v>
      </c>
      <c r="O2684" t="str">
        <f t="shared" si="130"/>
        <v>Not Exists</v>
      </c>
      <c r="P2684" t="str">
        <f t="shared" si="131"/>
        <v>Not Exists</v>
      </c>
    </row>
    <row r="2685" spans="1:16">
      <c r="A2685">
        <v>1</v>
      </c>
      <c r="B2685">
        <v>1</v>
      </c>
      <c r="C2685">
        <v>1</v>
      </c>
      <c r="D2685">
        <v>1</v>
      </c>
      <c r="E2685" s="50" t="s">
        <v>1650</v>
      </c>
      <c r="F2685" s="50" t="s">
        <v>1663</v>
      </c>
      <c r="G2685" s="50" t="s">
        <v>256</v>
      </c>
      <c r="H2685" s="50">
        <v>50</v>
      </c>
      <c r="M2685" t="str">
        <f>IF(COUNTIF($A:$A,E2685)=0,"Not Exists","Exists")</f>
        <v>Exists</v>
      </c>
      <c r="N2685" t="str">
        <f t="shared" si="132"/>
        <v>Exists</v>
      </c>
      <c r="O2685" t="str">
        <f t="shared" si="130"/>
        <v>Not Exists</v>
      </c>
      <c r="P2685" t="str">
        <f t="shared" si="131"/>
        <v>Not Exists</v>
      </c>
    </row>
    <row r="2686" spans="1:16">
      <c r="A2686">
        <v>1</v>
      </c>
      <c r="B2686">
        <v>1</v>
      </c>
      <c r="C2686">
        <v>1</v>
      </c>
      <c r="D2686">
        <v>1</v>
      </c>
      <c r="E2686" s="50" t="s">
        <v>1650</v>
      </c>
      <c r="F2686" s="50" t="s">
        <v>1664</v>
      </c>
      <c r="G2686" s="50" t="s">
        <v>256</v>
      </c>
      <c r="H2686" s="50">
        <v>30</v>
      </c>
      <c r="M2686" t="str">
        <f>IF(COUNTIF($A:$A,E2686)=0,"Not Exists","Exists")</f>
        <v>Exists</v>
      </c>
      <c r="N2686" t="str">
        <f t="shared" si="132"/>
        <v>Exists</v>
      </c>
      <c r="O2686" t="str">
        <f t="shared" si="130"/>
        <v>Not Exists</v>
      </c>
      <c r="P2686" t="str">
        <f t="shared" si="131"/>
        <v>Not Exists</v>
      </c>
    </row>
    <row r="2687" spans="1:16">
      <c r="A2687">
        <v>1</v>
      </c>
      <c r="B2687">
        <v>1</v>
      </c>
      <c r="C2687">
        <v>1</v>
      </c>
      <c r="D2687">
        <v>1</v>
      </c>
      <c r="E2687" s="50" t="s">
        <v>1665</v>
      </c>
      <c r="F2687" s="50" t="s">
        <v>1666</v>
      </c>
      <c r="G2687" s="50" t="s">
        <v>256</v>
      </c>
      <c r="H2687" s="50">
        <v>50</v>
      </c>
      <c r="M2687" t="str">
        <f>IF(COUNTIF($A:$A,E2687)=0,"Not Exists","Exists")</f>
        <v>Exists</v>
      </c>
      <c r="N2687" t="str">
        <f t="shared" si="132"/>
        <v>Exists</v>
      </c>
      <c r="O2687" t="str">
        <f t="shared" si="130"/>
        <v>Not Exists</v>
      </c>
      <c r="P2687" t="str">
        <f t="shared" si="131"/>
        <v>Not Exists</v>
      </c>
    </row>
    <row r="2688" spans="1:16">
      <c r="A2688">
        <v>1</v>
      </c>
      <c r="B2688">
        <v>1</v>
      </c>
      <c r="C2688">
        <v>1</v>
      </c>
      <c r="D2688">
        <v>1</v>
      </c>
      <c r="E2688" s="50" t="s">
        <v>1665</v>
      </c>
      <c r="F2688" s="50" t="s">
        <v>1668</v>
      </c>
      <c r="G2688" s="50" t="s">
        <v>251</v>
      </c>
      <c r="H2688" s="50">
        <v>17</v>
      </c>
      <c r="M2688" t="str">
        <f>IF(COUNTIF($A:$A,E2688)=0,"Not Exists","Exists")</f>
        <v>Exists</v>
      </c>
      <c r="N2688" t="str">
        <f t="shared" si="132"/>
        <v>Exists</v>
      </c>
      <c r="O2688" t="str">
        <f t="shared" si="130"/>
        <v>Not Exists</v>
      </c>
      <c r="P2688" t="str">
        <f t="shared" si="131"/>
        <v>Not Exists</v>
      </c>
    </row>
    <row r="2689" spans="1:16">
      <c r="A2689">
        <v>1</v>
      </c>
      <c r="B2689">
        <v>1</v>
      </c>
      <c r="C2689">
        <v>1</v>
      </c>
      <c r="D2689">
        <v>1</v>
      </c>
      <c r="E2689" s="50" t="s">
        <v>1665</v>
      </c>
      <c r="F2689" s="50" t="s">
        <v>1669</v>
      </c>
      <c r="G2689" s="50" t="s">
        <v>256</v>
      </c>
      <c r="H2689" s="50">
        <v>50</v>
      </c>
      <c r="M2689" t="str">
        <f>IF(COUNTIF($A:$A,E2689)=0,"Not Exists","Exists")</f>
        <v>Exists</v>
      </c>
      <c r="N2689" t="str">
        <f t="shared" si="132"/>
        <v>Exists</v>
      </c>
      <c r="O2689" t="str">
        <f t="shared" si="130"/>
        <v>Not Exists</v>
      </c>
      <c r="P2689" t="str">
        <f t="shared" si="131"/>
        <v>Not Exists</v>
      </c>
    </row>
    <row r="2690" spans="1:16">
      <c r="A2690">
        <v>1</v>
      </c>
      <c r="B2690">
        <v>1</v>
      </c>
      <c r="C2690">
        <v>1</v>
      </c>
      <c r="D2690">
        <v>1</v>
      </c>
      <c r="E2690" s="50" t="s">
        <v>1665</v>
      </c>
      <c r="F2690" s="50" t="s">
        <v>1670</v>
      </c>
      <c r="G2690" s="50" t="s">
        <v>251</v>
      </c>
      <c r="H2690" s="50">
        <v>17</v>
      </c>
      <c r="M2690" t="str">
        <f>IF(COUNTIF($A:$A,E2690)=0,"Not Exists","Exists")</f>
        <v>Exists</v>
      </c>
      <c r="N2690" t="str">
        <f t="shared" si="132"/>
        <v>Exists</v>
      </c>
      <c r="O2690" t="str">
        <f t="shared" si="130"/>
        <v>Not Exists</v>
      </c>
      <c r="P2690" t="str">
        <f t="shared" si="131"/>
        <v>Not Exists</v>
      </c>
    </row>
    <row r="2691" spans="1:16">
      <c r="A2691">
        <v>1</v>
      </c>
      <c r="B2691">
        <v>1</v>
      </c>
      <c r="C2691">
        <v>1</v>
      </c>
      <c r="D2691">
        <v>1</v>
      </c>
      <c r="E2691" s="50" t="s">
        <v>1665</v>
      </c>
      <c r="F2691" s="50" t="s">
        <v>1671</v>
      </c>
      <c r="G2691" s="50" t="s">
        <v>256</v>
      </c>
      <c r="H2691" s="50">
        <v>50</v>
      </c>
      <c r="M2691" t="str">
        <f>IF(COUNTIF($A:$A,E2691)=0,"Not Exists","Exists")</f>
        <v>Exists</v>
      </c>
      <c r="N2691" t="str">
        <f t="shared" si="132"/>
        <v>Exists</v>
      </c>
      <c r="O2691" t="str">
        <f t="shared" si="130"/>
        <v>Not Exists</v>
      </c>
      <c r="P2691" t="str">
        <f t="shared" si="131"/>
        <v>Not Exists</v>
      </c>
    </row>
    <row r="2692" spans="1:16">
      <c r="A2692">
        <v>1</v>
      </c>
      <c r="B2692">
        <v>1</v>
      </c>
      <c r="C2692">
        <v>1</v>
      </c>
      <c r="D2692">
        <v>1</v>
      </c>
      <c r="E2692" s="50" t="s">
        <v>1665</v>
      </c>
      <c r="F2692" s="50" t="s">
        <v>1672</v>
      </c>
      <c r="G2692" s="50" t="s">
        <v>256</v>
      </c>
      <c r="H2692" s="50">
        <v>450</v>
      </c>
      <c r="M2692" t="str">
        <f>IF(COUNTIF($A:$A,E2692)=0,"Not Exists","Exists")</f>
        <v>Exists</v>
      </c>
      <c r="N2692" t="str">
        <f t="shared" si="132"/>
        <v>Exists</v>
      </c>
      <c r="O2692" t="str">
        <f t="shared" ref="O2692:O2755" si="133">IF(COUNTIF($E:$E,A2692)=0,"Not Exists","Exists")</f>
        <v>Not Exists</v>
      </c>
      <c r="P2692" t="str">
        <f t="shared" ref="P2692:P2755" si="134">IF(COUNTIF($F:$F,B2692)=0,"Not Exists","Exists")</f>
        <v>Not Exists</v>
      </c>
    </row>
    <row r="2693" spans="1:16">
      <c r="A2693">
        <v>1</v>
      </c>
      <c r="B2693">
        <v>1</v>
      </c>
      <c r="C2693">
        <v>1</v>
      </c>
      <c r="D2693">
        <v>1</v>
      </c>
      <c r="E2693" s="50" t="s">
        <v>1665</v>
      </c>
      <c r="F2693" s="50" t="s">
        <v>1674</v>
      </c>
      <c r="G2693" s="50" t="s">
        <v>256</v>
      </c>
      <c r="H2693" s="50">
        <v>3000</v>
      </c>
      <c r="M2693" t="str">
        <f>IF(COUNTIF($A:$A,E2693)=0,"Not Exists","Exists")</f>
        <v>Exists</v>
      </c>
      <c r="N2693" t="str">
        <f t="shared" si="132"/>
        <v>Exists</v>
      </c>
      <c r="O2693" t="str">
        <f t="shared" si="133"/>
        <v>Not Exists</v>
      </c>
      <c r="P2693" t="str">
        <f t="shared" si="134"/>
        <v>Not Exists</v>
      </c>
    </row>
    <row r="2694" spans="1:16">
      <c r="A2694">
        <v>1</v>
      </c>
      <c r="B2694">
        <v>1</v>
      </c>
      <c r="C2694">
        <v>1</v>
      </c>
      <c r="D2694">
        <v>1</v>
      </c>
      <c r="E2694" s="50" t="s">
        <v>1665</v>
      </c>
      <c r="F2694" s="50" t="s">
        <v>1675</v>
      </c>
      <c r="G2694" s="50" t="s">
        <v>256</v>
      </c>
      <c r="H2694" s="50">
        <v>1000</v>
      </c>
      <c r="M2694" t="str">
        <f>IF(COUNTIF($A:$A,E2694)=0,"Not Exists","Exists")</f>
        <v>Exists</v>
      </c>
      <c r="N2694" t="str">
        <f t="shared" si="132"/>
        <v>Exists</v>
      </c>
      <c r="O2694" t="str">
        <f t="shared" si="133"/>
        <v>Not Exists</v>
      </c>
      <c r="P2694" t="str">
        <f t="shared" si="134"/>
        <v>Not Exists</v>
      </c>
    </row>
    <row r="2695" spans="1:16">
      <c r="A2695">
        <v>1</v>
      </c>
      <c r="B2695">
        <v>1</v>
      </c>
      <c r="C2695">
        <v>1</v>
      </c>
      <c r="D2695">
        <v>1</v>
      </c>
      <c r="E2695" s="50" t="s">
        <v>1665</v>
      </c>
      <c r="F2695" s="50" t="s">
        <v>1676</v>
      </c>
      <c r="G2695" s="50" t="s">
        <v>256</v>
      </c>
      <c r="H2695" s="50">
        <v>1000</v>
      </c>
      <c r="M2695" t="str">
        <f>IF(COUNTIF($A:$A,E2695)=0,"Not Exists","Exists")</f>
        <v>Exists</v>
      </c>
      <c r="N2695" t="str">
        <f t="shared" si="132"/>
        <v>Exists</v>
      </c>
      <c r="O2695" t="str">
        <f t="shared" si="133"/>
        <v>Not Exists</v>
      </c>
      <c r="P2695" t="str">
        <f t="shared" si="134"/>
        <v>Not Exists</v>
      </c>
    </row>
    <row r="2696" spans="1:16">
      <c r="A2696">
        <v>1</v>
      </c>
      <c r="B2696">
        <v>1</v>
      </c>
      <c r="C2696">
        <v>1</v>
      </c>
      <c r="D2696">
        <v>1</v>
      </c>
      <c r="E2696" s="50" t="s">
        <v>1665</v>
      </c>
      <c r="F2696" s="50" t="s">
        <v>1677</v>
      </c>
      <c r="G2696" s="50" t="s">
        <v>256</v>
      </c>
      <c r="H2696" s="50">
        <v>50</v>
      </c>
      <c r="M2696" t="str">
        <f>IF(COUNTIF($A:$A,E2696)=0,"Not Exists","Exists")</f>
        <v>Exists</v>
      </c>
      <c r="N2696" t="str">
        <f t="shared" si="132"/>
        <v>Exists</v>
      </c>
      <c r="O2696" t="str">
        <f t="shared" si="133"/>
        <v>Not Exists</v>
      </c>
      <c r="P2696" t="str">
        <f t="shared" si="134"/>
        <v>Not Exists</v>
      </c>
    </row>
    <row r="2697" spans="1:16">
      <c r="A2697">
        <v>1</v>
      </c>
      <c r="B2697">
        <v>1</v>
      </c>
      <c r="C2697">
        <v>1</v>
      </c>
      <c r="D2697">
        <v>1</v>
      </c>
      <c r="E2697" s="50" t="s">
        <v>1678</v>
      </c>
      <c r="F2697" s="50" t="s">
        <v>1679</v>
      </c>
      <c r="G2697" s="50" t="s">
        <v>256</v>
      </c>
      <c r="H2697" s="50">
        <v>50</v>
      </c>
      <c r="M2697" t="str">
        <f>IF(COUNTIF($A:$A,E2697)=0,"Not Exists","Exists")</f>
        <v>Exists</v>
      </c>
      <c r="N2697" t="str">
        <f t="shared" si="132"/>
        <v>Exists</v>
      </c>
      <c r="O2697" t="str">
        <f t="shared" si="133"/>
        <v>Not Exists</v>
      </c>
      <c r="P2697" t="str">
        <f t="shared" si="134"/>
        <v>Not Exists</v>
      </c>
    </row>
    <row r="2698" spans="1:16">
      <c r="A2698">
        <v>1</v>
      </c>
      <c r="B2698">
        <v>1</v>
      </c>
      <c r="C2698">
        <v>1</v>
      </c>
      <c r="D2698">
        <v>1</v>
      </c>
      <c r="E2698" s="50" t="s">
        <v>1678</v>
      </c>
      <c r="F2698" s="50" t="s">
        <v>1681</v>
      </c>
      <c r="G2698" s="50" t="s">
        <v>251</v>
      </c>
      <c r="H2698" s="50">
        <v>17</v>
      </c>
      <c r="M2698" t="str">
        <f>IF(COUNTIF($A:$A,E2698)=0,"Not Exists","Exists")</f>
        <v>Exists</v>
      </c>
      <c r="N2698" t="str">
        <f t="shared" si="132"/>
        <v>Exists</v>
      </c>
      <c r="O2698" t="str">
        <f t="shared" si="133"/>
        <v>Not Exists</v>
      </c>
      <c r="P2698" t="str">
        <f t="shared" si="134"/>
        <v>Not Exists</v>
      </c>
    </row>
    <row r="2699" spans="1:16">
      <c r="A2699">
        <v>1</v>
      </c>
      <c r="B2699">
        <v>1</v>
      </c>
      <c r="C2699">
        <v>1</v>
      </c>
      <c r="D2699">
        <v>1</v>
      </c>
      <c r="E2699" s="50" t="s">
        <v>1678</v>
      </c>
      <c r="F2699" s="50" t="s">
        <v>1682</v>
      </c>
      <c r="G2699" s="50" t="s">
        <v>256</v>
      </c>
      <c r="H2699" s="50">
        <v>50</v>
      </c>
      <c r="M2699" t="str">
        <f>IF(COUNTIF($A:$A,E2699)=0,"Not Exists","Exists")</f>
        <v>Exists</v>
      </c>
      <c r="N2699" t="str">
        <f t="shared" si="132"/>
        <v>Exists</v>
      </c>
      <c r="O2699" t="str">
        <f t="shared" si="133"/>
        <v>Not Exists</v>
      </c>
      <c r="P2699" t="str">
        <f t="shared" si="134"/>
        <v>Not Exists</v>
      </c>
    </row>
    <row r="2700" spans="1:16">
      <c r="A2700">
        <v>1</v>
      </c>
      <c r="B2700">
        <v>1</v>
      </c>
      <c r="C2700">
        <v>1</v>
      </c>
      <c r="D2700">
        <v>1</v>
      </c>
      <c r="E2700" s="50" t="s">
        <v>1678</v>
      </c>
      <c r="F2700" s="50" t="s">
        <v>1683</v>
      </c>
      <c r="G2700" s="50" t="s">
        <v>251</v>
      </c>
      <c r="H2700" s="50">
        <v>17</v>
      </c>
      <c r="M2700" t="str">
        <f>IF(COUNTIF($A:$A,E2700)=0,"Not Exists","Exists")</f>
        <v>Exists</v>
      </c>
      <c r="N2700" t="str">
        <f t="shared" si="132"/>
        <v>Exists</v>
      </c>
      <c r="O2700" t="str">
        <f t="shared" si="133"/>
        <v>Not Exists</v>
      </c>
      <c r="P2700" t="str">
        <f t="shared" si="134"/>
        <v>Not Exists</v>
      </c>
    </row>
    <row r="2701" spans="1:16">
      <c r="A2701">
        <v>1</v>
      </c>
      <c r="B2701">
        <v>1</v>
      </c>
      <c r="C2701">
        <v>1</v>
      </c>
      <c r="D2701">
        <v>1</v>
      </c>
      <c r="E2701" s="50" t="s">
        <v>1678</v>
      </c>
      <c r="F2701" s="50" t="s">
        <v>1684</v>
      </c>
      <c r="G2701" s="50" t="s">
        <v>256</v>
      </c>
      <c r="H2701" s="50">
        <v>50</v>
      </c>
      <c r="M2701" t="str">
        <f>IF(COUNTIF($A:$A,E2701)=0,"Not Exists","Exists")</f>
        <v>Exists</v>
      </c>
      <c r="N2701" t="str">
        <f t="shared" si="132"/>
        <v>Exists</v>
      </c>
      <c r="O2701" t="str">
        <f t="shared" si="133"/>
        <v>Not Exists</v>
      </c>
      <c r="P2701" t="str">
        <f t="shared" si="134"/>
        <v>Not Exists</v>
      </c>
    </row>
    <row r="2702" spans="1:16">
      <c r="A2702">
        <v>1</v>
      </c>
      <c r="B2702">
        <v>1</v>
      </c>
      <c r="C2702">
        <v>1</v>
      </c>
      <c r="D2702">
        <v>1</v>
      </c>
      <c r="E2702" s="50" t="s">
        <v>1678</v>
      </c>
      <c r="F2702" s="50" t="s">
        <v>1685</v>
      </c>
      <c r="G2702" s="50" t="s">
        <v>256</v>
      </c>
      <c r="H2702" s="50">
        <v>450</v>
      </c>
      <c r="M2702" t="str">
        <f>IF(COUNTIF($A:$A,E2702)=0,"Not Exists","Exists")</f>
        <v>Exists</v>
      </c>
      <c r="N2702" t="str">
        <f t="shared" si="132"/>
        <v>Exists</v>
      </c>
      <c r="O2702" t="str">
        <f t="shared" si="133"/>
        <v>Not Exists</v>
      </c>
      <c r="P2702" t="str">
        <f t="shared" si="134"/>
        <v>Not Exists</v>
      </c>
    </row>
    <row r="2703" spans="1:16">
      <c r="A2703">
        <v>1</v>
      </c>
      <c r="B2703">
        <v>1</v>
      </c>
      <c r="C2703">
        <v>1</v>
      </c>
      <c r="D2703">
        <v>1</v>
      </c>
      <c r="E2703" s="50" t="s">
        <v>1678</v>
      </c>
      <c r="F2703" s="50" t="s">
        <v>1686</v>
      </c>
      <c r="G2703" s="50" t="s">
        <v>256</v>
      </c>
      <c r="H2703" s="50">
        <v>50</v>
      </c>
      <c r="M2703" t="str">
        <f>IF(COUNTIF($A:$A,E2703)=0,"Not Exists","Exists")</f>
        <v>Exists</v>
      </c>
      <c r="N2703" t="str">
        <f t="shared" si="132"/>
        <v>Exists</v>
      </c>
      <c r="O2703" t="str">
        <f t="shared" si="133"/>
        <v>Not Exists</v>
      </c>
      <c r="P2703" t="str">
        <f t="shared" si="134"/>
        <v>Not Exists</v>
      </c>
    </row>
    <row r="2704" spans="1:16">
      <c r="A2704">
        <v>1</v>
      </c>
      <c r="B2704">
        <v>1</v>
      </c>
      <c r="C2704">
        <v>1</v>
      </c>
      <c r="D2704">
        <v>1</v>
      </c>
      <c r="E2704" s="50" t="s">
        <v>1678</v>
      </c>
      <c r="F2704" s="50" t="s">
        <v>1687</v>
      </c>
      <c r="G2704" s="50" t="s">
        <v>256</v>
      </c>
      <c r="H2704" s="50">
        <v>3000</v>
      </c>
      <c r="M2704" t="str">
        <f>IF(COUNTIF($A:$A,E2704)=0,"Not Exists","Exists")</f>
        <v>Exists</v>
      </c>
      <c r="N2704" t="str">
        <f t="shared" si="132"/>
        <v>Exists</v>
      </c>
      <c r="O2704" t="str">
        <f t="shared" si="133"/>
        <v>Not Exists</v>
      </c>
      <c r="P2704" t="str">
        <f t="shared" si="134"/>
        <v>Not Exists</v>
      </c>
    </row>
    <row r="2705" spans="1:16">
      <c r="A2705">
        <v>1</v>
      </c>
      <c r="B2705">
        <v>1</v>
      </c>
      <c r="C2705">
        <v>1</v>
      </c>
      <c r="D2705">
        <v>1</v>
      </c>
      <c r="E2705" s="50" t="s">
        <v>1678</v>
      </c>
      <c r="F2705" s="50" t="s">
        <v>1688</v>
      </c>
      <c r="G2705" s="50" t="s">
        <v>256</v>
      </c>
      <c r="H2705" s="50">
        <v>1000</v>
      </c>
      <c r="M2705" t="str">
        <f>IF(COUNTIF($A:$A,E2705)=0,"Not Exists","Exists")</f>
        <v>Exists</v>
      </c>
      <c r="N2705" t="str">
        <f t="shared" si="132"/>
        <v>Exists</v>
      </c>
      <c r="O2705" t="str">
        <f t="shared" si="133"/>
        <v>Not Exists</v>
      </c>
      <c r="P2705" t="str">
        <f t="shared" si="134"/>
        <v>Not Exists</v>
      </c>
    </row>
    <row r="2706" spans="1:16">
      <c r="A2706">
        <v>1</v>
      </c>
      <c r="B2706">
        <v>1</v>
      </c>
      <c r="C2706">
        <v>1</v>
      </c>
      <c r="D2706">
        <v>1</v>
      </c>
      <c r="E2706" s="50" t="s">
        <v>1678</v>
      </c>
      <c r="F2706" s="50" t="s">
        <v>1690</v>
      </c>
      <c r="G2706" s="50" t="s">
        <v>256</v>
      </c>
      <c r="H2706" s="50">
        <v>50</v>
      </c>
      <c r="M2706" t="str">
        <f>IF(COUNTIF($A:$A,E2706)=0,"Not Exists","Exists")</f>
        <v>Exists</v>
      </c>
      <c r="N2706" t="str">
        <f t="shared" si="132"/>
        <v>Exists</v>
      </c>
      <c r="O2706" t="str">
        <f t="shared" si="133"/>
        <v>Not Exists</v>
      </c>
      <c r="P2706" t="str">
        <f t="shared" si="134"/>
        <v>Not Exists</v>
      </c>
    </row>
    <row r="2707" spans="1:16">
      <c r="A2707">
        <v>1</v>
      </c>
      <c r="B2707">
        <v>1</v>
      </c>
      <c r="C2707">
        <v>1</v>
      </c>
      <c r="D2707">
        <v>1</v>
      </c>
      <c r="E2707" s="50" t="s">
        <v>1678</v>
      </c>
      <c r="F2707" s="50" t="s">
        <v>1691</v>
      </c>
      <c r="G2707" s="50" t="s">
        <v>251</v>
      </c>
      <c r="H2707" s="50">
        <v>1</v>
      </c>
      <c r="M2707" t="str">
        <f>IF(COUNTIF($A:$A,E2707)=0,"Not Exists","Exists")</f>
        <v>Exists</v>
      </c>
      <c r="N2707" t="str">
        <f t="shared" si="132"/>
        <v>Exists</v>
      </c>
      <c r="O2707" t="str">
        <f t="shared" si="133"/>
        <v>Not Exists</v>
      </c>
      <c r="P2707" t="str">
        <f t="shared" si="134"/>
        <v>Not Exists</v>
      </c>
    </row>
    <row r="2708" spans="1:16">
      <c r="A2708">
        <v>1</v>
      </c>
      <c r="B2708">
        <v>1</v>
      </c>
      <c r="C2708">
        <v>1</v>
      </c>
      <c r="D2708">
        <v>1</v>
      </c>
      <c r="E2708" s="50" t="s">
        <v>1692</v>
      </c>
      <c r="F2708" s="50" t="s">
        <v>1693</v>
      </c>
      <c r="G2708" s="50" t="s">
        <v>256</v>
      </c>
      <c r="H2708" s="50">
        <v>50</v>
      </c>
      <c r="M2708" t="str">
        <f>IF(COUNTIF($A:$A,E2708)=0,"Not Exists","Exists")</f>
        <v>Exists</v>
      </c>
      <c r="N2708" t="str">
        <f t="shared" si="132"/>
        <v>Exists</v>
      </c>
      <c r="O2708" t="str">
        <f t="shared" si="133"/>
        <v>Not Exists</v>
      </c>
      <c r="P2708" t="str">
        <f t="shared" si="134"/>
        <v>Not Exists</v>
      </c>
    </row>
    <row r="2709" spans="1:16">
      <c r="A2709">
        <v>1</v>
      </c>
      <c r="B2709">
        <v>1</v>
      </c>
      <c r="C2709">
        <v>1</v>
      </c>
      <c r="D2709">
        <v>1</v>
      </c>
      <c r="E2709" s="50" t="s">
        <v>1692</v>
      </c>
      <c r="F2709" s="50" t="s">
        <v>1699</v>
      </c>
      <c r="G2709" s="50" t="s">
        <v>256</v>
      </c>
      <c r="H2709" s="50">
        <v>450</v>
      </c>
      <c r="M2709" t="str">
        <f>IF(COUNTIF($A:$A,E2709)=0,"Not Exists","Exists")</f>
        <v>Exists</v>
      </c>
      <c r="N2709" t="str">
        <f t="shared" si="132"/>
        <v>Exists</v>
      </c>
      <c r="O2709" t="str">
        <f t="shared" si="133"/>
        <v>Not Exists</v>
      </c>
      <c r="P2709" t="str">
        <f t="shared" si="134"/>
        <v>Not Exists</v>
      </c>
    </row>
    <row r="2710" spans="1:16">
      <c r="A2710">
        <v>1</v>
      </c>
      <c r="B2710">
        <v>1</v>
      </c>
      <c r="C2710">
        <v>1</v>
      </c>
      <c r="D2710">
        <v>1</v>
      </c>
      <c r="E2710" s="50" t="s">
        <v>1692</v>
      </c>
      <c r="F2710" s="50" t="s">
        <v>1700</v>
      </c>
      <c r="G2710" s="50" t="s">
        <v>254</v>
      </c>
      <c r="H2710" s="50">
        <v>22</v>
      </c>
      <c r="M2710" t="str">
        <f>IF(COUNTIF($A:$A,E2710)=0,"Not Exists","Exists")</f>
        <v>Exists</v>
      </c>
      <c r="N2710" t="str">
        <f t="shared" si="132"/>
        <v>Exists</v>
      </c>
      <c r="O2710" t="str">
        <f t="shared" si="133"/>
        <v>Not Exists</v>
      </c>
      <c r="P2710" t="str">
        <f t="shared" si="134"/>
        <v>Not Exists</v>
      </c>
    </row>
    <row r="2711" spans="1:16">
      <c r="A2711">
        <v>1</v>
      </c>
      <c r="B2711">
        <v>1</v>
      </c>
      <c r="C2711">
        <v>1</v>
      </c>
      <c r="D2711">
        <v>1</v>
      </c>
      <c r="E2711" s="50" t="s">
        <v>1692</v>
      </c>
      <c r="F2711" s="50" t="s">
        <v>1701</v>
      </c>
      <c r="G2711" s="50" t="s">
        <v>256</v>
      </c>
      <c r="H2711" s="50">
        <v>450</v>
      </c>
      <c r="M2711" t="str">
        <f>IF(COUNTIF($A:$A,E2711)=0,"Not Exists","Exists")</f>
        <v>Exists</v>
      </c>
      <c r="N2711" t="str">
        <f t="shared" si="132"/>
        <v>Exists</v>
      </c>
      <c r="O2711" t="str">
        <f t="shared" si="133"/>
        <v>Not Exists</v>
      </c>
      <c r="P2711" t="str">
        <f t="shared" si="134"/>
        <v>Not Exists</v>
      </c>
    </row>
    <row r="2712" spans="1:16">
      <c r="A2712">
        <v>1</v>
      </c>
      <c r="B2712">
        <v>1</v>
      </c>
      <c r="C2712">
        <v>1</v>
      </c>
      <c r="D2712">
        <v>1</v>
      </c>
      <c r="E2712" s="50" t="s">
        <v>1692</v>
      </c>
      <c r="F2712" s="50" t="s">
        <v>1702</v>
      </c>
      <c r="G2712" s="50" t="s">
        <v>256</v>
      </c>
      <c r="H2712" s="50">
        <v>3000</v>
      </c>
      <c r="M2712" t="str">
        <f>IF(COUNTIF($A:$A,E2712)=0,"Not Exists","Exists")</f>
        <v>Exists</v>
      </c>
      <c r="N2712" t="str">
        <f t="shared" si="132"/>
        <v>Exists</v>
      </c>
      <c r="O2712" t="str">
        <f t="shared" si="133"/>
        <v>Not Exists</v>
      </c>
      <c r="P2712" t="str">
        <f t="shared" si="134"/>
        <v>Not Exists</v>
      </c>
    </row>
    <row r="2713" spans="1:16">
      <c r="A2713">
        <v>1</v>
      </c>
      <c r="B2713">
        <v>1</v>
      </c>
      <c r="C2713">
        <v>1</v>
      </c>
      <c r="D2713">
        <v>1</v>
      </c>
      <c r="E2713" s="50" t="s">
        <v>1692</v>
      </c>
      <c r="F2713" s="50" t="s">
        <v>1703</v>
      </c>
      <c r="G2713" s="50" t="s">
        <v>256</v>
      </c>
      <c r="H2713" s="50">
        <v>450</v>
      </c>
      <c r="M2713" t="str">
        <f>IF(COUNTIF($A:$A,E2713)=0,"Not Exists","Exists")</f>
        <v>Exists</v>
      </c>
      <c r="N2713" t="str">
        <f t="shared" si="132"/>
        <v>Exists</v>
      </c>
      <c r="O2713" t="str">
        <f t="shared" si="133"/>
        <v>Not Exists</v>
      </c>
      <c r="P2713" t="str">
        <f t="shared" si="134"/>
        <v>Not Exists</v>
      </c>
    </row>
    <row r="2714" spans="1:16">
      <c r="A2714">
        <v>1</v>
      </c>
      <c r="B2714">
        <v>1</v>
      </c>
      <c r="C2714">
        <v>1</v>
      </c>
      <c r="D2714">
        <v>1</v>
      </c>
      <c r="E2714" s="50" t="s">
        <v>1692</v>
      </c>
      <c r="F2714" s="50" t="s">
        <v>1704</v>
      </c>
      <c r="G2714" s="50" t="s">
        <v>256</v>
      </c>
      <c r="H2714" s="50">
        <v>450</v>
      </c>
      <c r="M2714" t="str">
        <f>IF(COUNTIF($A:$A,E2714)=0,"Not Exists","Exists")</f>
        <v>Exists</v>
      </c>
      <c r="N2714" t="str">
        <f t="shared" si="132"/>
        <v>Exists</v>
      </c>
      <c r="O2714" t="str">
        <f t="shared" si="133"/>
        <v>Not Exists</v>
      </c>
      <c r="P2714" t="str">
        <f t="shared" si="134"/>
        <v>Not Exists</v>
      </c>
    </row>
    <row r="2715" spans="1:16">
      <c r="A2715">
        <v>1</v>
      </c>
      <c r="B2715">
        <v>1</v>
      </c>
      <c r="C2715">
        <v>1</v>
      </c>
      <c r="D2715">
        <v>1</v>
      </c>
      <c r="E2715" s="50" t="s">
        <v>1692</v>
      </c>
      <c r="F2715" s="50" t="s">
        <v>1706</v>
      </c>
      <c r="G2715" s="50" t="s">
        <v>251</v>
      </c>
      <c r="H2715" s="50">
        <v>1</v>
      </c>
      <c r="M2715" t="str">
        <f>IF(COUNTIF($A:$A,E2715)=0,"Not Exists","Exists")</f>
        <v>Exists</v>
      </c>
      <c r="N2715" t="str">
        <f t="shared" si="132"/>
        <v>Exists</v>
      </c>
      <c r="O2715" t="str">
        <f t="shared" si="133"/>
        <v>Not Exists</v>
      </c>
      <c r="P2715" t="str">
        <f t="shared" si="134"/>
        <v>Not Exists</v>
      </c>
    </row>
    <row r="2716" spans="1:16">
      <c r="A2716">
        <v>1</v>
      </c>
      <c r="B2716">
        <v>1</v>
      </c>
      <c r="C2716">
        <v>1</v>
      </c>
      <c r="D2716">
        <v>1</v>
      </c>
      <c r="E2716" s="50" t="s">
        <v>1692</v>
      </c>
      <c r="F2716" s="50" t="s">
        <v>2215</v>
      </c>
      <c r="G2716" s="50" t="s">
        <v>256</v>
      </c>
      <c r="H2716" s="50">
        <v>1</v>
      </c>
      <c r="M2716" t="str">
        <f>IF(COUNTIF($A:$A,E2716)=0,"Not Exists","Exists")</f>
        <v>Exists</v>
      </c>
      <c r="N2716" t="str">
        <f t="shared" si="132"/>
        <v>Not Exists</v>
      </c>
      <c r="O2716" t="str">
        <f t="shared" si="133"/>
        <v>Not Exists</v>
      </c>
      <c r="P2716" t="str">
        <f t="shared" si="134"/>
        <v>Not Exists</v>
      </c>
    </row>
    <row r="2717" spans="1:16">
      <c r="A2717">
        <v>1</v>
      </c>
      <c r="B2717">
        <v>1</v>
      </c>
      <c r="C2717">
        <v>1</v>
      </c>
      <c r="D2717">
        <v>1</v>
      </c>
      <c r="E2717" s="50" t="s">
        <v>1692</v>
      </c>
      <c r="F2717" s="50" t="s">
        <v>1695</v>
      </c>
      <c r="G2717" s="50" t="s">
        <v>251</v>
      </c>
      <c r="H2717" s="50">
        <v>17</v>
      </c>
      <c r="M2717" t="str">
        <f>IF(COUNTIF($A:$A,E2717)=0,"Not Exists","Exists")</f>
        <v>Exists</v>
      </c>
      <c r="N2717" t="str">
        <f t="shared" ref="N2717:N2720" si="135">IF(COUNTIF($A:$B,F2717)=0,"Not Exists","Exists")</f>
        <v>Exists</v>
      </c>
      <c r="O2717" t="str">
        <f t="shared" si="133"/>
        <v>Not Exists</v>
      </c>
      <c r="P2717" t="str">
        <f t="shared" si="134"/>
        <v>Not Exists</v>
      </c>
    </row>
    <row r="2718" spans="1:16">
      <c r="A2718">
        <v>1</v>
      </c>
      <c r="B2718">
        <v>1</v>
      </c>
      <c r="C2718">
        <v>1</v>
      </c>
      <c r="D2718">
        <v>1</v>
      </c>
      <c r="E2718" s="50" t="s">
        <v>1692</v>
      </c>
      <c r="F2718" s="50" t="s">
        <v>1696</v>
      </c>
      <c r="G2718" s="50" t="s">
        <v>256</v>
      </c>
      <c r="H2718" s="50">
        <v>50</v>
      </c>
      <c r="M2718" t="str">
        <f>IF(COUNTIF($A:$A,E2718)=0,"Not Exists","Exists")</f>
        <v>Exists</v>
      </c>
      <c r="N2718" t="str">
        <f t="shared" si="135"/>
        <v>Exists</v>
      </c>
      <c r="O2718" t="str">
        <f t="shared" si="133"/>
        <v>Not Exists</v>
      </c>
      <c r="P2718" t="str">
        <f t="shared" si="134"/>
        <v>Not Exists</v>
      </c>
    </row>
    <row r="2719" spans="1:16">
      <c r="A2719">
        <v>1</v>
      </c>
      <c r="B2719">
        <v>1</v>
      </c>
      <c r="C2719">
        <v>1</v>
      </c>
      <c r="D2719">
        <v>1</v>
      </c>
      <c r="E2719" s="50" t="s">
        <v>1692</v>
      </c>
      <c r="F2719" s="50" t="s">
        <v>1697</v>
      </c>
      <c r="G2719" s="50" t="s">
        <v>251</v>
      </c>
      <c r="H2719" s="50">
        <v>17</v>
      </c>
      <c r="M2719" t="str">
        <f>IF(COUNTIF($A:$A,E2719)=0,"Not Exists","Exists")</f>
        <v>Exists</v>
      </c>
      <c r="N2719" t="str">
        <f t="shared" si="135"/>
        <v>Exists</v>
      </c>
      <c r="O2719" t="str">
        <f t="shared" si="133"/>
        <v>Not Exists</v>
      </c>
      <c r="P2719" t="str">
        <f t="shared" si="134"/>
        <v>Not Exists</v>
      </c>
    </row>
    <row r="2720" spans="1:16">
      <c r="A2720">
        <v>1</v>
      </c>
      <c r="B2720">
        <v>1</v>
      </c>
      <c r="C2720">
        <v>1</v>
      </c>
      <c r="D2720">
        <v>1</v>
      </c>
      <c r="E2720" s="50" t="s">
        <v>1692</v>
      </c>
      <c r="F2720" s="50" t="s">
        <v>1698</v>
      </c>
      <c r="G2720" s="50" t="s">
        <v>256</v>
      </c>
      <c r="H2720" s="50">
        <v>50</v>
      </c>
      <c r="M2720" t="str">
        <f>IF(COUNTIF($A:$A,E2720)=0,"Not Exists","Exists")</f>
        <v>Exists</v>
      </c>
      <c r="N2720" t="str">
        <f t="shared" si="135"/>
        <v>Exists</v>
      </c>
      <c r="O2720" t="str">
        <f t="shared" si="133"/>
        <v>Not Exists</v>
      </c>
      <c r="P2720" t="str">
        <f t="shared" si="134"/>
        <v>Not Exists</v>
      </c>
    </row>
    <row r="2721" spans="1:16">
      <c r="A2721">
        <v>1</v>
      </c>
      <c r="B2721">
        <v>1</v>
      </c>
      <c r="C2721">
        <v>1</v>
      </c>
      <c r="D2721">
        <v>1</v>
      </c>
      <c r="E2721" s="50" t="s">
        <v>2216</v>
      </c>
      <c r="F2721" s="50" t="s">
        <v>2217</v>
      </c>
      <c r="G2721" s="50" t="s">
        <v>256</v>
      </c>
      <c r="H2721" s="50">
        <v>50</v>
      </c>
      <c r="M2721" t="str">
        <f>IF(COUNTIF($A:$A,E2721)=0,"Not Exists","Exists")</f>
        <v>Not Exists</v>
      </c>
      <c r="N2721" t="str">
        <f t="shared" ref="N2721:N2784" si="136">IF(COUNTIF($A:$B,F2721)=0,"Not Exists","Exists")</f>
        <v>Not Exists</v>
      </c>
      <c r="O2721" t="str">
        <f t="shared" si="133"/>
        <v>Not Exists</v>
      </c>
      <c r="P2721" t="str">
        <f t="shared" si="134"/>
        <v>Not Exists</v>
      </c>
    </row>
    <row r="2722" spans="1:16">
      <c r="A2722">
        <v>1</v>
      </c>
      <c r="B2722">
        <v>1</v>
      </c>
      <c r="C2722">
        <v>1</v>
      </c>
      <c r="D2722">
        <v>1</v>
      </c>
      <c r="E2722" s="50" t="s">
        <v>2216</v>
      </c>
      <c r="F2722" s="50" t="s">
        <v>2218</v>
      </c>
      <c r="G2722" s="50" t="s">
        <v>256</v>
      </c>
      <c r="H2722" s="50">
        <v>50</v>
      </c>
      <c r="M2722" t="str">
        <f>IF(COUNTIF($A:$A,E2722)=0,"Not Exists","Exists")</f>
        <v>Not Exists</v>
      </c>
      <c r="N2722" t="str">
        <f t="shared" si="136"/>
        <v>Not Exists</v>
      </c>
      <c r="O2722" t="str">
        <f t="shared" si="133"/>
        <v>Not Exists</v>
      </c>
      <c r="P2722" t="str">
        <f t="shared" si="134"/>
        <v>Not Exists</v>
      </c>
    </row>
    <row r="2723" spans="1:16">
      <c r="A2723">
        <v>1</v>
      </c>
      <c r="B2723">
        <v>1</v>
      </c>
      <c r="C2723">
        <v>1</v>
      </c>
      <c r="D2723">
        <v>1</v>
      </c>
      <c r="E2723" s="50" t="s">
        <v>2216</v>
      </c>
      <c r="F2723" s="50" t="s">
        <v>2219</v>
      </c>
      <c r="G2723" s="50" t="s">
        <v>256</v>
      </c>
      <c r="H2723" s="50">
        <v>2</v>
      </c>
      <c r="M2723" t="str">
        <f>IF(COUNTIF($A:$A,E2723)=0,"Not Exists","Exists")</f>
        <v>Not Exists</v>
      </c>
      <c r="N2723" t="str">
        <f t="shared" si="136"/>
        <v>Not Exists</v>
      </c>
      <c r="O2723" t="str">
        <f t="shared" si="133"/>
        <v>Not Exists</v>
      </c>
      <c r="P2723" t="str">
        <f t="shared" si="134"/>
        <v>Not Exists</v>
      </c>
    </row>
    <row r="2724" spans="1:16">
      <c r="A2724">
        <v>1</v>
      </c>
      <c r="B2724">
        <v>1</v>
      </c>
      <c r="C2724">
        <v>1</v>
      </c>
      <c r="D2724">
        <v>1</v>
      </c>
      <c r="E2724" s="50" t="s">
        <v>2216</v>
      </c>
      <c r="F2724" s="50" t="s">
        <v>1710</v>
      </c>
      <c r="G2724" s="50" t="s">
        <v>256</v>
      </c>
      <c r="H2724" s="50">
        <v>17</v>
      </c>
      <c r="M2724" t="str">
        <f>IF(COUNTIF($A:$A,E2724)=0,"Not Exists","Exists")</f>
        <v>Not Exists</v>
      </c>
      <c r="N2724" t="str">
        <f t="shared" si="136"/>
        <v>Exists</v>
      </c>
      <c r="O2724" t="str">
        <f t="shared" si="133"/>
        <v>Not Exists</v>
      </c>
      <c r="P2724" t="str">
        <f t="shared" si="134"/>
        <v>Not Exists</v>
      </c>
    </row>
    <row r="2725" spans="1:16">
      <c r="A2725">
        <v>1</v>
      </c>
      <c r="B2725">
        <v>1</v>
      </c>
      <c r="C2725">
        <v>1</v>
      </c>
      <c r="D2725">
        <v>1</v>
      </c>
      <c r="E2725" s="50" t="s">
        <v>2216</v>
      </c>
      <c r="F2725" s="50" t="s">
        <v>1711</v>
      </c>
      <c r="G2725" s="50" t="s">
        <v>256</v>
      </c>
      <c r="H2725" s="50">
        <v>50</v>
      </c>
      <c r="M2725" t="str">
        <f>IF(COUNTIF($A:$A,E2725)=0,"Not Exists","Exists")</f>
        <v>Not Exists</v>
      </c>
      <c r="N2725" t="str">
        <f t="shared" si="136"/>
        <v>Exists</v>
      </c>
      <c r="O2725" t="str">
        <f t="shared" si="133"/>
        <v>Not Exists</v>
      </c>
      <c r="P2725" t="str">
        <f t="shared" si="134"/>
        <v>Not Exists</v>
      </c>
    </row>
    <row r="2726" spans="1:16">
      <c r="A2726">
        <v>1</v>
      </c>
      <c r="B2726">
        <v>1</v>
      </c>
      <c r="C2726">
        <v>1</v>
      </c>
      <c r="D2726">
        <v>1</v>
      </c>
      <c r="E2726" s="50" t="s">
        <v>2216</v>
      </c>
      <c r="F2726" s="50" t="s">
        <v>1712</v>
      </c>
      <c r="G2726" s="50" t="s">
        <v>256</v>
      </c>
      <c r="H2726" s="50">
        <v>17</v>
      </c>
      <c r="M2726" t="str">
        <f>IF(COUNTIF($A:$A,E2726)=0,"Not Exists","Exists")</f>
        <v>Not Exists</v>
      </c>
      <c r="N2726" t="str">
        <f t="shared" si="136"/>
        <v>Exists</v>
      </c>
      <c r="O2726" t="str">
        <f t="shared" si="133"/>
        <v>Not Exists</v>
      </c>
      <c r="P2726" t="str">
        <f t="shared" si="134"/>
        <v>Not Exists</v>
      </c>
    </row>
    <row r="2727" spans="1:16">
      <c r="A2727">
        <v>1</v>
      </c>
      <c r="B2727">
        <v>1</v>
      </c>
      <c r="C2727">
        <v>1</v>
      </c>
      <c r="D2727">
        <v>1</v>
      </c>
      <c r="E2727" s="50" t="s">
        <v>2216</v>
      </c>
      <c r="F2727" s="50" t="s">
        <v>1713</v>
      </c>
      <c r="G2727" s="50" t="s">
        <v>256</v>
      </c>
      <c r="H2727" s="50">
        <v>50</v>
      </c>
      <c r="M2727" t="str">
        <f>IF(COUNTIF($A:$A,E2727)=0,"Not Exists","Exists")</f>
        <v>Not Exists</v>
      </c>
      <c r="N2727" t="str">
        <f t="shared" si="136"/>
        <v>Exists</v>
      </c>
      <c r="O2727" t="str">
        <f t="shared" si="133"/>
        <v>Not Exists</v>
      </c>
      <c r="P2727" t="str">
        <f t="shared" si="134"/>
        <v>Not Exists</v>
      </c>
    </row>
    <row r="2728" spans="1:16">
      <c r="A2728">
        <v>1</v>
      </c>
      <c r="B2728">
        <v>1</v>
      </c>
      <c r="C2728">
        <v>1</v>
      </c>
      <c r="D2728">
        <v>1</v>
      </c>
      <c r="E2728" s="50" t="s">
        <v>1707</v>
      </c>
      <c r="F2728" s="50" t="s">
        <v>1708</v>
      </c>
      <c r="G2728" s="50" t="s">
        <v>256</v>
      </c>
      <c r="H2728" s="50">
        <v>50</v>
      </c>
      <c r="M2728" t="str">
        <f>IF(COUNTIF($A:$A,E2728)=0,"Not Exists","Exists")</f>
        <v>Exists</v>
      </c>
      <c r="N2728" t="str">
        <f t="shared" si="136"/>
        <v>Exists</v>
      </c>
      <c r="O2728" t="str">
        <f t="shared" si="133"/>
        <v>Not Exists</v>
      </c>
      <c r="P2728" t="str">
        <f t="shared" si="134"/>
        <v>Not Exists</v>
      </c>
    </row>
    <row r="2729" spans="1:16">
      <c r="A2729">
        <v>1</v>
      </c>
      <c r="B2729">
        <v>1</v>
      </c>
      <c r="C2729">
        <v>1</v>
      </c>
      <c r="D2729">
        <v>1</v>
      </c>
      <c r="E2729" s="50" t="s">
        <v>1707</v>
      </c>
      <c r="F2729" s="50" t="s">
        <v>1714</v>
      </c>
      <c r="G2729" s="50" t="s">
        <v>256</v>
      </c>
      <c r="H2729" s="50">
        <v>450</v>
      </c>
      <c r="M2729" t="str">
        <f>IF(COUNTIF($A:$A,E2729)=0,"Not Exists","Exists")</f>
        <v>Exists</v>
      </c>
      <c r="N2729" t="str">
        <f t="shared" si="136"/>
        <v>Exists</v>
      </c>
      <c r="O2729" t="str">
        <f t="shared" si="133"/>
        <v>Not Exists</v>
      </c>
      <c r="P2729" t="str">
        <f t="shared" si="134"/>
        <v>Not Exists</v>
      </c>
    </row>
    <row r="2730" spans="1:16">
      <c r="A2730">
        <v>1</v>
      </c>
      <c r="B2730">
        <v>1</v>
      </c>
      <c r="C2730">
        <v>1</v>
      </c>
      <c r="D2730">
        <v>1</v>
      </c>
      <c r="E2730" s="50" t="s">
        <v>1707</v>
      </c>
      <c r="F2730" s="50" t="s">
        <v>1715</v>
      </c>
      <c r="G2730" s="50" t="s">
        <v>256</v>
      </c>
      <c r="H2730" s="50">
        <v>3000</v>
      </c>
      <c r="M2730" t="str">
        <f>IF(COUNTIF($A:$A,E2730)=0,"Not Exists","Exists")</f>
        <v>Exists</v>
      </c>
      <c r="N2730" t="str">
        <f t="shared" si="136"/>
        <v>Exists</v>
      </c>
      <c r="O2730" t="str">
        <f t="shared" si="133"/>
        <v>Not Exists</v>
      </c>
      <c r="P2730" t="str">
        <f t="shared" si="134"/>
        <v>Not Exists</v>
      </c>
    </row>
    <row r="2731" spans="1:16">
      <c r="A2731">
        <v>1</v>
      </c>
      <c r="B2731">
        <v>1</v>
      </c>
      <c r="C2731">
        <v>1</v>
      </c>
      <c r="D2731">
        <v>1</v>
      </c>
      <c r="E2731" s="50" t="s">
        <v>1707</v>
      </c>
      <c r="F2731" s="50" t="s">
        <v>1716</v>
      </c>
      <c r="G2731" s="50" t="s">
        <v>256</v>
      </c>
      <c r="H2731" s="50">
        <v>450</v>
      </c>
      <c r="M2731" t="str">
        <f>IF(COUNTIF($A:$A,E2731)=0,"Not Exists","Exists")</f>
        <v>Exists</v>
      </c>
      <c r="N2731" t="str">
        <f t="shared" si="136"/>
        <v>Exists</v>
      </c>
      <c r="O2731" t="str">
        <f t="shared" si="133"/>
        <v>Not Exists</v>
      </c>
      <c r="P2731" t="str">
        <f t="shared" si="134"/>
        <v>Not Exists</v>
      </c>
    </row>
    <row r="2732" spans="1:16">
      <c r="A2732">
        <v>1</v>
      </c>
      <c r="B2732">
        <v>1</v>
      </c>
      <c r="C2732">
        <v>1</v>
      </c>
      <c r="D2732">
        <v>1</v>
      </c>
      <c r="E2732" s="50" t="s">
        <v>1707</v>
      </c>
      <c r="F2732" s="50" t="s">
        <v>1710</v>
      </c>
      <c r="G2732" s="50" t="s">
        <v>251</v>
      </c>
      <c r="H2732" s="50">
        <v>17</v>
      </c>
      <c r="M2732" t="str">
        <f>IF(COUNTIF($A:$A,E2732)=0,"Not Exists","Exists")</f>
        <v>Exists</v>
      </c>
      <c r="N2732" t="str">
        <f t="shared" si="136"/>
        <v>Exists</v>
      </c>
      <c r="O2732" t="str">
        <f t="shared" si="133"/>
        <v>Not Exists</v>
      </c>
      <c r="P2732" t="str">
        <f t="shared" si="134"/>
        <v>Not Exists</v>
      </c>
    </row>
    <row r="2733" spans="1:16">
      <c r="A2733">
        <v>1</v>
      </c>
      <c r="B2733">
        <v>1</v>
      </c>
      <c r="C2733">
        <v>1</v>
      </c>
      <c r="D2733">
        <v>1</v>
      </c>
      <c r="E2733" s="50" t="s">
        <v>1707</v>
      </c>
      <c r="F2733" s="50" t="s">
        <v>1711</v>
      </c>
      <c r="G2733" s="50" t="s">
        <v>256</v>
      </c>
      <c r="H2733" s="50">
        <v>50</v>
      </c>
      <c r="M2733" t="str">
        <f>IF(COUNTIF($A:$A,E2733)=0,"Not Exists","Exists")</f>
        <v>Exists</v>
      </c>
      <c r="N2733" t="str">
        <f t="shared" si="136"/>
        <v>Exists</v>
      </c>
      <c r="O2733" t="str">
        <f t="shared" si="133"/>
        <v>Not Exists</v>
      </c>
      <c r="P2733" t="str">
        <f t="shared" si="134"/>
        <v>Not Exists</v>
      </c>
    </row>
    <row r="2734" spans="1:16">
      <c r="A2734">
        <v>1</v>
      </c>
      <c r="B2734">
        <v>1</v>
      </c>
      <c r="C2734">
        <v>1</v>
      </c>
      <c r="D2734">
        <v>1</v>
      </c>
      <c r="E2734" s="50" t="s">
        <v>1707</v>
      </c>
      <c r="F2734" s="50" t="s">
        <v>1712</v>
      </c>
      <c r="G2734" s="50" t="s">
        <v>251</v>
      </c>
      <c r="H2734" s="50">
        <v>17</v>
      </c>
      <c r="M2734" t="str">
        <f>IF(COUNTIF($A:$A,E2734)=0,"Not Exists","Exists")</f>
        <v>Exists</v>
      </c>
      <c r="N2734" t="str">
        <f t="shared" si="136"/>
        <v>Exists</v>
      </c>
      <c r="O2734" t="str">
        <f t="shared" si="133"/>
        <v>Not Exists</v>
      </c>
      <c r="P2734" t="str">
        <f t="shared" si="134"/>
        <v>Not Exists</v>
      </c>
    </row>
    <row r="2735" spans="1:16">
      <c r="A2735">
        <v>1</v>
      </c>
      <c r="B2735">
        <v>1</v>
      </c>
      <c r="C2735">
        <v>1</v>
      </c>
      <c r="D2735">
        <v>1</v>
      </c>
      <c r="E2735" s="50" t="s">
        <v>1707</v>
      </c>
      <c r="F2735" s="50" t="s">
        <v>1713</v>
      </c>
      <c r="G2735" s="50" t="s">
        <v>256</v>
      </c>
      <c r="H2735" s="50">
        <v>50</v>
      </c>
      <c r="M2735" t="str">
        <f>IF(COUNTIF($A:$A,E2735)=0,"Not Exists","Exists")</f>
        <v>Exists</v>
      </c>
      <c r="N2735" t="str">
        <f t="shared" si="136"/>
        <v>Exists</v>
      </c>
      <c r="O2735" t="str">
        <f t="shared" si="133"/>
        <v>Not Exists</v>
      </c>
      <c r="P2735" t="str">
        <f t="shared" si="134"/>
        <v>Not Exists</v>
      </c>
    </row>
    <row r="2736" spans="1:16">
      <c r="A2736">
        <v>1</v>
      </c>
      <c r="B2736">
        <v>1</v>
      </c>
      <c r="C2736">
        <v>1</v>
      </c>
      <c r="D2736">
        <v>1</v>
      </c>
      <c r="E2736" s="50" t="s">
        <v>1717</v>
      </c>
      <c r="F2736" s="50" t="s">
        <v>1718</v>
      </c>
      <c r="G2736" s="50" t="s">
        <v>256</v>
      </c>
      <c r="H2736" s="50">
        <v>50</v>
      </c>
      <c r="M2736" t="str">
        <f>IF(COUNTIF($A:$A,E2736)=0,"Not Exists","Exists")</f>
        <v>Exists</v>
      </c>
      <c r="N2736" t="str">
        <f t="shared" si="136"/>
        <v>Exists</v>
      </c>
      <c r="O2736" t="str">
        <f t="shared" si="133"/>
        <v>Not Exists</v>
      </c>
      <c r="P2736" t="str">
        <f t="shared" si="134"/>
        <v>Not Exists</v>
      </c>
    </row>
    <row r="2737" spans="1:16">
      <c r="A2737">
        <v>1</v>
      </c>
      <c r="B2737">
        <v>1</v>
      </c>
      <c r="C2737">
        <v>1</v>
      </c>
      <c r="D2737">
        <v>1</v>
      </c>
      <c r="E2737" s="50" t="s">
        <v>1717</v>
      </c>
      <c r="F2737" s="50" t="s">
        <v>1725</v>
      </c>
      <c r="G2737" s="50" t="s">
        <v>256</v>
      </c>
      <c r="H2737" s="50">
        <v>50</v>
      </c>
      <c r="M2737" t="str">
        <f>IF(COUNTIF($A:$A,E2737)=0,"Not Exists","Exists")</f>
        <v>Exists</v>
      </c>
      <c r="N2737" t="str">
        <f t="shared" si="136"/>
        <v>Exists</v>
      </c>
      <c r="O2737" t="str">
        <f t="shared" si="133"/>
        <v>Not Exists</v>
      </c>
      <c r="P2737" t="str">
        <f t="shared" si="134"/>
        <v>Not Exists</v>
      </c>
    </row>
    <row r="2738" spans="1:16">
      <c r="A2738">
        <v>1</v>
      </c>
      <c r="B2738">
        <v>1</v>
      </c>
      <c r="C2738">
        <v>1</v>
      </c>
      <c r="D2738">
        <v>1</v>
      </c>
      <c r="E2738" s="50" t="s">
        <v>1717</v>
      </c>
      <c r="F2738" s="50" t="s">
        <v>1726</v>
      </c>
      <c r="G2738" s="50" t="s">
        <v>256</v>
      </c>
      <c r="H2738" s="50">
        <v>50</v>
      </c>
      <c r="M2738" t="str">
        <f>IF(COUNTIF($A:$A,E2738)=0,"Not Exists","Exists")</f>
        <v>Exists</v>
      </c>
      <c r="N2738" t="str">
        <f t="shared" si="136"/>
        <v>Exists</v>
      </c>
      <c r="O2738" t="str">
        <f t="shared" si="133"/>
        <v>Not Exists</v>
      </c>
      <c r="P2738" t="str">
        <f t="shared" si="134"/>
        <v>Not Exists</v>
      </c>
    </row>
    <row r="2739" spans="1:16">
      <c r="A2739">
        <v>1</v>
      </c>
      <c r="B2739">
        <v>1</v>
      </c>
      <c r="C2739">
        <v>1</v>
      </c>
      <c r="D2739">
        <v>1</v>
      </c>
      <c r="E2739" s="50" t="s">
        <v>1717</v>
      </c>
      <c r="F2739" s="50" t="s">
        <v>1727</v>
      </c>
      <c r="G2739" s="50" t="s">
        <v>256</v>
      </c>
      <c r="H2739" s="50">
        <v>50</v>
      </c>
      <c r="M2739" t="str">
        <f>IF(COUNTIF($A:$A,E2739)=0,"Not Exists","Exists")</f>
        <v>Exists</v>
      </c>
      <c r="N2739" t="str">
        <f t="shared" si="136"/>
        <v>Exists</v>
      </c>
      <c r="O2739" t="str">
        <f t="shared" si="133"/>
        <v>Not Exists</v>
      </c>
      <c r="P2739" t="str">
        <f t="shared" si="134"/>
        <v>Not Exists</v>
      </c>
    </row>
    <row r="2740" spans="1:16">
      <c r="A2740">
        <v>1</v>
      </c>
      <c r="B2740">
        <v>1</v>
      </c>
      <c r="C2740">
        <v>1</v>
      </c>
      <c r="D2740">
        <v>1</v>
      </c>
      <c r="E2740" s="50" t="s">
        <v>1717</v>
      </c>
      <c r="F2740" s="50" t="s">
        <v>1728</v>
      </c>
      <c r="G2740" s="50" t="s">
        <v>427</v>
      </c>
      <c r="H2740" s="50">
        <v>4000</v>
      </c>
      <c r="M2740" t="str">
        <f>IF(COUNTIF($A:$A,E2740)=0,"Not Exists","Exists")</f>
        <v>Exists</v>
      </c>
      <c r="N2740" t="str">
        <f t="shared" si="136"/>
        <v>Exists</v>
      </c>
      <c r="O2740" t="str">
        <f t="shared" si="133"/>
        <v>Not Exists</v>
      </c>
      <c r="P2740" t="str">
        <f t="shared" si="134"/>
        <v>Not Exists</v>
      </c>
    </row>
    <row r="2741" spans="1:16">
      <c r="A2741">
        <v>1</v>
      </c>
      <c r="B2741">
        <v>1</v>
      </c>
      <c r="C2741">
        <v>1</v>
      </c>
      <c r="D2741">
        <v>1</v>
      </c>
      <c r="E2741" s="50" t="s">
        <v>1717</v>
      </c>
      <c r="F2741" s="50" t="s">
        <v>1729</v>
      </c>
      <c r="G2741" s="50" t="s">
        <v>427</v>
      </c>
      <c r="H2741" s="50">
        <v>4000</v>
      </c>
      <c r="M2741" t="str">
        <f>IF(COUNTIF($A:$A,E2741)=0,"Not Exists","Exists")</f>
        <v>Exists</v>
      </c>
      <c r="N2741" t="str">
        <f t="shared" si="136"/>
        <v>Exists</v>
      </c>
      <c r="O2741" t="str">
        <f t="shared" si="133"/>
        <v>Not Exists</v>
      </c>
      <c r="P2741" t="str">
        <f t="shared" si="134"/>
        <v>Not Exists</v>
      </c>
    </row>
    <row r="2742" spans="1:16">
      <c r="A2742">
        <v>1</v>
      </c>
      <c r="B2742">
        <v>1</v>
      </c>
      <c r="C2742">
        <v>1</v>
      </c>
      <c r="D2742">
        <v>1</v>
      </c>
      <c r="E2742" s="50" t="s">
        <v>1717</v>
      </c>
      <c r="F2742" s="50" t="s">
        <v>1730</v>
      </c>
      <c r="G2742" s="50" t="s">
        <v>256</v>
      </c>
      <c r="H2742" s="50">
        <v>3000</v>
      </c>
      <c r="M2742" t="str">
        <f>IF(COUNTIF($A:$A,E2742)=0,"Not Exists","Exists")</f>
        <v>Exists</v>
      </c>
      <c r="N2742" t="str">
        <f t="shared" si="136"/>
        <v>Exists</v>
      </c>
      <c r="O2742" t="str">
        <f t="shared" si="133"/>
        <v>Not Exists</v>
      </c>
      <c r="P2742" t="str">
        <f t="shared" si="134"/>
        <v>Not Exists</v>
      </c>
    </row>
    <row r="2743" spans="1:16">
      <c r="A2743">
        <v>1</v>
      </c>
      <c r="B2743">
        <v>1</v>
      </c>
      <c r="C2743">
        <v>1</v>
      </c>
      <c r="D2743">
        <v>1</v>
      </c>
      <c r="E2743" s="50" t="s">
        <v>1717</v>
      </c>
      <c r="F2743" s="50" t="s">
        <v>1731</v>
      </c>
      <c r="G2743" s="50" t="s">
        <v>256</v>
      </c>
      <c r="H2743" s="50">
        <v>50</v>
      </c>
      <c r="M2743" t="str">
        <f>IF(COUNTIF($A:$A,E2743)=0,"Not Exists","Exists")</f>
        <v>Exists</v>
      </c>
      <c r="N2743" t="str">
        <f t="shared" si="136"/>
        <v>Exists</v>
      </c>
      <c r="O2743" t="str">
        <f t="shared" si="133"/>
        <v>Not Exists</v>
      </c>
      <c r="P2743" t="str">
        <f t="shared" si="134"/>
        <v>Not Exists</v>
      </c>
    </row>
    <row r="2744" spans="1:16">
      <c r="A2744">
        <v>1</v>
      </c>
      <c r="B2744">
        <v>1</v>
      </c>
      <c r="C2744">
        <v>1</v>
      </c>
      <c r="D2744">
        <v>1</v>
      </c>
      <c r="E2744" s="50" t="s">
        <v>1717</v>
      </c>
      <c r="F2744" s="50" t="s">
        <v>1720</v>
      </c>
      <c r="G2744" s="50" t="s">
        <v>251</v>
      </c>
      <c r="H2744" s="50">
        <v>17</v>
      </c>
      <c r="M2744" t="str">
        <f>IF(COUNTIF($A:$A,E2744)=0,"Not Exists","Exists")</f>
        <v>Exists</v>
      </c>
      <c r="N2744" t="str">
        <f t="shared" si="136"/>
        <v>Exists</v>
      </c>
      <c r="O2744" t="str">
        <f t="shared" si="133"/>
        <v>Not Exists</v>
      </c>
      <c r="P2744" t="str">
        <f t="shared" si="134"/>
        <v>Not Exists</v>
      </c>
    </row>
    <row r="2745" spans="1:16">
      <c r="A2745">
        <v>1</v>
      </c>
      <c r="B2745">
        <v>1</v>
      </c>
      <c r="C2745">
        <v>1</v>
      </c>
      <c r="D2745">
        <v>1</v>
      </c>
      <c r="E2745" s="50" t="s">
        <v>1717</v>
      </c>
      <c r="F2745" s="50" t="s">
        <v>1721</v>
      </c>
      <c r="G2745" s="50" t="s">
        <v>256</v>
      </c>
      <c r="H2745" s="50">
        <v>50</v>
      </c>
      <c r="M2745" t="str">
        <f>IF(COUNTIF($A:$A,E2745)=0,"Not Exists","Exists")</f>
        <v>Exists</v>
      </c>
      <c r="N2745" t="str">
        <f t="shared" si="136"/>
        <v>Exists</v>
      </c>
      <c r="O2745" t="str">
        <f t="shared" si="133"/>
        <v>Not Exists</v>
      </c>
      <c r="P2745" t="str">
        <f t="shared" si="134"/>
        <v>Not Exists</v>
      </c>
    </row>
    <row r="2746" spans="1:16">
      <c r="A2746">
        <v>1</v>
      </c>
      <c r="B2746">
        <v>1</v>
      </c>
      <c r="C2746">
        <v>1</v>
      </c>
      <c r="D2746">
        <v>1</v>
      </c>
      <c r="E2746" s="50" t="s">
        <v>1717</v>
      </c>
      <c r="F2746" s="50" t="s">
        <v>1723</v>
      </c>
      <c r="G2746" s="50" t="s">
        <v>251</v>
      </c>
      <c r="H2746" s="50">
        <v>17</v>
      </c>
      <c r="M2746" t="str">
        <f>IF(COUNTIF($A:$A,E2746)=0,"Not Exists","Exists")</f>
        <v>Exists</v>
      </c>
      <c r="N2746" t="str">
        <f t="shared" si="136"/>
        <v>Exists</v>
      </c>
      <c r="O2746" t="str">
        <f t="shared" si="133"/>
        <v>Not Exists</v>
      </c>
      <c r="P2746" t="str">
        <f t="shared" si="134"/>
        <v>Not Exists</v>
      </c>
    </row>
    <row r="2747" spans="1:16">
      <c r="A2747">
        <v>1</v>
      </c>
      <c r="B2747">
        <v>1</v>
      </c>
      <c r="C2747">
        <v>1</v>
      </c>
      <c r="D2747">
        <v>1</v>
      </c>
      <c r="E2747" s="50" t="s">
        <v>1717</v>
      </c>
      <c r="F2747" s="50" t="s">
        <v>1724</v>
      </c>
      <c r="G2747" s="50" t="s">
        <v>256</v>
      </c>
      <c r="H2747" s="50">
        <v>50</v>
      </c>
      <c r="M2747" t="str">
        <f>IF(COUNTIF($A:$A,E2747)=0,"Not Exists","Exists")</f>
        <v>Exists</v>
      </c>
      <c r="N2747" t="str">
        <f t="shared" si="136"/>
        <v>Exists</v>
      </c>
      <c r="O2747" t="str">
        <f t="shared" si="133"/>
        <v>Not Exists</v>
      </c>
      <c r="P2747" t="str">
        <f t="shared" si="134"/>
        <v>Not Exists</v>
      </c>
    </row>
    <row r="2748" spans="1:16">
      <c r="A2748">
        <v>1</v>
      </c>
      <c r="B2748">
        <v>1</v>
      </c>
      <c r="C2748">
        <v>1</v>
      </c>
      <c r="D2748">
        <v>1</v>
      </c>
      <c r="E2748" s="50" t="s">
        <v>1732</v>
      </c>
      <c r="F2748" s="50" t="s">
        <v>1733</v>
      </c>
      <c r="G2748" s="50" t="s">
        <v>256</v>
      </c>
      <c r="H2748" s="50">
        <v>50</v>
      </c>
      <c r="M2748" t="str">
        <f>IF(COUNTIF($A:$A,E2748)=0,"Not Exists","Exists")</f>
        <v>Exists</v>
      </c>
      <c r="N2748" t="str">
        <f t="shared" si="136"/>
        <v>Exists</v>
      </c>
      <c r="O2748" t="str">
        <f t="shared" si="133"/>
        <v>Not Exists</v>
      </c>
      <c r="P2748" t="str">
        <f t="shared" si="134"/>
        <v>Not Exists</v>
      </c>
    </row>
    <row r="2749" spans="1:16">
      <c r="A2749">
        <v>1</v>
      </c>
      <c r="B2749">
        <v>1</v>
      </c>
      <c r="C2749">
        <v>1</v>
      </c>
      <c r="D2749">
        <v>1</v>
      </c>
      <c r="E2749" s="50" t="s">
        <v>1732</v>
      </c>
      <c r="F2749" s="50" t="s">
        <v>1740</v>
      </c>
      <c r="G2749" s="50" t="s">
        <v>254</v>
      </c>
      <c r="H2749" s="50">
        <v>22</v>
      </c>
      <c r="M2749" t="str">
        <f>IF(COUNTIF($A:$A,E2749)=0,"Not Exists","Exists")</f>
        <v>Exists</v>
      </c>
      <c r="N2749" t="str">
        <f t="shared" si="136"/>
        <v>Exists</v>
      </c>
      <c r="O2749" t="str">
        <f t="shared" si="133"/>
        <v>Not Exists</v>
      </c>
      <c r="P2749" t="str">
        <f t="shared" si="134"/>
        <v>Not Exists</v>
      </c>
    </row>
    <row r="2750" spans="1:16">
      <c r="A2750">
        <v>1</v>
      </c>
      <c r="B2750">
        <v>1</v>
      </c>
      <c r="C2750">
        <v>1</v>
      </c>
      <c r="D2750">
        <v>1</v>
      </c>
      <c r="E2750" s="50" t="s">
        <v>1732</v>
      </c>
      <c r="F2750" s="50" t="s">
        <v>1741</v>
      </c>
      <c r="G2750" s="50" t="s">
        <v>256</v>
      </c>
      <c r="H2750" s="50">
        <v>3000</v>
      </c>
      <c r="M2750" t="str">
        <f>IF(COUNTIF($A:$A,E2750)=0,"Not Exists","Exists")</f>
        <v>Exists</v>
      </c>
      <c r="N2750" t="str">
        <f t="shared" si="136"/>
        <v>Exists</v>
      </c>
      <c r="O2750" t="str">
        <f t="shared" si="133"/>
        <v>Not Exists</v>
      </c>
      <c r="P2750" t="str">
        <f t="shared" si="134"/>
        <v>Not Exists</v>
      </c>
    </row>
    <row r="2751" spans="1:16">
      <c r="A2751">
        <v>1</v>
      </c>
      <c r="B2751">
        <v>1</v>
      </c>
      <c r="C2751">
        <v>1</v>
      </c>
      <c r="D2751">
        <v>1</v>
      </c>
      <c r="E2751" s="50" t="s">
        <v>1732</v>
      </c>
      <c r="F2751" s="50" t="s">
        <v>1742</v>
      </c>
      <c r="G2751" s="50" t="s">
        <v>256</v>
      </c>
      <c r="H2751" s="50">
        <v>3000</v>
      </c>
      <c r="M2751" t="str">
        <f>IF(COUNTIF($A:$A,E2751)=0,"Not Exists","Exists")</f>
        <v>Exists</v>
      </c>
      <c r="N2751" t="str">
        <f t="shared" si="136"/>
        <v>Exists</v>
      </c>
      <c r="O2751" t="str">
        <f t="shared" si="133"/>
        <v>Not Exists</v>
      </c>
      <c r="P2751" t="str">
        <f t="shared" si="134"/>
        <v>Not Exists</v>
      </c>
    </row>
    <row r="2752" spans="1:16">
      <c r="A2752">
        <v>1</v>
      </c>
      <c r="B2752">
        <v>1</v>
      </c>
      <c r="C2752">
        <v>1</v>
      </c>
      <c r="D2752">
        <v>1</v>
      </c>
      <c r="E2752" s="50" t="s">
        <v>1732</v>
      </c>
      <c r="F2752" s="50" t="s">
        <v>1743</v>
      </c>
      <c r="G2752" s="50" t="s">
        <v>256</v>
      </c>
      <c r="H2752" s="50">
        <v>50</v>
      </c>
      <c r="M2752" t="str">
        <f>IF(COUNTIF($A:$A,E2752)=0,"Not Exists","Exists")</f>
        <v>Exists</v>
      </c>
      <c r="N2752" t="str">
        <f t="shared" si="136"/>
        <v>Exists</v>
      </c>
      <c r="O2752" t="str">
        <f t="shared" si="133"/>
        <v>Not Exists</v>
      </c>
      <c r="P2752" t="str">
        <f t="shared" si="134"/>
        <v>Not Exists</v>
      </c>
    </row>
    <row r="2753" spans="1:16">
      <c r="A2753">
        <v>1</v>
      </c>
      <c r="B2753">
        <v>1</v>
      </c>
      <c r="C2753">
        <v>1</v>
      </c>
      <c r="D2753">
        <v>1</v>
      </c>
      <c r="E2753" s="50" t="s">
        <v>1732</v>
      </c>
      <c r="F2753" s="50" t="s">
        <v>1735</v>
      </c>
      <c r="G2753" s="50" t="s">
        <v>251</v>
      </c>
      <c r="H2753" s="50">
        <v>17</v>
      </c>
      <c r="M2753" t="str">
        <f>IF(COUNTIF($A:$A,E2753)=0,"Not Exists","Exists")</f>
        <v>Exists</v>
      </c>
      <c r="N2753" t="str">
        <f t="shared" si="136"/>
        <v>Exists</v>
      </c>
      <c r="O2753" t="str">
        <f t="shared" si="133"/>
        <v>Not Exists</v>
      </c>
      <c r="P2753" t="str">
        <f t="shared" si="134"/>
        <v>Not Exists</v>
      </c>
    </row>
    <row r="2754" spans="1:16">
      <c r="A2754">
        <v>1</v>
      </c>
      <c r="B2754">
        <v>1</v>
      </c>
      <c r="C2754">
        <v>1</v>
      </c>
      <c r="D2754">
        <v>1</v>
      </c>
      <c r="E2754" s="50" t="s">
        <v>1732</v>
      </c>
      <c r="F2754" s="50" t="s">
        <v>1736</v>
      </c>
      <c r="G2754" s="50" t="s">
        <v>256</v>
      </c>
      <c r="H2754" s="50">
        <v>50</v>
      </c>
      <c r="M2754" t="str">
        <f>IF(COUNTIF($A:$A,E2754)=0,"Not Exists","Exists")</f>
        <v>Exists</v>
      </c>
      <c r="N2754" t="str">
        <f t="shared" si="136"/>
        <v>Exists</v>
      </c>
      <c r="O2754" t="str">
        <f t="shared" si="133"/>
        <v>Not Exists</v>
      </c>
      <c r="P2754" t="str">
        <f t="shared" si="134"/>
        <v>Not Exists</v>
      </c>
    </row>
    <row r="2755" spans="1:16">
      <c r="A2755">
        <v>1</v>
      </c>
      <c r="B2755">
        <v>1</v>
      </c>
      <c r="C2755">
        <v>1</v>
      </c>
      <c r="D2755">
        <v>1</v>
      </c>
      <c r="E2755" s="50" t="s">
        <v>1732</v>
      </c>
      <c r="F2755" s="50" t="s">
        <v>1737</v>
      </c>
      <c r="G2755" s="50" t="s">
        <v>251</v>
      </c>
      <c r="H2755" s="50">
        <v>17</v>
      </c>
      <c r="M2755" t="str">
        <f>IF(COUNTIF($A:$A,E2755)=0,"Not Exists","Exists")</f>
        <v>Exists</v>
      </c>
      <c r="N2755" t="str">
        <f t="shared" si="136"/>
        <v>Exists</v>
      </c>
      <c r="O2755" t="str">
        <f t="shared" si="133"/>
        <v>Not Exists</v>
      </c>
      <c r="P2755" t="str">
        <f t="shared" si="134"/>
        <v>Not Exists</v>
      </c>
    </row>
    <row r="2756" spans="1:16">
      <c r="A2756">
        <v>1</v>
      </c>
      <c r="B2756">
        <v>1</v>
      </c>
      <c r="C2756">
        <v>1</v>
      </c>
      <c r="D2756">
        <v>1</v>
      </c>
      <c r="E2756" s="50" t="s">
        <v>1732</v>
      </c>
      <c r="F2756" s="50" t="s">
        <v>1739</v>
      </c>
      <c r="G2756" s="50" t="s">
        <v>256</v>
      </c>
      <c r="H2756" s="50">
        <v>50</v>
      </c>
      <c r="M2756" t="str">
        <f>IF(COUNTIF($A:$A,E2756)=0,"Not Exists","Exists")</f>
        <v>Exists</v>
      </c>
      <c r="N2756" t="str">
        <f t="shared" si="136"/>
        <v>Exists</v>
      </c>
      <c r="O2756" t="str">
        <f t="shared" ref="O2756:O2819" si="137">IF(COUNTIF($E:$E,A2756)=0,"Not Exists","Exists")</f>
        <v>Not Exists</v>
      </c>
      <c r="P2756" t="str">
        <f t="shared" ref="P2756:P2819" si="138">IF(COUNTIF($F:$F,B2756)=0,"Not Exists","Exists")</f>
        <v>Not Exists</v>
      </c>
    </row>
    <row r="2757" spans="1:16">
      <c r="A2757">
        <v>1</v>
      </c>
      <c r="B2757">
        <v>1</v>
      </c>
      <c r="C2757">
        <v>1</v>
      </c>
      <c r="D2757">
        <v>1</v>
      </c>
      <c r="E2757" s="50" t="s">
        <v>1745</v>
      </c>
      <c r="F2757" s="50" t="s">
        <v>1746</v>
      </c>
      <c r="G2757" s="50" t="s">
        <v>256</v>
      </c>
      <c r="H2757" s="50">
        <v>50</v>
      </c>
      <c r="M2757" t="str">
        <f>IF(COUNTIF($A:$A,E2757)=0,"Not Exists","Exists")</f>
        <v>Exists</v>
      </c>
      <c r="N2757" t="str">
        <f t="shared" si="136"/>
        <v>Exists</v>
      </c>
      <c r="O2757" t="str">
        <f t="shared" si="137"/>
        <v>Not Exists</v>
      </c>
      <c r="P2757" t="str">
        <f t="shared" si="138"/>
        <v>Not Exists</v>
      </c>
    </row>
    <row r="2758" spans="1:16">
      <c r="A2758">
        <v>1</v>
      </c>
      <c r="B2758">
        <v>1</v>
      </c>
      <c r="C2758">
        <v>1</v>
      </c>
      <c r="D2758">
        <v>1</v>
      </c>
      <c r="E2758" s="50" t="s">
        <v>1745</v>
      </c>
      <c r="F2758" s="50" t="s">
        <v>1752</v>
      </c>
      <c r="G2758" s="50" t="s">
        <v>256</v>
      </c>
      <c r="H2758" s="50">
        <v>450</v>
      </c>
      <c r="M2758" t="str">
        <f>IF(COUNTIF($A:$A,E2758)=0,"Not Exists","Exists")</f>
        <v>Exists</v>
      </c>
      <c r="N2758" t="str">
        <f t="shared" si="136"/>
        <v>Exists</v>
      </c>
      <c r="O2758" t="str">
        <f t="shared" si="137"/>
        <v>Not Exists</v>
      </c>
      <c r="P2758" t="str">
        <f t="shared" si="138"/>
        <v>Not Exists</v>
      </c>
    </row>
    <row r="2759" spans="1:16">
      <c r="A2759">
        <v>1</v>
      </c>
      <c r="B2759">
        <v>1</v>
      </c>
      <c r="C2759">
        <v>1</v>
      </c>
      <c r="D2759">
        <v>1</v>
      </c>
      <c r="E2759" s="50" t="s">
        <v>1745</v>
      </c>
      <c r="F2759" s="50" t="s">
        <v>1753</v>
      </c>
      <c r="G2759" s="50" t="s">
        <v>256</v>
      </c>
      <c r="H2759" s="50">
        <v>3000</v>
      </c>
      <c r="M2759" t="str">
        <f>IF(COUNTIF($A:$A,E2759)=0,"Not Exists","Exists")</f>
        <v>Exists</v>
      </c>
      <c r="N2759" t="str">
        <f t="shared" si="136"/>
        <v>Exists</v>
      </c>
      <c r="O2759" t="str">
        <f t="shared" si="137"/>
        <v>Not Exists</v>
      </c>
      <c r="P2759" t="str">
        <f t="shared" si="138"/>
        <v>Not Exists</v>
      </c>
    </row>
    <row r="2760" spans="1:16">
      <c r="A2760">
        <v>1</v>
      </c>
      <c r="B2760">
        <v>1</v>
      </c>
      <c r="C2760">
        <v>1</v>
      </c>
      <c r="D2760">
        <v>1</v>
      </c>
      <c r="E2760" s="50" t="s">
        <v>1745</v>
      </c>
      <c r="F2760" s="50" t="s">
        <v>1755</v>
      </c>
      <c r="G2760" s="50" t="s">
        <v>256</v>
      </c>
      <c r="H2760" s="50">
        <v>3000</v>
      </c>
      <c r="M2760" t="str">
        <f>IF(COUNTIF($A:$A,E2760)=0,"Not Exists","Exists")</f>
        <v>Exists</v>
      </c>
      <c r="N2760" t="str">
        <f t="shared" si="136"/>
        <v>Exists</v>
      </c>
      <c r="O2760" t="str">
        <f t="shared" si="137"/>
        <v>Not Exists</v>
      </c>
      <c r="P2760" t="str">
        <f t="shared" si="138"/>
        <v>Not Exists</v>
      </c>
    </row>
    <row r="2761" spans="1:16">
      <c r="A2761">
        <v>1</v>
      </c>
      <c r="B2761">
        <v>1</v>
      </c>
      <c r="C2761">
        <v>1</v>
      </c>
      <c r="D2761">
        <v>1</v>
      </c>
      <c r="E2761" s="50" t="s">
        <v>1745</v>
      </c>
      <c r="F2761" s="50" t="s">
        <v>1748</v>
      </c>
      <c r="G2761" s="50" t="s">
        <v>251</v>
      </c>
      <c r="H2761" s="50">
        <v>17</v>
      </c>
      <c r="M2761" t="str">
        <f>IF(COUNTIF($A:$A,E2761)=0,"Not Exists","Exists")</f>
        <v>Exists</v>
      </c>
      <c r="N2761" t="str">
        <f t="shared" si="136"/>
        <v>Exists</v>
      </c>
      <c r="O2761" t="str">
        <f t="shared" si="137"/>
        <v>Not Exists</v>
      </c>
      <c r="P2761" t="str">
        <f t="shared" si="138"/>
        <v>Not Exists</v>
      </c>
    </row>
    <row r="2762" spans="1:16">
      <c r="A2762">
        <v>1</v>
      </c>
      <c r="B2762">
        <v>1</v>
      </c>
      <c r="C2762">
        <v>1</v>
      </c>
      <c r="D2762">
        <v>1</v>
      </c>
      <c r="E2762" s="50" t="s">
        <v>1745</v>
      </c>
      <c r="F2762" s="50" t="s">
        <v>1749</v>
      </c>
      <c r="G2762" s="50" t="s">
        <v>256</v>
      </c>
      <c r="H2762" s="50">
        <v>50</v>
      </c>
      <c r="M2762" t="str">
        <f>IF(COUNTIF($A:$A,E2762)=0,"Not Exists","Exists")</f>
        <v>Exists</v>
      </c>
      <c r="N2762" t="str">
        <f t="shared" si="136"/>
        <v>Exists</v>
      </c>
      <c r="O2762" t="str">
        <f t="shared" si="137"/>
        <v>Not Exists</v>
      </c>
      <c r="P2762" t="str">
        <f t="shared" si="138"/>
        <v>Not Exists</v>
      </c>
    </row>
    <row r="2763" spans="1:16">
      <c r="A2763">
        <v>1</v>
      </c>
      <c r="B2763">
        <v>1</v>
      </c>
      <c r="C2763">
        <v>1</v>
      </c>
      <c r="D2763">
        <v>1</v>
      </c>
      <c r="E2763" s="50" t="s">
        <v>1745</v>
      </c>
      <c r="F2763" s="50" t="s">
        <v>1750</v>
      </c>
      <c r="G2763" s="50" t="s">
        <v>251</v>
      </c>
      <c r="H2763" s="50">
        <v>17</v>
      </c>
      <c r="M2763" t="str">
        <f>IF(COUNTIF($A:$A,E2763)=0,"Not Exists","Exists")</f>
        <v>Exists</v>
      </c>
      <c r="N2763" t="str">
        <f t="shared" si="136"/>
        <v>Exists</v>
      </c>
      <c r="O2763" t="str">
        <f t="shared" si="137"/>
        <v>Not Exists</v>
      </c>
      <c r="P2763" t="str">
        <f t="shared" si="138"/>
        <v>Not Exists</v>
      </c>
    </row>
    <row r="2764" spans="1:16">
      <c r="A2764">
        <v>1</v>
      </c>
      <c r="B2764">
        <v>1</v>
      </c>
      <c r="C2764">
        <v>1</v>
      </c>
      <c r="D2764">
        <v>1</v>
      </c>
      <c r="E2764" s="50" t="s">
        <v>1745</v>
      </c>
      <c r="F2764" s="50" t="s">
        <v>1751</v>
      </c>
      <c r="G2764" s="50" t="s">
        <v>256</v>
      </c>
      <c r="H2764" s="50">
        <v>50</v>
      </c>
      <c r="M2764" t="str">
        <f>IF(COUNTIF($A:$A,E2764)=0,"Not Exists","Exists")</f>
        <v>Exists</v>
      </c>
      <c r="N2764" t="str">
        <f t="shared" si="136"/>
        <v>Exists</v>
      </c>
      <c r="O2764" t="str">
        <f t="shared" si="137"/>
        <v>Not Exists</v>
      </c>
      <c r="P2764" t="str">
        <f t="shared" si="138"/>
        <v>Not Exists</v>
      </c>
    </row>
    <row r="2765" spans="1:16">
      <c r="A2765">
        <v>1</v>
      </c>
      <c r="B2765">
        <v>1</v>
      </c>
      <c r="C2765">
        <v>1</v>
      </c>
      <c r="D2765">
        <v>1</v>
      </c>
      <c r="E2765" s="50" t="s">
        <v>1745</v>
      </c>
      <c r="F2765" s="50" t="s">
        <v>1756</v>
      </c>
      <c r="G2765" s="50" t="s">
        <v>256</v>
      </c>
      <c r="H2765" s="50">
        <v>50</v>
      </c>
      <c r="M2765" t="str">
        <f>IF(COUNTIF($A:$A,E2765)=0,"Not Exists","Exists")</f>
        <v>Exists</v>
      </c>
      <c r="N2765" t="str">
        <f t="shared" si="136"/>
        <v>Exists</v>
      </c>
      <c r="O2765" t="str">
        <f t="shared" si="137"/>
        <v>Not Exists</v>
      </c>
      <c r="P2765" t="str">
        <f t="shared" si="138"/>
        <v>Not Exists</v>
      </c>
    </row>
    <row r="2766" spans="1:16">
      <c r="A2766">
        <v>1</v>
      </c>
      <c r="B2766">
        <v>1</v>
      </c>
      <c r="C2766">
        <v>1</v>
      </c>
      <c r="D2766">
        <v>1</v>
      </c>
      <c r="E2766" s="50" t="s">
        <v>1757</v>
      </c>
      <c r="F2766" s="50" t="s">
        <v>1758</v>
      </c>
      <c r="G2766" s="50" t="s">
        <v>256</v>
      </c>
      <c r="H2766" s="50">
        <v>50</v>
      </c>
      <c r="M2766" t="str">
        <f>IF(COUNTIF($A:$A,E2766)=0,"Not Exists","Exists")</f>
        <v>Exists</v>
      </c>
      <c r="N2766" t="str">
        <f t="shared" si="136"/>
        <v>Exists</v>
      </c>
      <c r="O2766" t="str">
        <f t="shared" si="137"/>
        <v>Not Exists</v>
      </c>
      <c r="P2766" t="str">
        <f t="shared" si="138"/>
        <v>Not Exists</v>
      </c>
    </row>
    <row r="2767" spans="1:16">
      <c r="A2767">
        <v>1</v>
      </c>
      <c r="B2767">
        <v>1</v>
      </c>
      <c r="C2767">
        <v>1</v>
      </c>
      <c r="D2767">
        <v>1</v>
      </c>
      <c r="E2767" s="50" t="s">
        <v>1757</v>
      </c>
      <c r="F2767" s="50" t="s">
        <v>1764</v>
      </c>
      <c r="G2767" s="50" t="s">
        <v>256</v>
      </c>
      <c r="H2767" s="50">
        <v>450</v>
      </c>
      <c r="M2767" t="str">
        <f>IF(COUNTIF($A:$A,E2767)=0,"Not Exists","Exists")</f>
        <v>Exists</v>
      </c>
      <c r="N2767" t="str">
        <f t="shared" si="136"/>
        <v>Exists</v>
      </c>
      <c r="O2767" t="str">
        <f t="shared" si="137"/>
        <v>Not Exists</v>
      </c>
      <c r="P2767" t="str">
        <f t="shared" si="138"/>
        <v>Not Exists</v>
      </c>
    </row>
    <row r="2768" spans="1:16">
      <c r="A2768">
        <v>1</v>
      </c>
      <c r="B2768">
        <v>1</v>
      </c>
      <c r="C2768">
        <v>1</v>
      </c>
      <c r="D2768">
        <v>1</v>
      </c>
      <c r="E2768" s="50" t="s">
        <v>1757</v>
      </c>
      <c r="F2768" s="50" t="s">
        <v>1765</v>
      </c>
      <c r="G2768" s="50" t="s">
        <v>256</v>
      </c>
      <c r="H2768" s="50">
        <v>3000</v>
      </c>
      <c r="M2768" t="str">
        <f>IF(COUNTIF($A:$A,E2768)=0,"Not Exists","Exists")</f>
        <v>Exists</v>
      </c>
      <c r="N2768" t="str">
        <f t="shared" si="136"/>
        <v>Exists</v>
      </c>
      <c r="O2768" t="str">
        <f t="shared" si="137"/>
        <v>Not Exists</v>
      </c>
      <c r="P2768" t="str">
        <f t="shared" si="138"/>
        <v>Not Exists</v>
      </c>
    </row>
    <row r="2769" spans="1:16">
      <c r="A2769">
        <v>1</v>
      </c>
      <c r="B2769">
        <v>1</v>
      </c>
      <c r="C2769">
        <v>1</v>
      </c>
      <c r="D2769">
        <v>1</v>
      </c>
      <c r="E2769" s="50" t="s">
        <v>1757</v>
      </c>
      <c r="F2769" s="50" t="s">
        <v>1766</v>
      </c>
      <c r="G2769" s="50" t="s">
        <v>256</v>
      </c>
      <c r="H2769" s="50">
        <v>50</v>
      </c>
      <c r="M2769" t="str">
        <f>IF(COUNTIF($A:$A,E2769)=0,"Not Exists","Exists")</f>
        <v>Exists</v>
      </c>
      <c r="N2769" t="str">
        <f t="shared" si="136"/>
        <v>Exists</v>
      </c>
      <c r="O2769" t="str">
        <f t="shared" si="137"/>
        <v>Not Exists</v>
      </c>
      <c r="P2769" t="str">
        <f t="shared" si="138"/>
        <v>Not Exists</v>
      </c>
    </row>
    <row r="2770" spans="1:16">
      <c r="A2770">
        <v>1</v>
      </c>
      <c r="B2770">
        <v>1</v>
      </c>
      <c r="C2770">
        <v>1</v>
      </c>
      <c r="D2770">
        <v>1</v>
      </c>
      <c r="E2770" s="50" t="s">
        <v>1757</v>
      </c>
      <c r="F2770" s="50" t="s">
        <v>1767</v>
      </c>
      <c r="G2770" s="50" t="s">
        <v>256</v>
      </c>
      <c r="H2770" s="50">
        <v>50</v>
      </c>
      <c r="M2770" t="str">
        <f>IF(COUNTIF($A:$A,E2770)=0,"Not Exists","Exists")</f>
        <v>Exists</v>
      </c>
      <c r="N2770" t="str">
        <f t="shared" si="136"/>
        <v>Exists</v>
      </c>
      <c r="O2770" t="str">
        <f t="shared" si="137"/>
        <v>Not Exists</v>
      </c>
      <c r="P2770" t="str">
        <f t="shared" si="138"/>
        <v>Not Exists</v>
      </c>
    </row>
    <row r="2771" spans="1:16">
      <c r="A2771">
        <v>1</v>
      </c>
      <c r="B2771">
        <v>1</v>
      </c>
      <c r="C2771">
        <v>1</v>
      </c>
      <c r="D2771">
        <v>1</v>
      </c>
      <c r="E2771" s="50" t="s">
        <v>1757</v>
      </c>
      <c r="F2771" s="50" t="s">
        <v>1768</v>
      </c>
      <c r="G2771" s="50" t="s">
        <v>256</v>
      </c>
      <c r="H2771" s="50">
        <v>450</v>
      </c>
      <c r="M2771" t="str">
        <f>IF(COUNTIF($A:$A,E2771)=0,"Not Exists","Exists")</f>
        <v>Exists</v>
      </c>
      <c r="N2771" t="str">
        <f t="shared" si="136"/>
        <v>Exists</v>
      </c>
      <c r="O2771" t="str">
        <f t="shared" si="137"/>
        <v>Not Exists</v>
      </c>
      <c r="P2771" t="str">
        <f t="shared" si="138"/>
        <v>Not Exists</v>
      </c>
    </row>
    <row r="2772" spans="1:16">
      <c r="A2772">
        <v>1</v>
      </c>
      <c r="B2772">
        <v>1</v>
      </c>
      <c r="C2772">
        <v>1</v>
      </c>
      <c r="D2772">
        <v>1</v>
      </c>
      <c r="E2772" s="50" t="s">
        <v>1757</v>
      </c>
      <c r="F2772" s="50" t="s">
        <v>1769</v>
      </c>
      <c r="G2772" s="50" t="s">
        <v>256</v>
      </c>
      <c r="H2772" s="50">
        <v>450</v>
      </c>
      <c r="M2772" t="str">
        <f>IF(COUNTIF($A:$A,E2772)=0,"Not Exists","Exists")</f>
        <v>Exists</v>
      </c>
      <c r="N2772" t="str">
        <f t="shared" si="136"/>
        <v>Exists</v>
      </c>
      <c r="O2772" t="str">
        <f t="shared" si="137"/>
        <v>Not Exists</v>
      </c>
      <c r="P2772" t="str">
        <f t="shared" si="138"/>
        <v>Not Exists</v>
      </c>
    </row>
    <row r="2773" spans="1:16">
      <c r="A2773">
        <v>1</v>
      </c>
      <c r="B2773">
        <v>1</v>
      </c>
      <c r="C2773">
        <v>1</v>
      </c>
      <c r="D2773">
        <v>1</v>
      </c>
      <c r="E2773" s="50" t="s">
        <v>1757</v>
      </c>
      <c r="F2773" s="50" t="s">
        <v>1771</v>
      </c>
      <c r="G2773" s="50" t="s">
        <v>256</v>
      </c>
      <c r="H2773" s="50">
        <v>450</v>
      </c>
      <c r="M2773" t="str">
        <f>IF(COUNTIF($A:$A,E2773)=0,"Not Exists","Exists")</f>
        <v>Exists</v>
      </c>
      <c r="N2773" t="str">
        <f t="shared" si="136"/>
        <v>Exists</v>
      </c>
      <c r="O2773" t="str">
        <f t="shared" si="137"/>
        <v>Not Exists</v>
      </c>
      <c r="P2773" t="str">
        <f t="shared" si="138"/>
        <v>Not Exists</v>
      </c>
    </row>
    <row r="2774" spans="1:16">
      <c r="A2774">
        <v>1</v>
      </c>
      <c r="B2774">
        <v>1</v>
      </c>
      <c r="C2774">
        <v>1</v>
      </c>
      <c r="D2774">
        <v>1</v>
      </c>
      <c r="E2774" s="50" t="s">
        <v>1757</v>
      </c>
      <c r="F2774" s="50" t="s">
        <v>1772</v>
      </c>
      <c r="G2774" s="50" t="s">
        <v>256</v>
      </c>
      <c r="H2774" s="50">
        <v>450</v>
      </c>
      <c r="M2774" t="str">
        <f>IF(COUNTIF($A:$A,E2774)=0,"Not Exists","Exists")</f>
        <v>Exists</v>
      </c>
      <c r="N2774" t="str">
        <f t="shared" si="136"/>
        <v>Exists</v>
      </c>
      <c r="O2774" t="str">
        <f t="shared" si="137"/>
        <v>Not Exists</v>
      </c>
      <c r="P2774" t="str">
        <f t="shared" si="138"/>
        <v>Not Exists</v>
      </c>
    </row>
    <row r="2775" spans="1:16">
      <c r="A2775">
        <v>1</v>
      </c>
      <c r="B2775">
        <v>1</v>
      </c>
      <c r="C2775">
        <v>1</v>
      </c>
      <c r="D2775">
        <v>1</v>
      </c>
      <c r="E2775" s="50" t="s">
        <v>1757</v>
      </c>
      <c r="F2775" s="50" t="s">
        <v>1773</v>
      </c>
      <c r="G2775" s="50" t="s">
        <v>256</v>
      </c>
      <c r="H2775" s="50">
        <v>450</v>
      </c>
      <c r="M2775" t="str">
        <f>IF(COUNTIF($A:$A,E2775)=0,"Not Exists","Exists")</f>
        <v>Exists</v>
      </c>
      <c r="N2775" t="str">
        <f t="shared" si="136"/>
        <v>Exists</v>
      </c>
      <c r="O2775" t="str">
        <f t="shared" si="137"/>
        <v>Not Exists</v>
      </c>
      <c r="P2775" t="str">
        <f t="shared" si="138"/>
        <v>Not Exists</v>
      </c>
    </row>
    <row r="2776" spans="1:16">
      <c r="A2776">
        <v>1</v>
      </c>
      <c r="B2776">
        <v>1</v>
      </c>
      <c r="C2776">
        <v>1</v>
      </c>
      <c r="D2776">
        <v>1</v>
      </c>
      <c r="E2776" s="50" t="s">
        <v>1757</v>
      </c>
      <c r="F2776" s="50" t="s">
        <v>1774</v>
      </c>
      <c r="G2776" s="50" t="s">
        <v>256</v>
      </c>
      <c r="H2776" s="50">
        <v>450</v>
      </c>
      <c r="M2776" t="str">
        <f>IF(COUNTIF($A:$A,E2776)=0,"Not Exists","Exists")</f>
        <v>Exists</v>
      </c>
      <c r="N2776" t="str">
        <f t="shared" si="136"/>
        <v>Exists</v>
      </c>
      <c r="O2776" t="str">
        <f t="shared" si="137"/>
        <v>Not Exists</v>
      </c>
      <c r="P2776" t="str">
        <f t="shared" si="138"/>
        <v>Not Exists</v>
      </c>
    </row>
    <row r="2777" spans="1:16">
      <c r="A2777">
        <v>1</v>
      </c>
      <c r="B2777">
        <v>1</v>
      </c>
      <c r="C2777">
        <v>1</v>
      </c>
      <c r="D2777">
        <v>1</v>
      </c>
      <c r="E2777" s="50" t="s">
        <v>1757</v>
      </c>
      <c r="F2777" s="50" t="s">
        <v>1775</v>
      </c>
      <c r="G2777" s="50" t="s">
        <v>256</v>
      </c>
      <c r="H2777" s="50">
        <v>450</v>
      </c>
      <c r="M2777" t="str">
        <f>IF(COUNTIF($A:$A,E2777)=0,"Not Exists","Exists")</f>
        <v>Exists</v>
      </c>
      <c r="N2777" t="str">
        <f t="shared" si="136"/>
        <v>Exists</v>
      </c>
      <c r="O2777" t="str">
        <f t="shared" si="137"/>
        <v>Not Exists</v>
      </c>
      <c r="P2777" t="str">
        <f t="shared" si="138"/>
        <v>Not Exists</v>
      </c>
    </row>
    <row r="2778" spans="1:16">
      <c r="A2778">
        <v>1</v>
      </c>
      <c r="B2778">
        <v>1</v>
      </c>
      <c r="C2778">
        <v>1</v>
      </c>
      <c r="D2778">
        <v>1</v>
      </c>
      <c r="E2778" s="50" t="s">
        <v>1757</v>
      </c>
      <c r="F2778" s="50" t="s">
        <v>1776</v>
      </c>
      <c r="G2778" s="50" t="s">
        <v>256</v>
      </c>
      <c r="H2778" s="50">
        <v>450</v>
      </c>
      <c r="M2778" t="str">
        <f>IF(COUNTIF($A:$A,E2778)=0,"Not Exists","Exists")</f>
        <v>Exists</v>
      </c>
      <c r="N2778" t="str">
        <f t="shared" si="136"/>
        <v>Exists</v>
      </c>
      <c r="O2778" t="str">
        <f t="shared" si="137"/>
        <v>Not Exists</v>
      </c>
      <c r="P2778" t="str">
        <f t="shared" si="138"/>
        <v>Not Exists</v>
      </c>
    </row>
    <row r="2779" spans="1:16">
      <c r="A2779">
        <v>1</v>
      </c>
      <c r="B2779">
        <v>1</v>
      </c>
      <c r="C2779">
        <v>1</v>
      </c>
      <c r="D2779">
        <v>1</v>
      </c>
      <c r="E2779" s="50" t="s">
        <v>1757</v>
      </c>
      <c r="F2779" s="50" t="s">
        <v>1777</v>
      </c>
      <c r="G2779" s="50" t="s">
        <v>256</v>
      </c>
      <c r="H2779" s="50">
        <v>450</v>
      </c>
      <c r="M2779" t="str">
        <f>IF(COUNTIF($A:$A,E2779)=0,"Not Exists","Exists")</f>
        <v>Exists</v>
      </c>
      <c r="N2779" t="str">
        <f t="shared" si="136"/>
        <v>Exists</v>
      </c>
      <c r="O2779" t="str">
        <f t="shared" si="137"/>
        <v>Not Exists</v>
      </c>
      <c r="P2779" t="str">
        <f t="shared" si="138"/>
        <v>Not Exists</v>
      </c>
    </row>
    <row r="2780" spans="1:16">
      <c r="A2780">
        <v>1</v>
      </c>
      <c r="B2780">
        <v>1</v>
      </c>
      <c r="C2780">
        <v>1</v>
      </c>
      <c r="D2780">
        <v>1</v>
      </c>
      <c r="E2780" s="50" t="s">
        <v>1757</v>
      </c>
      <c r="F2780" s="50" t="s">
        <v>1760</v>
      </c>
      <c r="G2780" s="50" t="s">
        <v>251</v>
      </c>
      <c r="H2780" s="50">
        <v>17</v>
      </c>
      <c r="M2780" t="str">
        <f>IF(COUNTIF($A:$A,E2780)=0,"Not Exists","Exists")</f>
        <v>Exists</v>
      </c>
      <c r="N2780" t="str">
        <f t="shared" si="136"/>
        <v>Exists</v>
      </c>
      <c r="O2780" t="str">
        <f t="shared" si="137"/>
        <v>Not Exists</v>
      </c>
      <c r="P2780" t="str">
        <f t="shared" si="138"/>
        <v>Not Exists</v>
      </c>
    </row>
    <row r="2781" spans="1:16">
      <c r="A2781">
        <v>1</v>
      </c>
      <c r="B2781">
        <v>1</v>
      </c>
      <c r="C2781">
        <v>1</v>
      </c>
      <c r="D2781">
        <v>1</v>
      </c>
      <c r="E2781" s="50" t="s">
        <v>1757</v>
      </c>
      <c r="F2781" s="50" t="s">
        <v>1761</v>
      </c>
      <c r="G2781" s="50" t="s">
        <v>256</v>
      </c>
      <c r="H2781" s="50">
        <v>50</v>
      </c>
      <c r="M2781" t="str">
        <f>IF(COUNTIF($A:$A,E2781)=0,"Not Exists","Exists")</f>
        <v>Exists</v>
      </c>
      <c r="N2781" t="str">
        <f t="shared" si="136"/>
        <v>Exists</v>
      </c>
      <c r="O2781" t="str">
        <f t="shared" si="137"/>
        <v>Not Exists</v>
      </c>
      <c r="P2781" t="str">
        <f t="shared" si="138"/>
        <v>Not Exists</v>
      </c>
    </row>
    <row r="2782" spans="1:16">
      <c r="A2782">
        <v>1</v>
      </c>
      <c r="B2782">
        <v>1</v>
      </c>
      <c r="C2782">
        <v>1</v>
      </c>
      <c r="D2782">
        <v>1</v>
      </c>
      <c r="E2782" s="50" t="s">
        <v>1757</v>
      </c>
      <c r="F2782" s="50" t="s">
        <v>1762</v>
      </c>
      <c r="G2782" s="50" t="s">
        <v>251</v>
      </c>
      <c r="H2782" s="50">
        <v>17</v>
      </c>
      <c r="M2782" t="str">
        <f>IF(COUNTIF($A:$A,E2782)=0,"Not Exists","Exists")</f>
        <v>Exists</v>
      </c>
      <c r="N2782" t="str">
        <f t="shared" si="136"/>
        <v>Exists</v>
      </c>
      <c r="O2782" t="str">
        <f t="shared" si="137"/>
        <v>Not Exists</v>
      </c>
      <c r="P2782" t="str">
        <f t="shared" si="138"/>
        <v>Not Exists</v>
      </c>
    </row>
    <row r="2783" spans="1:16">
      <c r="A2783">
        <v>1</v>
      </c>
      <c r="B2783">
        <v>1</v>
      </c>
      <c r="C2783">
        <v>1</v>
      </c>
      <c r="D2783">
        <v>1</v>
      </c>
      <c r="E2783" s="50" t="s">
        <v>1757</v>
      </c>
      <c r="F2783" s="50" t="s">
        <v>1763</v>
      </c>
      <c r="G2783" s="50" t="s">
        <v>256</v>
      </c>
      <c r="H2783" s="50">
        <v>50</v>
      </c>
      <c r="M2783" t="str">
        <f>IF(COUNTIF($A:$A,E2783)=0,"Not Exists","Exists")</f>
        <v>Exists</v>
      </c>
      <c r="N2783" t="str">
        <f t="shared" si="136"/>
        <v>Exists</v>
      </c>
      <c r="O2783" t="str">
        <f t="shared" si="137"/>
        <v>Not Exists</v>
      </c>
      <c r="P2783" t="str">
        <f t="shared" si="138"/>
        <v>Not Exists</v>
      </c>
    </row>
    <row r="2784" spans="1:16">
      <c r="A2784">
        <v>1</v>
      </c>
      <c r="B2784">
        <v>1</v>
      </c>
      <c r="C2784">
        <v>1</v>
      </c>
      <c r="D2784">
        <v>1</v>
      </c>
      <c r="E2784" s="50" t="s">
        <v>1778</v>
      </c>
      <c r="F2784" s="50" t="s">
        <v>1779</v>
      </c>
      <c r="G2784" s="50" t="s">
        <v>256</v>
      </c>
      <c r="H2784" s="50">
        <v>50</v>
      </c>
      <c r="M2784" t="str">
        <f>IF(COUNTIF($A:$A,E2784)=0,"Not Exists","Exists")</f>
        <v>Exists</v>
      </c>
      <c r="N2784" t="str">
        <f t="shared" si="136"/>
        <v>Exists</v>
      </c>
      <c r="O2784" t="str">
        <f t="shared" si="137"/>
        <v>Not Exists</v>
      </c>
      <c r="P2784" t="str">
        <f t="shared" si="138"/>
        <v>Not Exists</v>
      </c>
    </row>
    <row r="2785" spans="1:16">
      <c r="A2785">
        <v>1</v>
      </c>
      <c r="B2785">
        <v>1</v>
      </c>
      <c r="C2785">
        <v>1</v>
      </c>
      <c r="D2785">
        <v>1</v>
      </c>
      <c r="E2785" s="50" t="s">
        <v>1778</v>
      </c>
      <c r="F2785" s="50" t="s">
        <v>1785</v>
      </c>
      <c r="G2785" s="50" t="s">
        <v>256</v>
      </c>
      <c r="H2785" s="50">
        <v>50</v>
      </c>
      <c r="M2785" t="str">
        <f>IF(COUNTIF($A:$A,E2785)=0,"Not Exists","Exists")</f>
        <v>Exists</v>
      </c>
      <c r="N2785" t="str">
        <f t="shared" ref="N2785:N2848" si="139">IF(COUNTIF($A:$B,F2785)=0,"Not Exists","Exists")</f>
        <v>Exists</v>
      </c>
      <c r="O2785" t="str">
        <f t="shared" si="137"/>
        <v>Not Exists</v>
      </c>
      <c r="P2785" t="str">
        <f t="shared" si="138"/>
        <v>Not Exists</v>
      </c>
    </row>
    <row r="2786" spans="1:16">
      <c r="A2786">
        <v>1</v>
      </c>
      <c r="B2786">
        <v>1</v>
      </c>
      <c r="C2786">
        <v>1</v>
      </c>
      <c r="D2786">
        <v>1</v>
      </c>
      <c r="E2786" s="50" t="s">
        <v>1778</v>
      </c>
      <c r="F2786" s="50" t="s">
        <v>1787</v>
      </c>
      <c r="G2786" s="50" t="s">
        <v>256</v>
      </c>
      <c r="H2786" s="50">
        <v>50</v>
      </c>
      <c r="M2786" t="str">
        <f>IF(COUNTIF($A:$A,E2786)=0,"Not Exists","Exists")</f>
        <v>Exists</v>
      </c>
      <c r="N2786" t="str">
        <f t="shared" si="139"/>
        <v>Exists</v>
      </c>
      <c r="O2786" t="str">
        <f t="shared" si="137"/>
        <v>Not Exists</v>
      </c>
      <c r="P2786" t="str">
        <f t="shared" si="138"/>
        <v>Not Exists</v>
      </c>
    </row>
    <row r="2787" spans="1:16">
      <c r="A2787">
        <v>1</v>
      </c>
      <c r="B2787">
        <v>1</v>
      </c>
      <c r="C2787">
        <v>1</v>
      </c>
      <c r="D2787">
        <v>1</v>
      </c>
      <c r="E2787" s="50" t="s">
        <v>1778</v>
      </c>
      <c r="F2787" s="50" t="s">
        <v>1788</v>
      </c>
      <c r="G2787" s="50" t="s">
        <v>251</v>
      </c>
      <c r="H2787" s="50">
        <v>1</v>
      </c>
      <c r="M2787" t="str">
        <f>IF(COUNTIF($A:$A,E2787)=0,"Not Exists","Exists")</f>
        <v>Exists</v>
      </c>
      <c r="N2787" t="str">
        <f t="shared" si="139"/>
        <v>Exists</v>
      </c>
      <c r="O2787" t="str">
        <f t="shared" si="137"/>
        <v>Not Exists</v>
      </c>
      <c r="P2787" t="str">
        <f t="shared" si="138"/>
        <v>Not Exists</v>
      </c>
    </row>
    <row r="2788" spans="1:16">
      <c r="A2788">
        <v>1</v>
      </c>
      <c r="B2788">
        <v>1</v>
      </c>
      <c r="C2788">
        <v>1</v>
      </c>
      <c r="D2788">
        <v>1</v>
      </c>
      <c r="E2788" s="50" t="s">
        <v>1778</v>
      </c>
      <c r="F2788" s="50" t="s">
        <v>1789</v>
      </c>
      <c r="G2788" s="50" t="s">
        <v>256</v>
      </c>
      <c r="H2788" s="50">
        <v>3000</v>
      </c>
      <c r="M2788" t="str">
        <f>IF(COUNTIF($A:$A,E2788)=0,"Not Exists","Exists")</f>
        <v>Exists</v>
      </c>
      <c r="N2788" t="str">
        <f t="shared" si="139"/>
        <v>Exists</v>
      </c>
      <c r="O2788" t="str">
        <f t="shared" si="137"/>
        <v>Not Exists</v>
      </c>
      <c r="P2788" t="str">
        <f t="shared" si="138"/>
        <v>Not Exists</v>
      </c>
    </row>
    <row r="2789" spans="1:16">
      <c r="A2789">
        <v>1</v>
      </c>
      <c r="B2789">
        <v>1</v>
      </c>
      <c r="C2789">
        <v>1</v>
      </c>
      <c r="D2789">
        <v>1</v>
      </c>
      <c r="E2789" s="50" t="s">
        <v>1778</v>
      </c>
      <c r="F2789" s="50" t="s">
        <v>1790</v>
      </c>
      <c r="G2789" s="50" t="s">
        <v>256</v>
      </c>
      <c r="H2789" s="50">
        <v>450</v>
      </c>
      <c r="M2789" t="str">
        <f>IF(COUNTIF($A:$A,E2789)=0,"Not Exists","Exists")</f>
        <v>Exists</v>
      </c>
      <c r="N2789" t="str">
        <f t="shared" si="139"/>
        <v>Exists</v>
      </c>
      <c r="O2789" t="str">
        <f t="shared" si="137"/>
        <v>Not Exists</v>
      </c>
      <c r="P2789" t="str">
        <f t="shared" si="138"/>
        <v>Not Exists</v>
      </c>
    </row>
    <row r="2790" spans="1:16">
      <c r="A2790">
        <v>1</v>
      </c>
      <c r="B2790">
        <v>1</v>
      </c>
      <c r="C2790">
        <v>1</v>
      </c>
      <c r="D2790">
        <v>1</v>
      </c>
      <c r="E2790" s="50" t="s">
        <v>1778</v>
      </c>
      <c r="F2790" s="50" t="s">
        <v>1791</v>
      </c>
      <c r="G2790" s="50" t="s">
        <v>256</v>
      </c>
      <c r="H2790" s="50">
        <v>3000</v>
      </c>
      <c r="M2790" t="str">
        <f>IF(COUNTIF($A:$A,E2790)=0,"Not Exists","Exists")</f>
        <v>Exists</v>
      </c>
      <c r="N2790" t="str">
        <f t="shared" si="139"/>
        <v>Exists</v>
      </c>
      <c r="O2790" t="str">
        <f t="shared" si="137"/>
        <v>Not Exists</v>
      </c>
      <c r="P2790" t="str">
        <f t="shared" si="138"/>
        <v>Not Exists</v>
      </c>
    </row>
    <row r="2791" spans="1:16">
      <c r="A2791">
        <v>1</v>
      </c>
      <c r="B2791">
        <v>1</v>
      </c>
      <c r="C2791">
        <v>1</v>
      </c>
      <c r="D2791">
        <v>1</v>
      </c>
      <c r="E2791" s="50" t="s">
        <v>1778</v>
      </c>
      <c r="F2791" s="50" t="s">
        <v>1792</v>
      </c>
      <c r="G2791" s="50" t="s">
        <v>256</v>
      </c>
      <c r="H2791" s="50">
        <v>50</v>
      </c>
      <c r="M2791" t="str">
        <f>IF(COUNTIF($A:$A,E2791)=0,"Not Exists","Exists")</f>
        <v>Exists</v>
      </c>
      <c r="N2791" t="str">
        <f t="shared" si="139"/>
        <v>Exists</v>
      </c>
      <c r="O2791" t="str">
        <f t="shared" si="137"/>
        <v>Not Exists</v>
      </c>
      <c r="P2791" t="str">
        <f t="shared" si="138"/>
        <v>Not Exists</v>
      </c>
    </row>
    <row r="2792" spans="1:16">
      <c r="A2792">
        <v>1</v>
      </c>
      <c r="B2792">
        <v>1</v>
      </c>
      <c r="C2792">
        <v>1</v>
      </c>
      <c r="D2792">
        <v>1</v>
      </c>
      <c r="E2792" s="50" t="s">
        <v>1778</v>
      </c>
      <c r="F2792" s="50" t="s">
        <v>1781</v>
      </c>
      <c r="G2792" s="50" t="s">
        <v>251</v>
      </c>
      <c r="H2792" s="50">
        <v>17</v>
      </c>
      <c r="M2792" t="str">
        <f>IF(COUNTIF($A:$A,E2792)=0,"Not Exists","Exists")</f>
        <v>Exists</v>
      </c>
      <c r="N2792" t="str">
        <f t="shared" si="139"/>
        <v>Exists</v>
      </c>
      <c r="O2792" t="str">
        <f t="shared" si="137"/>
        <v>Not Exists</v>
      </c>
      <c r="P2792" t="str">
        <f t="shared" si="138"/>
        <v>Not Exists</v>
      </c>
    </row>
    <row r="2793" spans="1:16">
      <c r="A2793">
        <v>1</v>
      </c>
      <c r="B2793">
        <v>1</v>
      </c>
      <c r="C2793">
        <v>1</v>
      </c>
      <c r="D2793">
        <v>1</v>
      </c>
      <c r="E2793" s="50" t="s">
        <v>1778</v>
      </c>
      <c r="F2793" s="50" t="s">
        <v>1782</v>
      </c>
      <c r="G2793" s="50" t="s">
        <v>256</v>
      </c>
      <c r="H2793" s="50">
        <v>50</v>
      </c>
      <c r="M2793" t="str">
        <f>IF(COUNTIF($A:$A,E2793)=0,"Not Exists","Exists")</f>
        <v>Exists</v>
      </c>
      <c r="N2793" t="str">
        <f t="shared" si="139"/>
        <v>Exists</v>
      </c>
      <c r="O2793" t="str">
        <f t="shared" si="137"/>
        <v>Not Exists</v>
      </c>
      <c r="P2793" t="str">
        <f t="shared" si="138"/>
        <v>Not Exists</v>
      </c>
    </row>
    <row r="2794" spans="1:16">
      <c r="A2794">
        <v>1</v>
      </c>
      <c r="B2794">
        <v>1</v>
      </c>
      <c r="C2794">
        <v>1</v>
      </c>
      <c r="D2794">
        <v>1</v>
      </c>
      <c r="E2794" s="50" t="s">
        <v>1778</v>
      </c>
      <c r="F2794" s="50" t="s">
        <v>1783</v>
      </c>
      <c r="G2794" s="50" t="s">
        <v>251</v>
      </c>
      <c r="H2794" s="50">
        <v>17</v>
      </c>
      <c r="M2794" t="str">
        <f>IF(COUNTIF($A:$A,E2794)=0,"Not Exists","Exists")</f>
        <v>Exists</v>
      </c>
      <c r="N2794" t="str">
        <f t="shared" si="139"/>
        <v>Exists</v>
      </c>
      <c r="O2794" t="str">
        <f t="shared" si="137"/>
        <v>Not Exists</v>
      </c>
      <c r="P2794" t="str">
        <f t="shared" si="138"/>
        <v>Not Exists</v>
      </c>
    </row>
    <row r="2795" spans="1:16">
      <c r="A2795">
        <v>1</v>
      </c>
      <c r="B2795">
        <v>1</v>
      </c>
      <c r="C2795">
        <v>1</v>
      </c>
      <c r="D2795">
        <v>1</v>
      </c>
      <c r="E2795" s="50" t="s">
        <v>1778</v>
      </c>
      <c r="F2795" s="50" t="s">
        <v>1784</v>
      </c>
      <c r="G2795" s="50" t="s">
        <v>256</v>
      </c>
      <c r="H2795" s="50">
        <v>50</v>
      </c>
      <c r="M2795" t="str">
        <f>IF(COUNTIF($A:$A,E2795)=0,"Not Exists","Exists")</f>
        <v>Exists</v>
      </c>
      <c r="N2795" t="str">
        <f t="shared" si="139"/>
        <v>Exists</v>
      </c>
      <c r="O2795" t="str">
        <f t="shared" si="137"/>
        <v>Not Exists</v>
      </c>
      <c r="P2795" t="str">
        <f t="shared" si="138"/>
        <v>Not Exists</v>
      </c>
    </row>
    <row r="2796" spans="1:16">
      <c r="A2796">
        <v>1</v>
      </c>
      <c r="B2796">
        <v>1</v>
      </c>
      <c r="C2796">
        <v>1</v>
      </c>
      <c r="D2796">
        <v>1</v>
      </c>
      <c r="E2796" s="50" t="s">
        <v>1793</v>
      </c>
      <c r="F2796" s="50" t="s">
        <v>1794</v>
      </c>
      <c r="G2796" s="50" t="s">
        <v>256</v>
      </c>
      <c r="H2796" s="50">
        <v>50</v>
      </c>
      <c r="M2796" t="str">
        <f>IF(COUNTIF($A:$A,E2796)=0,"Not Exists","Exists")</f>
        <v>Exists</v>
      </c>
      <c r="N2796" t="str">
        <f t="shared" si="139"/>
        <v>Exists</v>
      </c>
      <c r="O2796" t="str">
        <f t="shared" si="137"/>
        <v>Not Exists</v>
      </c>
      <c r="P2796" t="str">
        <f t="shared" si="138"/>
        <v>Not Exists</v>
      </c>
    </row>
    <row r="2797" spans="1:16">
      <c r="A2797">
        <v>1</v>
      </c>
      <c r="B2797">
        <v>1</v>
      </c>
      <c r="C2797">
        <v>1</v>
      </c>
      <c r="D2797">
        <v>1</v>
      </c>
      <c r="E2797" s="50" t="s">
        <v>1793</v>
      </c>
      <c r="F2797" s="50" t="s">
        <v>1800</v>
      </c>
      <c r="G2797" s="50" t="s">
        <v>256</v>
      </c>
      <c r="H2797" s="50">
        <v>450</v>
      </c>
      <c r="M2797" t="str">
        <f>IF(COUNTIF($A:$A,E2797)=0,"Not Exists","Exists")</f>
        <v>Exists</v>
      </c>
      <c r="N2797" t="str">
        <f t="shared" si="139"/>
        <v>Exists</v>
      </c>
      <c r="O2797" t="str">
        <f t="shared" si="137"/>
        <v>Not Exists</v>
      </c>
      <c r="P2797" t="str">
        <f t="shared" si="138"/>
        <v>Not Exists</v>
      </c>
    </row>
    <row r="2798" spans="1:16">
      <c r="A2798">
        <v>1</v>
      </c>
      <c r="B2798">
        <v>1</v>
      </c>
      <c r="C2798">
        <v>1</v>
      </c>
      <c r="D2798">
        <v>1</v>
      </c>
      <c r="E2798" s="50" t="s">
        <v>1793</v>
      </c>
      <c r="F2798" s="50" t="s">
        <v>1801</v>
      </c>
      <c r="G2798" s="50" t="s">
        <v>256</v>
      </c>
      <c r="H2798" s="50">
        <v>50</v>
      </c>
      <c r="M2798" t="str">
        <f>IF(COUNTIF($A:$A,E2798)=0,"Not Exists","Exists")</f>
        <v>Exists</v>
      </c>
      <c r="N2798" t="str">
        <f t="shared" si="139"/>
        <v>Exists</v>
      </c>
      <c r="O2798" t="str">
        <f t="shared" si="137"/>
        <v>Not Exists</v>
      </c>
      <c r="P2798" t="str">
        <f t="shared" si="138"/>
        <v>Not Exists</v>
      </c>
    </row>
    <row r="2799" spans="1:16">
      <c r="A2799">
        <v>1</v>
      </c>
      <c r="B2799">
        <v>1</v>
      </c>
      <c r="C2799">
        <v>1</v>
      </c>
      <c r="D2799">
        <v>1</v>
      </c>
      <c r="E2799" s="50" t="s">
        <v>1793</v>
      </c>
      <c r="F2799" s="50" t="s">
        <v>1803</v>
      </c>
      <c r="G2799" s="50" t="s">
        <v>251</v>
      </c>
      <c r="H2799" s="50">
        <v>1</v>
      </c>
      <c r="M2799" t="str">
        <f>IF(COUNTIF($A:$A,E2799)=0,"Not Exists","Exists")</f>
        <v>Exists</v>
      </c>
      <c r="N2799" t="str">
        <f t="shared" si="139"/>
        <v>Exists</v>
      </c>
      <c r="O2799" t="str">
        <f t="shared" si="137"/>
        <v>Not Exists</v>
      </c>
      <c r="P2799" t="str">
        <f t="shared" si="138"/>
        <v>Not Exists</v>
      </c>
    </row>
    <row r="2800" spans="1:16">
      <c r="A2800">
        <v>1</v>
      </c>
      <c r="B2800">
        <v>1</v>
      </c>
      <c r="C2800">
        <v>1</v>
      </c>
      <c r="D2800">
        <v>1</v>
      </c>
      <c r="E2800" s="50" t="s">
        <v>1793</v>
      </c>
      <c r="F2800" s="50" t="s">
        <v>1804</v>
      </c>
      <c r="G2800" s="50" t="s">
        <v>251</v>
      </c>
      <c r="H2800" s="50">
        <v>1</v>
      </c>
      <c r="M2800" t="str">
        <f>IF(COUNTIF($A:$A,E2800)=0,"Not Exists","Exists")</f>
        <v>Exists</v>
      </c>
      <c r="N2800" t="str">
        <f t="shared" si="139"/>
        <v>Exists</v>
      </c>
      <c r="O2800" t="str">
        <f t="shared" si="137"/>
        <v>Not Exists</v>
      </c>
      <c r="P2800" t="str">
        <f t="shared" si="138"/>
        <v>Not Exists</v>
      </c>
    </row>
    <row r="2801" spans="1:16">
      <c r="A2801">
        <v>1</v>
      </c>
      <c r="B2801">
        <v>1</v>
      </c>
      <c r="C2801">
        <v>1</v>
      </c>
      <c r="D2801">
        <v>1</v>
      </c>
      <c r="E2801" s="50" t="s">
        <v>1793</v>
      </c>
      <c r="F2801" s="50" t="s">
        <v>1805</v>
      </c>
      <c r="G2801" s="50" t="s">
        <v>251</v>
      </c>
      <c r="H2801" s="50">
        <v>1</v>
      </c>
      <c r="M2801" t="str">
        <f>IF(COUNTIF($A:$A,E2801)=0,"Not Exists","Exists")</f>
        <v>Exists</v>
      </c>
      <c r="N2801" t="str">
        <f t="shared" si="139"/>
        <v>Exists</v>
      </c>
      <c r="O2801" t="str">
        <f t="shared" si="137"/>
        <v>Not Exists</v>
      </c>
      <c r="P2801" t="str">
        <f t="shared" si="138"/>
        <v>Not Exists</v>
      </c>
    </row>
    <row r="2802" spans="1:16">
      <c r="A2802">
        <v>1</v>
      </c>
      <c r="B2802">
        <v>1</v>
      </c>
      <c r="C2802">
        <v>1</v>
      </c>
      <c r="D2802">
        <v>1</v>
      </c>
      <c r="E2802" s="50" t="s">
        <v>1793</v>
      </c>
      <c r="F2802" s="50" t="s">
        <v>1806</v>
      </c>
      <c r="G2802" s="50" t="s">
        <v>256</v>
      </c>
      <c r="H2802" s="50">
        <v>50</v>
      </c>
      <c r="M2802" t="str">
        <f>IF(COUNTIF($A:$A,E2802)=0,"Not Exists","Exists")</f>
        <v>Exists</v>
      </c>
      <c r="N2802" t="str">
        <f t="shared" si="139"/>
        <v>Exists</v>
      </c>
      <c r="O2802" t="str">
        <f t="shared" si="137"/>
        <v>Not Exists</v>
      </c>
      <c r="P2802" t="str">
        <f t="shared" si="138"/>
        <v>Not Exists</v>
      </c>
    </row>
    <row r="2803" spans="1:16">
      <c r="A2803">
        <v>1</v>
      </c>
      <c r="B2803">
        <v>1</v>
      </c>
      <c r="C2803">
        <v>1</v>
      </c>
      <c r="D2803">
        <v>1</v>
      </c>
      <c r="E2803" s="50" t="s">
        <v>1793</v>
      </c>
      <c r="F2803" s="50" t="s">
        <v>1807</v>
      </c>
      <c r="G2803" s="50" t="s">
        <v>256</v>
      </c>
      <c r="H2803" s="50">
        <v>50</v>
      </c>
      <c r="M2803" t="str">
        <f>IF(COUNTIF($A:$A,E2803)=0,"Not Exists","Exists")</f>
        <v>Exists</v>
      </c>
      <c r="N2803" t="str">
        <f t="shared" si="139"/>
        <v>Exists</v>
      </c>
      <c r="O2803" t="str">
        <f t="shared" si="137"/>
        <v>Not Exists</v>
      </c>
      <c r="P2803" t="str">
        <f t="shared" si="138"/>
        <v>Not Exists</v>
      </c>
    </row>
    <row r="2804" spans="1:16">
      <c r="A2804">
        <v>1</v>
      </c>
      <c r="B2804">
        <v>1</v>
      </c>
      <c r="C2804">
        <v>1</v>
      </c>
      <c r="D2804">
        <v>1</v>
      </c>
      <c r="E2804" s="50" t="s">
        <v>1793</v>
      </c>
      <c r="F2804" s="50" t="s">
        <v>1808</v>
      </c>
      <c r="G2804" s="50" t="s">
        <v>251</v>
      </c>
      <c r="H2804" s="50">
        <v>1</v>
      </c>
      <c r="M2804" t="str">
        <f>IF(COUNTIF($A:$A,E2804)=0,"Not Exists","Exists")</f>
        <v>Exists</v>
      </c>
      <c r="N2804" t="str">
        <f t="shared" si="139"/>
        <v>Exists</v>
      </c>
      <c r="O2804" t="str">
        <f t="shared" si="137"/>
        <v>Not Exists</v>
      </c>
      <c r="P2804" t="str">
        <f t="shared" si="138"/>
        <v>Not Exists</v>
      </c>
    </row>
    <row r="2805" spans="1:16">
      <c r="A2805">
        <v>1</v>
      </c>
      <c r="B2805">
        <v>1</v>
      </c>
      <c r="C2805">
        <v>1</v>
      </c>
      <c r="D2805">
        <v>1</v>
      </c>
      <c r="E2805" s="50" t="s">
        <v>1793</v>
      </c>
      <c r="F2805" s="50" t="s">
        <v>1796</v>
      </c>
      <c r="G2805" s="50" t="s">
        <v>251</v>
      </c>
      <c r="H2805" s="50">
        <v>17</v>
      </c>
      <c r="M2805" t="str">
        <f>IF(COUNTIF($A:$A,E2805)=0,"Not Exists","Exists")</f>
        <v>Exists</v>
      </c>
      <c r="N2805" t="str">
        <f t="shared" si="139"/>
        <v>Exists</v>
      </c>
      <c r="O2805" t="str">
        <f t="shared" si="137"/>
        <v>Not Exists</v>
      </c>
      <c r="P2805" t="str">
        <f t="shared" si="138"/>
        <v>Not Exists</v>
      </c>
    </row>
    <row r="2806" spans="1:16">
      <c r="A2806">
        <v>1</v>
      </c>
      <c r="B2806">
        <v>1</v>
      </c>
      <c r="C2806">
        <v>1</v>
      </c>
      <c r="D2806">
        <v>1</v>
      </c>
      <c r="E2806" s="50" t="s">
        <v>1793</v>
      </c>
      <c r="F2806" s="50" t="s">
        <v>1797</v>
      </c>
      <c r="G2806" s="50" t="s">
        <v>256</v>
      </c>
      <c r="H2806" s="50">
        <v>50</v>
      </c>
      <c r="M2806" t="str">
        <f>IF(COUNTIF($A:$A,E2806)=0,"Not Exists","Exists")</f>
        <v>Exists</v>
      </c>
      <c r="N2806" t="str">
        <f t="shared" si="139"/>
        <v>Exists</v>
      </c>
      <c r="O2806" t="str">
        <f t="shared" si="137"/>
        <v>Not Exists</v>
      </c>
      <c r="P2806" t="str">
        <f t="shared" si="138"/>
        <v>Not Exists</v>
      </c>
    </row>
    <row r="2807" spans="1:16">
      <c r="A2807">
        <v>1</v>
      </c>
      <c r="B2807">
        <v>1</v>
      </c>
      <c r="C2807">
        <v>1</v>
      </c>
      <c r="D2807">
        <v>1</v>
      </c>
      <c r="E2807" s="50" t="s">
        <v>1793</v>
      </c>
      <c r="F2807" s="50" t="s">
        <v>1798</v>
      </c>
      <c r="G2807" s="50" t="s">
        <v>251</v>
      </c>
      <c r="H2807" s="50">
        <v>17</v>
      </c>
      <c r="M2807" t="str">
        <f>IF(COUNTIF($A:$A,E2807)=0,"Not Exists","Exists")</f>
        <v>Exists</v>
      </c>
      <c r="N2807" t="str">
        <f t="shared" si="139"/>
        <v>Exists</v>
      </c>
      <c r="O2807" t="str">
        <f t="shared" si="137"/>
        <v>Not Exists</v>
      </c>
      <c r="P2807" t="str">
        <f t="shared" si="138"/>
        <v>Not Exists</v>
      </c>
    </row>
    <row r="2808" spans="1:16">
      <c r="A2808">
        <v>1</v>
      </c>
      <c r="B2808">
        <v>1</v>
      </c>
      <c r="C2808">
        <v>1</v>
      </c>
      <c r="D2808">
        <v>1</v>
      </c>
      <c r="E2808" s="50" t="s">
        <v>1793</v>
      </c>
      <c r="F2808" s="50" t="s">
        <v>1799</v>
      </c>
      <c r="G2808" s="50" t="s">
        <v>256</v>
      </c>
      <c r="H2808" s="50">
        <v>50</v>
      </c>
      <c r="M2808" t="str">
        <f>IF(COUNTIF($A:$A,E2808)=0,"Not Exists","Exists")</f>
        <v>Exists</v>
      </c>
      <c r="N2808" t="str">
        <f t="shared" si="139"/>
        <v>Exists</v>
      </c>
      <c r="O2808" t="str">
        <f t="shared" si="137"/>
        <v>Not Exists</v>
      </c>
      <c r="P2808" t="str">
        <f t="shared" si="138"/>
        <v>Not Exists</v>
      </c>
    </row>
    <row r="2809" spans="1:16">
      <c r="A2809">
        <v>1</v>
      </c>
      <c r="B2809">
        <v>1</v>
      </c>
      <c r="C2809">
        <v>1</v>
      </c>
      <c r="D2809">
        <v>1</v>
      </c>
      <c r="E2809" s="50" t="s">
        <v>1809</v>
      </c>
      <c r="F2809" s="50" t="s">
        <v>1810</v>
      </c>
      <c r="G2809" s="50" t="s">
        <v>256</v>
      </c>
      <c r="H2809" s="50">
        <v>50</v>
      </c>
      <c r="M2809" t="str">
        <f>IF(COUNTIF($A:$A,E2809)=0,"Not Exists","Exists")</f>
        <v>Exists</v>
      </c>
      <c r="N2809" t="str">
        <f t="shared" si="139"/>
        <v>Exists</v>
      </c>
      <c r="O2809" t="str">
        <f t="shared" si="137"/>
        <v>Not Exists</v>
      </c>
      <c r="P2809" t="str">
        <f t="shared" si="138"/>
        <v>Not Exists</v>
      </c>
    </row>
    <row r="2810" spans="1:16">
      <c r="A2810">
        <v>1</v>
      </c>
      <c r="B2810">
        <v>1</v>
      </c>
      <c r="C2810">
        <v>1</v>
      </c>
      <c r="D2810">
        <v>1</v>
      </c>
      <c r="E2810" s="50" t="s">
        <v>1809</v>
      </c>
      <c r="F2810" s="50" t="s">
        <v>1812</v>
      </c>
      <c r="G2810" s="50" t="s">
        <v>251</v>
      </c>
      <c r="H2810" s="50">
        <v>17</v>
      </c>
      <c r="M2810" t="str">
        <f>IF(COUNTIF($A:$A,E2810)=0,"Not Exists","Exists")</f>
        <v>Exists</v>
      </c>
      <c r="N2810" t="str">
        <f t="shared" si="139"/>
        <v>Exists</v>
      </c>
      <c r="O2810" t="str">
        <f t="shared" si="137"/>
        <v>Not Exists</v>
      </c>
      <c r="P2810" t="str">
        <f t="shared" si="138"/>
        <v>Not Exists</v>
      </c>
    </row>
    <row r="2811" spans="1:16">
      <c r="A2811">
        <v>1</v>
      </c>
      <c r="B2811">
        <v>1</v>
      </c>
      <c r="C2811">
        <v>1</v>
      </c>
      <c r="D2811">
        <v>1</v>
      </c>
      <c r="E2811" s="50" t="s">
        <v>1809</v>
      </c>
      <c r="F2811" s="50" t="s">
        <v>1813</v>
      </c>
      <c r="G2811" s="50" t="s">
        <v>256</v>
      </c>
      <c r="H2811" s="50">
        <v>50</v>
      </c>
      <c r="M2811" t="str">
        <f>IF(COUNTIF($A:$A,E2811)=0,"Not Exists","Exists")</f>
        <v>Exists</v>
      </c>
      <c r="N2811" t="str">
        <f t="shared" si="139"/>
        <v>Exists</v>
      </c>
      <c r="O2811" t="str">
        <f t="shared" si="137"/>
        <v>Not Exists</v>
      </c>
      <c r="P2811" t="str">
        <f t="shared" si="138"/>
        <v>Not Exists</v>
      </c>
    </row>
    <row r="2812" spans="1:16">
      <c r="A2812">
        <v>1</v>
      </c>
      <c r="B2812">
        <v>1</v>
      </c>
      <c r="C2812">
        <v>1</v>
      </c>
      <c r="D2812">
        <v>1</v>
      </c>
      <c r="E2812" s="50" t="s">
        <v>1809</v>
      </c>
      <c r="F2812" s="50" t="s">
        <v>1814</v>
      </c>
      <c r="G2812" s="50" t="s">
        <v>251</v>
      </c>
      <c r="H2812" s="50">
        <v>17</v>
      </c>
      <c r="M2812" t="str">
        <f>IF(COUNTIF($A:$A,E2812)=0,"Not Exists","Exists")</f>
        <v>Exists</v>
      </c>
      <c r="N2812" t="str">
        <f t="shared" si="139"/>
        <v>Exists</v>
      </c>
      <c r="O2812" t="str">
        <f t="shared" si="137"/>
        <v>Not Exists</v>
      </c>
      <c r="P2812" t="str">
        <f t="shared" si="138"/>
        <v>Not Exists</v>
      </c>
    </row>
    <row r="2813" spans="1:16">
      <c r="A2813">
        <v>1</v>
      </c>
      <c r="B2813">
        <v>1</v>
      </c>
      <c r="C2813">
        <v>1</v>
      </c>
      <c r="D2813">
        <v>1</v>
      </c>
      <c r="E2813" s="50" t="s">
        <v>1809</v>
      </c>
      <c r="F2813" s="50" t="s">
        <v>1815</v>
      </c>
      <c r="G2813" s="50" t="s">
        <v>256</v>
      </c>
      <c r="H2813" s="50">
        <v>50</v>
      </c>
      <c r="M2813" t="str">
        <f>IF(COUNTIF($A:$A,E2813)=0,"Not Exists","Exists")</f>
        <v>Exists</v>
      </c>
      <c r="N2813" t="str">
        <f t="shared" si="139"/>
        <v>Exists</v>
      </c>
      <c r="O2813" t="str">
        <f t="shared" si="137"/>
        <v>Not Exists</v>
      </c>
      <c r="P2813" t="str">
        <f t="shared" si="138"/>
        <v>Not Exists</v>
      </c>
    </row>
    <row r="2814" spans="1:16">
      <c r="A2814">
        <v>1</v>
      </c>
      <c r="B2814">
        <v>1</v>
      </c>
      <c r="C2814">
        <v>1</v>
      </c>
      <c r="D2814">
        <v>1</v>
      </c>
      <c r="E2814" s="50" t="s">
        <v>1809</v>
      </c>
      <c r="F2814" s="50" t="s">
        <v>1816</v>
      </c>
      <c r="G2814" s="50" t="s">
        <v>254</v>
      </c>
      <c r="H2814" s="50">
        <v>22</v>
      </c>
      <c r="M2814" t="str">
        <f>IF(COUNTIF($A:$A,E2814)=0,"Not Exists","Exists")</f>
        <v>Exists</v>
      </c>
      <c r="N2814" t="str">
        <f t="shared" si="139"/>
        <v>Exists</v>
      </c>
      <c r="O2814" t="str">
        <f t="shared" si="137"/>
        <v>Not Exists</v>
      </c>
      <c r="P2814" t="str">
        <f t="shared" si="138"/>
        <v>Not Exists</v>
      </c>
    </row>
    <row r="2815" spans="1:16">
      <c r="A2815">
        <v>1</v>
      </c>
      <c r="B2815">
        <v>1</v>
      </c>
      <c r="C2815">
        <v>1</v>
      </c>
      <c r="D2815">
        <v>1</v>
      </c>
      <c r="E2815" s="50" t="s">
        <v>1809</v>
      </c>
      <c r="F2815" s="50" t="s">
        <v>1817</v>
      </c>
      <c r="G2815" s="50" t="s">
        <v>256</v>
      </c>
      <c r="H2815" s="50">
        <v>50</v>
      </c>
      <c r="M2815" t="str">
        <f>IF(COUNTIF($A:$A,E2815)=0,"Not Exists","Exists")</f>
        <v>Exists</v>
      </c>
      <c r="N2815" t="str">
        <f t="shared" si="139"/>
        <v>Exists</v>
      </c>
      <c r="O2815" t="str">
        <f t="shared" si="137"/>
        <v>Not Exists</v>
      </c>
      <c r="P2815" t="str">
        <f t="shared" si="138"/>
        <v>Not Exists</v>
      </c>
    </row>
    <row r="2816" spans="1:16">
      <c r="A2816">
        <v>1</v>
      </c>
      <c r="B2816">
        <v>1</v>
      </c>
      <c r="C2816">
        <v>1</v>
      </c>
      <c r="D2816">
        <v>1</v>
      </c>
      <c r="E2816" s="50" t="s">
        <v>1809</v>
      </c>
      <c r="F2816" s="50" t="s">
        <v>1819</v>
      </c>
      <c r="G2816" s="50" t="s">
        <v>256</v>
      </c>
      <c r="H2816" s="50">
        <v>450</v>
      </c>
      <c r="M2816" t="str">
        <f>IF(COUNTIF($A:$A,E2816)=0,"Not Exists","Exists")</f>
        <v>Exists</v>
      </c>
      <c r="N2816" t="str">
        <f t="shared" si="139"/>
        <v>Exists</v>
      </c>
      <c r="O2816" t="str">
        <f t="shared" si="137"/>
        <v>Not Exists</v>
      </c>
      <c r="P2816" t="str">
        <f t="shared" si="138"/>
        <v>Not Exists</v>
      </c>
    </row>
    <row r="2817" spans="1:16">
      <c r="A2817">
        <v>1</v>
      </c>
      <c r="B2817">
        <v>1</v>
      </c>
      <c r="C2817">
        <v>1</v>
      </c>
      <c r="D2817">
        <v>1</v>
      </c>
      <c r="E2817" s="50" t="s">
        <v>1809</v>
      </c>
      <c r="F2817" s="50" t="s">
        <v>1820</v>
      </c>
      <c r="G2817" s="50" t="s">
        <v>256</v>
      </c>
      <c r="H2817" s="50">
        <v>50</v>
      </c>
      <c r="M2817" t="str">
        <f>IF(COUNTIF($A:$A,E2817)=0,"Not Exists","Exists")</f>
        <v>Exists</v>
      </c>
      <c r="N2817" t="str">
        <f t="shared" si="139"/>
        <v>Exists</v>
      </c>
      <c r="O2817" t="str">
        <f t="shared" si="137"/>
        <v>Not Exists</v>
      </c>
      <c r="P2817" t="str">
        <f t="shared" si="138"/>
        <v>Not Exists</v>
      </c>
    </row>
    <row r="2818" spans="1:16">
      <c r="A2818">
        <v>1</v>
      </c>
      <c r="B2818">
        <v>1</v>
      </c>
      <c r="C2818">
        <v>1</v>
      </c>
      <c r="D2818">
        <v>1</v>
      </c>
      <c r="E2818" s="50" t="s">
        <v>1809</v>
      </c>
      <c r="F2818" s="50" t="s">
        <v>1821</v>
      </c>
      <c r="G2818" s="50" t="s">
        <v>256</v>
      </c>
      <c r="H2818" s="50">
        <v>50</v>
      </c>
      <c r="M2818" t="str">
        <f>IF(COUNTIF($A:$A,E2818)=0,"Not Exists","Exists")</f>
        <v>Exists</v>
      </c>
      <c r="N2818" t="str">
        <f t="shared" si="139"/>
        <v>Exists</v>
      </c>
      <c r="O2818" t="str">
        <f t="shared" si="137"/>
        <v>Not Exists</v>
      </c>
      <c r="P2818" t="str">
        <f t="shared" si="138"/>
        <v>Not Exists</v>
      </c>
    </row>
    <row r="2819" spans="1:16">
      <c r="A2819">
        <v>1</v>
      </c>
      <c r="B2819">
        <v>1</v>
      </c>
      <c r="C2819">
        <v>1</v>
      </c>
      <c r="D2819">
        <v>1</v>
      </c>
      <c r="E2819" s="50" t="s">
        <v>1809</v>
      </c>
      <c r="F2819" s="50" t="s">
        <v>1822</v>
      </c>
      <c r="G2819" s="50" t="s">
        <v>256</v>
      </c>
      <c r="H2819" s="50">
        <v>50</v>
      </c>
      <c r="M2819" t="str">
        <f>IF(COUNTIF($A:$A,E2819)=0,"Not Exists","Exists")</f>
        <v>Exists</v>
      </c>
      <c r="N2819" t="str">
        <f t="shared" si="139"/>
        <v>Exists</v>
      </c>
      <c r="O2819" t="str">
        <f t="shared" si="137"/>
        <v>Not Exists</v>
      </c>
      <c r="P2819" t="str">
        <f t="shared" si="138"/>
        <v>Not Exists</v>
      </c>
    </row>
    <row r="2820" spans="1:16">
      <c r="A2820">
        <v>1</v>
      </c>
      <c r="B2820">
        <v>1</v>
      </c>
      <c r="C2820">
        <v>1</v>
      </c>
      <c r="D2820">
        <v>1</v>
      </c>
      <c r="E2820" s="50" t="s">
        <v>1809</v>
      </c>
      <c r="F2820" s="50" t="s">
        <v>1823</v>
      </c>
      <c r="G2820" s="50" t="s">
        <v>256</v>
      </c>
      <c r="H2820" s="50">
        <v>3000</v>
      </c>
      <c r="M2820" t="str">
        <f>IF(COUNTIF($A:$A,E2820)=0,"Not Exists","Exists")</f>
        <v>Exists</v>
      </c>
      <c r="N2820" t="str">
        <f t="shared" si="139"/>
        <v>Exists</v>
      </c>
      <c r="O2820" t="str">
        <f t="shared" ref="O2820:O2883" si="140">IF(COUNTIF($E:$E,A2820)=0,"Not Exists","Exists")</f>
        <v>Not Exists</v>
      </c>
      <c r="P2820" t="str">
        <f t="shared" ref="P2820:P2883" si="141">IF(COUNTIF($F:$F,B2820)=0,"Not Exists","Exists")</f>
        <v>Not Exists</v>
      </c>
    </row>
    <row r="2821" spans="1:16">
      <c r="A2821">
        <v>1</v>
      </c>
      <c r="B2821">
        <v>1</v>
      </c>
      <c r="C2821">
        <v>1</v>
      </c>
      <c r="D2821">
        <v>1</v>
      </c>
      <c r="E2821" s="50" t="s">
        <v>1809</v>
      </c>
      <c r="F2821" s="50" t="s">
        <v>1824</v>
      </c>
      <c r="G2821" s="50" t="s">
        <v>256</v>
      </c>
      <c r="H2821" s="50">
        <v>450</v>
      </c>
      <c r="M2821" t="str">
        <f>IF(COUNTIF($A:$A,E2821)=0,"Not Exists","Exists")</f>
        <v>Exists</v>
      </c>
      <c r="N2821" t="str">
        <f t="shared" si="139"/>
        <v>Exists</v>
      </c>
      <c r="O2821" t="str">
        <f t="shared" si="140"/>
        <v>Not Exists</v>
      </c>
      <c r="P2821" t="str">
        <f t="shared" si="141"/>
        <v>Not Exists</v>
      </c>
    </row>
    <row r="2822" spans="1:16">
      <c r="A2822">
        <v>1</v>
      </c>
      <c r="B2822">
        <v>1</v>
      </c>
      <c r="C2822">
        <v>1</v>
      </c>
      <c r="D2822">
        <v>1</v>
      </c>
      <c r="E2822" s="50" t="s">
        <v>1809</v>
      </c>
      <c r="F2822" s="50" t="s">
        <v>1825</v>
      </c>
      <c r="G2822" s="50" t="s">
        <v>256</v>
      </c>
      <c r="H2822" s="50">
        <v>450</v>
      </c>
      <c r="M2822" t="str">
        <f>IF(COUNTIF($A:$A,E2822)=0,"Not Exists","Exists")</f>
        <v>Exists</v>
      </c>
      <c r="N2822" t="str">
        <f t="shared" si="139"/>
        <v>Exists</v>
      </c>
      <c r="O2822" t="str">
        <f t="shared" si="140"/>
        <v>Not Exists</v>
      </c>
      <c r="P2822" t="str">
        <f t="shared" si="141"/>
        <v>Not Exists</v>
      </c>
    </row>
    <row r="2823" spans="1:16">
      <c r="A2823">
        <v>1</v>
      </c>
      <c r="B2823">
        <v>1</v>
      </c>
      <c r="C2823">
        <v>1</v>
      </c>
      <c r="D2823">
        <v>1</v>
      </c>
      <c r="E2823" s="50" t="s">
        <v>1809</v>
      </c>
      <c r="F2823" s="50" t="s">
        <v>1826</v>
      </c>
      <c r="G2823" s="50" t="s">
        <v>256</v>
      </c>
      <c r="H2823" s="50">
        <v>50</v>
      </c>
      <c r="M2823" t="str">
        <f>IF(COUNTIF($A:$A,E2823)=0,"Not Exists","Exists")</f>
        <v>Exists</v>
      </c>
      <c r="N2823" t="str">
        <f t="shared" si="139"/>
        <v>Exists</v>
      </c>
      <c r="O2823" t="str">
        <f t="shared" si="140"/>
        <v>Not Exists</v>
      </c>
      <c r="P2823" t="str">
        <f t="shared" si="141"/>
        <v>Not Exists</v>
      </c>
    </row>
    <row r="2824" spans="1:16">
      <c r="A2824">
        <v>1</v>
      </c>
      <c r="B2824">
        <v>1</v>
      </c>
      <c r="C2824">
        <v>1</v>
      </c>
      <c r="D2824">
        <v>1</v>
      </c>
      <c r="E2824" s="50" t="s">
        <v>1827</v>
      </c>
      <c r="F2824" s="50" t="s">
        <v>1828</v>
      </c>
      <c r="G2824" s="50" t="s">
        <v>256</v>
      </c>
      <c r="H2824" s="50">
        <v>50</v>
      </c>
      <c r="M2824" t="str">
        <f>IF(COUNTIF($A:$A,E2824)=0,"Not Exists","Exists")</f>
        <v>Exists</v>
      </c>
      <c r="N2824" t="str">
        <f t="shared" si="139"/>
        <v>Exists</v>
      </c>
      <c r="O2824" t="str">
        <f t="shared" si="140"/>
        <v>Not Exists</v>
      </c>
      <c r="P2824" t="str">
        <f t="shared" si="141"/>
        <v>Not Exists</v>
      </c>
    </row>
    <row r="2825" spans="1:16">
      <c r="A2825">
        <v>1</v>
      </c>
      <c r="B2825">
        <v>1</v>
      </c>
      <c r="C2825">
        <v>1</v>
      </c>
      <c r="D2825">
        <v>1</v>
      </c>
      <c r="E2825" s="50" t="s">
        <v>1827</v>
      </c>
      <c r="F2825" s="50" t="s">
        <v>1829</v>
      </c>
      <c r="G2825" s="50" t="s">
        <v>256</v>
      </c>
      <c r="H2825" s="50">
        <v>50</v>
      </c>
      <c r="M2825" t="str">
        <f>IF(COUNTIF($A:$A,E2825)=0,"Not Exists","Exists")</f>
        <v>Exists</v>
      </c>
      <c r="N2825" t="str">
        <f t="shared" si="139"/>
        <v>Exists</v>
      </c>
      <c r="O2825" t="str">
        <f t="shared" si="140"/>
        <v>Not Exists</v>
      </c>
      <c r="P2825" t="str">
        <f t="shared" si="141"/>
        <v>Not Exists</v>
      </c>
    </row>
    <row r="2826" spans="1:16">
      <c r="A2826">
        <v>1</v>
      </c>
      <c r="B2826">
        <v>1</v>
      </c>
      <c r="C2826">
        <v>1</v>
      </c>
      <c r="D2826">
        <v>1</v>
      </c>
      <c r="E2826" s="50" t="s">
        <v>1827</v>
      </c>
      <c r="F2826" s="50" t="s">
        <v>1831</v>
      </c>
      <c r="G2826" s="50" t="s">
        <v>251</v>
      </c>
      <c r="H2826" s="50">
        <v>17</v>
      </c>
      <c r="M2826" t="str">
        <f>IF(COUNTIF($A:$A,E2826)=0,"Not Exists","Exists")</f>
        <v>Exists</v>
      </c>
      <c r="N2826" t="str">
        <f t="shared" si="139"/>
        <v>Exists</v>
      </c>
      <c r="O2826" t="str">
        <f t="shared" si="140"/>
        <v>Not Exists</v>
      </c>
      <c r="P2826" t="str">
        <f t="shared" si="141"/>
        <v>Not Exists</v>
      </c>
    </row>
    <row r="2827" spans="1:16">
      <c r="A2827">
        <v>1</v>
      </c>
      <c r="B2827">
        <v>1</v>
      </c>
      <c r="C2827">
        <v>1</v>
      </c>
      <c r="D2827">
        <v>1</v>
      </c>
      <c r="E2827" s="50" t="s">
        <v>1827</v>
      </c>
      <c r="F2827" s="50" t="s">
        <v>1832</v>
      </c>
      <c r="G2827" s="50" t="s">
        <v>256</v>
      </c>
      <c r="H2827" s="50">
        <v>50</v>
      </c>
      <c r="M2827" t="str">
        <f>IF(COUNTIF($A:$A,E2827)=0,"Not Exists","Exists")</f>
        <v>Exists</v>
      </c>
      <c r="N2827" t="str">
        <f t="shared" si="139"/>
        <v>Exists</v>
      </c>
      <c r="O2827" t="str">
        <f t="shared" si="140"/>
        <v>Not Exists</v>
      </c>
      <c r="P2827" t="str">
        <f t="shared" si="141"/>
        <v>Not Exists</v>
      </c>
    </row>
    <row r="2828" spans="1:16">
      <c r="A2828">
        <v>1</v>
      </c>
      <c r="B2828">
        <v>1</v>
      </c>
      <c r="C2828">
        <v>1</v>
      </c>
      <c r="D2828">
        <v>1</v>
      </c>
      <c r="E2828" s="50" t="s">
        <v>1827</v>
      </c>
      <c r="F2828" s="50" t="s">
        <v>1833</v>
      </c>
      <c r="G2828" s="50" t="s">
        <v>251</v>
      </c>
      <c r="H2828" s="50">
        <v>17</v>
      </c>
      <c r="M2828" t="str">
        <f>IF(COUNTIF($A:$A,E2828)=0,"Not Exists","Exists")</f>
        <v>Exists</v>
      </c>
      <c r="N2828" t="str">
        <f t="shared" si="139"/>
        <v>Exists</v>
      </c>
      <c r="O2828" t="str">
        <f t="shared" si="140"/>
        <v>Not Exists</v>
      </c>
      <c r="P2828" t="str">
        <f t="shared" si="141"/>
        <v>Not Exists</v>
      </c>
    </row>
    <row r="2829" spans="1:16">
      <c r="A2829">
        <v>1</v>
      </c>
      <c r="B2829">
        <v>1</v>
      </c>
      <c r="C2829">
        <v>1</v>
      </c>
      <c r="D2829">
        <v>1</v>
      </c>
      <c r="E2829" s="50" t="s">
        <v>1827</v>
      </c>
      <c r="F2829" s="50" t="s">
        <v>1835</v>
      </c>
      <c r="G2829" s="50" t="s">
        <v>256</v>
      </c>
      <c r="H2829" s="50">
        <v>50</v>
      </c>
      <c r="M2829" t="str">
        <f>IF(COUNTIF($A:$A,E2829)=0,"Not Exists","Exists")</f>
        <v>Exists</v>
      </c>
      <c r="N2829" t="str">
        <f t="shared" si="139"/>
        <v>Exists</v>
      </c>
      <c r="O2829" t="str">
        <f t="shared" si="140"/>
        <v>Not Exists</v>
      </c>
      <c r="P2829" t="str">
        <f t="shared" si="141"/>
        <v>Not Exists</v>
      </c>
    </row>
    <row r="2830" spans="1:16">
      <c r="A2830">
        <v>1</v>
      </c>
      <c r="B2830">
        <v>1</v>
      </c>
      <c r="C2830">
        <v>1</v>
      </c>
      <c r="D2830">
        <v>1</v>
      </c>
      <c r="E2830" s="50" t="s">
        <v>1827</v>
      </c>
      <c r="F2830" s="50" t="s">
        <v>1836</v>
      </c>
      <c r="G2830" s="50" t="s">
        <v>256</v>
      </c>
      <c r="H2830" s="50">
        <v>450</v>
      </c>
      <c r="M2830" t="str">
        <f>IF(COUNTIF($A:$A,E2830)=0,"Not Exists","Exists")</f>
        <v>Exists</v>
      </c>
      <c r="N2830" t="str">
        <f t="shared" si="139"/>
        <v>Exists</v>
      </c>
      <c r="O2830" t="str">
        <f t="shared" si="140"/>
        <v>Not Exists</v>
      </c>
      <c r="P2830" t="str">
        <f t="shared" si="141"/>
        <v>Not Exists</v>
      </c>
    </row>
    <row r="2831" spans="1:16">
      <c r="A2831">
        <v>1</v>
      </c>
      <c r="B2831">
        <v>1</v>
      </c>
      <c r="C2831">
        <v>1</v>
      </c>
      <c r="D2831">
        <v>1</v>
      </c>
      <c r="E2831" s="50" t="s">
        <v>1827</v>
      </c>
      <c r="F2831" s="50" t="s">
        <v>1837</v>
      </c>
      <c r="G2831" s="50" t="s">
        <v>251</v>
      </c>
      <c r="H2831" s="50">
        <v>1</v>
      </c>
      <c r="M2831" t="str">
        <f>IF(COUNTIF($A:$A,E2831)=0,"Not Exists","Exists")</f>
        <v>Exists</v>
      </c>
      <c r="N2831" t="str">
        <f t="shared" si="139"/>
        <v>Exists</v>
      </c>
      <c r="O2831" t="str">
        <f t="shared" si="140"/>
        <v>Not Exists</v>
      </c>
      <c r="P2831" t="str">
        <f t="shared" si="141"/>
        <v>Not Exists</v>
      </c>
    </row>
    <row r="2832" spans="1:16">
      <c r="A2832">
        <v>1</v>
      </c>
      <c r="B2832">
        <v>1</v>
      </c>
      <c r="C2832">
        <v>1</v>
      </c>
      <c r="D2832">
        <v>1</v>
      </c>
      <c r="E2832" s="50" t="s">
        <v>1838</v>
      </c>
      <c r="F2832" s="50" t="s">
        <v>1839</v>
      </c>
      <c r="G2832" s="50" t="s">
        <v>256</v>
      </c>
      <c r="H2832" s="50">
        <v>50</v>
      </c>
      <c r="M2832" t="str">
        <f>IF(COUNTIF($A:$A,E2832)=0,"Not Exists","Exists")</f>
        <v>Exists</v>
      </c>
      <c r="N2832" t="str">
        <f t="shared" si="139"/>
        <v>Exists</v>
      </c>
      <c r="O2832" t="str">
        <f t="shared" si="140"/>
        <v>Not Exists</v>
      </c>
      <c r="P2832" t="str">
        <f t="shared" si="141"/>
        <v>Not Exists</v>
      </c>
    </row>
    <row r="2833" spans="1:16">
      <c r="A2833">
        <v>1</v>
      </c>
      <c r="B2833">
        <v>1</v>
      </c>
      <c r="C2833">
        <v>1</v>
      </c>
      <c r="D2833">
        <v>1</v>
      </c>
      <c r="E2833" s="50" t="s">
        <v>1838</v>
      </c>
      <c r="F2833" s="50" t="s">
        <v>1840</v>
      </c>
      <c r="G2833" s="50" t="s">
        <v>256</v>
      </c>
      <c r="H2833" s="50">
        <v>50</v>
      </c>
      <c r="M2833" t="str">
        <f>IF(COUNTIF($A:$A,E2833)=0,"Not Exists","Exists")</f>
        <v>Exists</v>
      </c>
      <c r="N2833" t="str">
        <f t="shared" si="139"/>
        <v>Exists</v>
      </c>
      <c r="O2833" t="str">
        <f t="shared" si="140"/>
        <v>Not Exists</v>
      </c>
      <c r="P2833" t="str">
        <f t="shared" si="141"/>
        <v>Not Exists</v>
      </c>
    </row>
    <row r="2834" spans="1:16">
      <c r="A2834">
        <v>1</v>
      </c>
      <c r="B2834">
        <v>1</v>
      </c>
      <c r="C2834">
        <v>1</v>
      </c>
      <c r="D2834">
        <v>1</v>
      </c>
      <c r="E2834" s="50" t="s">
        <v>1838</v>
      </c>
      <c r="F2834" s="50" t="s">
        <v>1842</v>
      </c>
      <c r="G2834" s="50" t="s">
        <v>251</v>
      </c>
      <c r="H2834" s="50">
        <v>17</v>
      </c>
      <c r="M2834" t="str">
        <f>IF(COUNTIF($A:$A,E2834)=0,"Not Exists","Exists")</f>
        <v>Exists</v>
      </c>
      <c r="N2834" t="str">
        <f t="shared" si="139"/>
        <v>Exists</v>
      </c>
      <c r="O2834" t="str">
        <f t="shared" si="140"/>
        <v>Not Exists</v>
      </c>
      <c r="P2834" t="str">
        <f t="shared" si="141"/>
        <v>Not Exists</v>
      </c>
    </row>
    <row r="2835" spans="1:16">
      <c r="A2835">
        <v>1</v>
      </c>
      <c r="B2835">
        <v>1</v>
      </c>
      <c r="C2835">
        <v>1</v>
      </c>
      <c r="D2835">
        <v>1</v>
      </c>
      <c r="E2835" s="50" t="s">
        <v>1838</v>
      </c>
      <c r="F2835" s="50" t="s">
        <v>1843</v>
      </c>
      <c r="G2835" s="50" t="s">
        <v>256</v>
      </c>
      <c r="H2835" s="50">
        <v>50</v>
      </c>
      <c r="M2835" t="str">
        <f>IF(COUNTIF($A:$A,E2835)=0,"Not Exists","Exists")</f>
        <v>Exists</v>
      </c>
      <c r="N2835" t="str">
        <f t="shared" si="139"/>
        <v>Exists</v>
      </c>
      <c r="O2835" t="str">
        <f t="shared" si="140"/>
        <v>Not Exists</v>
      </c>
      <c r="P2835" t="str">
        <f t="shared" si="141"/>
        <v>Not Exists</v>
      </c>
    </row>
    <row r="2836" spans="1:16">
      <c r="A2836">
        <v>1</v>
      </c>
      <c r="B2836">
        <v>1</v>
      </c>
      <c r="C2836">
        <v>1</v>
      </c>
      <c r="D2836">
        <v>1</v>
      </c>
      <c r="E2836" s="50" t="s">
        <v>1838</v>
      </c>
      <c r="F2836" s="50" t="s">
        <v>1844</v>
      </c>
      <c r="G2836" s="50" t="s">
        <v>251</v>
      </c>
      <c r="H2836" s="50">
        <v>17</v>
      </c>
      <c r="M2836" t="str">
        <f>IF(COUNTIF($A:$A,E2836)=0,"Not Exists","Exists")</f>
        <v>Exists</v>
      </c>
      <c r="N2836" t="str">
        <f t="shared" si="139"/>
        <v>Exists</v>
      </c>
      <c r="O2836" t="str">
        <f t="shared" si="140"/>
        <v>Not Exists</v>
      </c>
      <c r="P2836" t="str">
        <f t="shared" si="141"/>
        <v>Not Exists</v>
      </c>
    </row>
    <row r="2837" spans="1:16">
      <c r="A2837">
        <v>1</v>
      </c>
      <c r="B2837">
        <v>1</v>
      </c>
      <c r="C2837">
        <v>1</v>
      </c>
      <c r="D2837">
        <v>1</v>
      </c>
      <c r="E2837" s="50" t="s">
        <v>1838</v>
      </c>
      <c r="F2837" s="50" t="s">
        <v>1845</v>
      </c>
      <c r="G2837" s="50" t="s">
        <v>256</v>
      </c>
      <c r="H2837" s="50">
        <v>50</v>
      </c>
      <c r="M2837" t="str">
        <f>IF(COUNTIF($A:$A,E2837)=0,"Not Exists","Exists")</f>
        <v>Exists</v>
      </c>
      <c r="N2837" t="str">
        <f t="shared" si="139"/>
        <v>Exists</v>
      </c>
      <c r="O2837" t="str">
        <f t="shared" si="140"/>
        <v>Not Exists</v>
      </c>
      <c r="P2837" t="str">
        <f t="shared" si="141"/>
        <v>Not Exists</v>
      </c>
    </row>
    <row r="2838" spans="1:16">
      <c r="A2838">
        <v>1</v>
      </c>
      <c r="B2838">
        <v>1</v>
      </c>
      <c r="C2838">
        <v>1</v>
      </c>
      <c r="D2838">
        <v>1</v>
      </c>
      <c r="E2838" s="50" t="s">
        <v>1846</v>
      </c>
      <c r="F2838" s="50" t="s">
        <v>1847</v>
      </c>
      <c r="G2838" s="50" t="s">
        <v>256</v>
      </c>
      <c r="H2838" s="50">
        <v>50</v>
      </c>
      <c r="M2838" t="str">
        <f>IF(COUNTIF($A:$A,E2838)=0,"Not Exists","Exists")</f>
        <v>Exists</v>
      </c>
      <c r="N2838" t="str">
        <f t="shared" si="139"/>
        <v>Exists</v>
      </c>
      <c r="O2838" t="str">
        <f t="shared" si="140"/>
        <v>Not Exists</v>
      </c>
      <c r="P2838" t="str">
        <f t="shared" si="141"/>
        <v>Not Exists</v>
      </c>
    </row>
    <row r="2839" spans="1:16">
      <c r="A2839">
        <v>1</v>
      </c>
      <c r="B2839">
        <v>1</v>
      </c>
      <c r="C2839">
        <v>1</v>
      </c>
      <c r="D2839">
        <v>1</v>
      </c>
      <c r="E2839" s="50" t="s">
        <v>1846</v>
      </c>
      <c r="F2839" s="50" t="s">
        <v>1848</v>
      </c>
      <c r="G2839" s="50" t="s">
        <v>256</v>
      </c>
      <c r="H2839" s="50">
        <v>50</v>
      </c>
      <c r="M2839" t="str">
        <f>IF(COUNTIF($A:$A,E2839)=0,"Not Exists","Exists")</f>
        <v>Exists</v>
      </c>
      <c r="N2839" t="str">
        <f t="shared" si="139"/>
        <v>Exists</v>
      </c>
      <c r="O2839" t="str">
        <f t="shared" si="140"/>
        <v>Not Exists</v>
      </c>
      <c r="P2839" t="str">
        <f t="shared" si="141"/>
        <v>Not Exists</v>
      </c>
    </row>
    <row r="2840" spans="1:16">
      <c r="A2840">
        <v>1</v>
      </c>
      <c r="B2840">
        <v>1</v>
      </c>
      <c r="C2840">
        <v>1</v>
      </c>
      <c r="D2840">
        <v>1</v>
      </c>
      <c r="E2840" s="50" t="s">
        <v>1846</v>
      </c>
      <c r="F2840" s="50" t="s">
        <v>1855</v>
      </c>
      <c r="G2840" s="50" t="s">
        <v>256</v>
      </c>
      <c r="H2840" s="50">
        <v>3000</v>
      </c>
      <c r="M2840" t="str">
        <f>IF(COUNTIF($A:$A,E2840)=0,"Not Exists","Exists")</f>
        <v>Exists</v>
      </c>
      <c r="N2840" t="str">
        <f t="shared" si="139"/>
        <v>Exists</v>
      </c>
      <c r="O2840" t="str">
        <f t="shared" si="140"/>
        <v>Not Exists</v>
      </c>
      <c r="P2840" t="str">
        <f t="shared" si="141"/>
        <v>Not Exists</v>
      </c>
    </row>
    <row r="2841" spans="1:16">
      <c r="A2841">
        <v>1</v>
      </c>
      <c r="B2841">
        <v>1</v>
      </c>
      <c r="C2841">
        <v>1</v>
      </c>
      <c r="D2841">
        <v>1</v>
      </c>
      <c r="E2841" s="50" t="s">
        <v>1846</v>
      </c>
      <c r="F2841" s="50" t="s">
        <v>1856</v>
      </c>
      <c r="G2841" s="50" t="s">
        <v>256</v>
      </c>
      <c r="H2841" s="50">
        <v>3000</v>
      </c>
      <c r="M2841" t="str">
        <f>IF(COUNTIF($A:$A,E2841)=0,"Not Exists","Exists")</f>
        <v>Exists</v>
      </c>
      <c r="N2841" t="str">
        <f t="shared" si="139"/>
        <v>Exists</v>
      </c>
      <c r="O2841" t="str">
        <f t="shared" si="140"/>
        <v>Not Exists</v>
      </c>
      <c r="P2841" t="str">
        <f t="shared" si="141"/>
        <v>Not Exists</v>
      </c>
    </row>
    <row r="2842" spans="1:16">
      <c r="A2842">
        <v>1</v>
      </c>
      <c r="B2842">
        <v>1</v>
      </c>
      <c r="C2842">
        <v>1</v>
      </c>
      <c r="D2842">
        <v>1</v>
      </c>
      <c r="E2842" s="50" t="s">
        <v>1846</v>
      </c>
      <c r="F2842" s="50" t="s">
        <v>1850</v>
      </c>
      <c r="G2842" s="50" t="s">
        <v>251</v>
      </c>
      <c r="H2842" s="50">
        <v>17</v>
      </c>
      <c r="M2842" t="str">
        <f>IF(COUNTIF($A:$A,E2842)=0,"Not Exists","Exists")</f>
        <v>Exists</v>
      </c>
      <c r="N2842" t="str">
        <f t="shared" si="139"/>
        <v>Exists</v>
      </c>
      <c r="O2842" t="str">
        <f t="shared" si="140"/>
        <v>Not Exists</v>
      </c>
      <c r="P2842" t="str">
        <f t="shared" si="141"/>
        <v>Not Exists</v>
      </c>
    </row>
    <row r="2843" spans="1:16">
      <c r="A2843">
        <v>1</v>
      </c>
      <c r="B2843">
        <v>1</v>
      </c>
      <c r="C2843">
        <v>1</v>
      </c>
      <c r="D2843">
        <v>1</v>
      </c>
      <c r="E2843" s="50" t="s">
        <v>1846</v>
      </c>
      <c r="F2843" s="50" t="s">
        <v>1852</v>
      </c>
      <c r="G2843" s="50" t="s">
        <v>256</v>
      </c>
      <c r="H2843" s="50">
        <v>50</v>
      </c>
      <c r="M2843" t="str">
        <f>IF(COUNTIF($A:$A,E2843)=0,"Not Exists","Exists")</f>
        <v>Exists</v>
      </c>
      <c r="N2843" t="str">
        <f t="shared" si="139"/>
        <v>Exists</v>
      </c>
      <c r="O2843" t="str">
        <f t="shared" si="140"/>
        <v>Not Exists</v>
      </c>
      <c r="P2843" t="str">
        <f t="shared" si="141"/>
        <v>Not Exists</v>
      </c>
    </row>
    <row r="2844" spans="1:16">
      <c r="A2844">
        <v>1</v>
      </c>
      <c r="B2844">
        <v>1</v>
      </c>
      <c r="C2844">
        <v>1</v>
      </c>
      <c r="D2844">
        <v>1</v>
      </c>
      <c r="E2844" s="50" t="s">
        <v>1846</v>
      </c>
      <c r="F2844" s="50" t="s">
        <v>1853</v>
      </c>
      <c r="G2844" s="50" t="s">
        <v>251</v>
      </c>
      <c r="H2844" s="50">
        <v>17</v>
      </c>
      <c r="M2844" t="str">
        <f>IF(COUNTIF($A:$A,E2844)=0,"Not Exists","Exists")</f>
        <v>Exists</v>
      </c>
      <c r="N2844" t="str">
        <f t="shared" si="139"/>
        <v>Exists</v>
      </c>
      <c r="O2844" t="str">
        <f t="shared" si="140"/>
        <v>Not Exists</v>
      </c>
      <c r="P2844" t="str">
        <f t="shared" si="141"/>
        <v>Not Exists</v>
      </c>
    </row>
    <row r="2845" spans="1:16">
      <c r="A2845">
        <v>1</v>
      </c>
      <c r="B2845">
        <v>1</v>
      </c>
      <c r="C2845">
        <v>1</v>
      </c>
      <c r="D2845">
        <v>1</v>
      </c>
      <c r="E2845" s="50" t="s">
        <v>1846</v>
      </c>
      <c r="F2845" s="50" t="s">
        <v>1854</v>
      </c>
      <c r="G2845" s="50" t="s">
        <v>256</v>
      </c>
      <c r="H2845" s="50">
        <v>50</v>
      </c>
      <c r="M2845" t="str">
        <f>IF(COUNTIF($A:$A,E2845)=0,"Not Exists","Exists")</f>
        <v>Exists</v>
      </c>
      <c r="N2845" t="str">
        <f t="shared" si="139"/>
        <v>Exists</v>
      </c>
      <c r="O2845" t="str">
        <f t="shared" si="140"/>
        <v>Not Exists</v>
      </c>
      <c r="P2845" t="str">
        <f t="shared" si="141"/>
        <v>Not Exists</v>
      </c>
    </row>
    <row r="2846" spans="1:16">
      <c r="A2846">
        <v>1</v>
      </c>
      <c r="B2846">
        <v>1</v>
      </c>
      <c r="C2846">
        <v>1</v>
      </c>
      <c r="D2846">
        <v>1</v>
      </c>
      <c r="E2846" s="50" t="s">
        <v>1857</v>
      </c>
      <c r="F2846" s="50" t="s">
        <v>1858</v>
      </c>
      <c r="G2846" s="50" t="s">
        <v>256</v>
      </c>
      <c r="H2846" s="50">
        <v>50</v>
      </c>
      <c r="M2846" t="str">
        <f>IF(COUNTIF($A:$A,E2846)=0,"Not Exists","Exists")</f>
        <v>Exists</v>
      </c>
      <c r="N2846" t="str">
        <f t="shared" si="139"/>
        <v>Exists</v>
      </c>
      <c r="O2846" t="str">
        <f t="shared" si="140"/>
        <v>Not Exists</v>
      </c>
      <c r="P2846" t="str">
        <f t="shared" si="141"/>
        <v>Not Exists</v>
      </c>
    </row>
    <row r="2847" spans="1:16">
      <c r="A2847">
        <v>1</v>
      </c>
      <c r="B2847">
        <v>1</v>
      </c>
      <c r="C2847">
        <v>1</v>
      </c>
      <c r="D2847">
        <v>1</v>
      </c>
      <c r="E2847" s="50" t="s">
        <v>1857</v>
      </c>
      <c r="F2847" s="50" t="s">
        <v>1860</v>
      </c>
      <c r="G2847" s="50" t="s">
        <v>251</v>
      </c>
      <c r="H2847" s="50">
        <v>17</v>
      </c>
      <c r="M2847" t="str">
        <f>IF(COUNTIF($A:$A,E2847)=0,"Not Exists","Exists")</f>
        <v>Exists</v>
      </c>
      <c r="N2847" t="str">
        <f t="shared" si="139"/>
        <v>Exists</v>
      </c>
      <c r="O2847" t="str">
        <f t="shared" si="140"/>
        <v>Not Exists</v>
      </c>
      <c r="P2847" t="str">
        <f t="shared" si="141"/>
        <v>Not Exists</v>
      </c>
    </row>
    <row r="2848" spans="1:16">
      <c r="A2848">
        <v>1</v>
      </c>
      <c r="B2848">
        <v>1</v>
      </c>
      <c r="C2848">
        <v>1</v>
      </c>
      <c r="D2848">
        <v>1</v>
      </c>
      <c r="E2848" s="50" t="s">
        <v>1857</v>
      </c>
      <c r="F2848" s="50" t="s">
        <v>1861</v>
      </c>
      <c r="G2848" s="50" t="s">
        <v>256</v>
      </c>
      <c r="H2848" s="50">
        <v>50</v>
      </c>
      <c r="M2848" t="str">
        <f>IF(COUNTIF($A:$A,E2848)=0,"Not Exists","Exists")</f>
        <v>Exists</v>
      </c>
      <c r="N2848" t="str">
        <f t="shared" si="139"/>
        <v>Exists</v>
      </c>
      <c r="O2848" t="str">
        <f t="shared" si="140"/>
        <v>Not Exists</v>
      </c>
      <c r="P2848" t="str">
        <f t="shared" si="141"/>
        <v>Not Exists</v>
      </c>
    </row>
    <row r="2849" spans="1:16">
      <c r="A2849">
        <v>1</v>
      </c>
      <c r="B2849">
        <v>1</v>
      </c>
      <c r="C2849">
        <v>1</v>
      </c>
      <c r="D2849">
        <v>1</v>
      </c>
      <c r="E2849" s="50" t="s">
        <v>1857</v>
      </c>
      <c r="F2849" s="50" t="s">
        <v>1862</v>
      </c>
      <c r="G2849" s="50" t="s">
        <v>251</v>
      </c>
      <c r="H2849" s="50">
        <v>17</v>
      </c>
      <c r="M2849" t="str">
        <f>IF(COUNTIF($A:$A,E2849)=0,"Not Exists","Exists")</f>
        <v>Exists</v>
      </c>
      <c r="N2849" t="str">
        <f t="shared" ref="N2849:N2907" si="142">IF(COUNTIF($A:$B,F2849)=0,"Not Exists","Exists")</f>
        <v>Exists</v>
      </c>
      <c r="O2849" t="str">
        <f t="shared" si="140"/>
        <v>Not Exists</v>
      </c>
      <c r="P2849" t="str">
        <f t="shared" si="141"/>
        <v>Not Exists</v>
      </c>
    </row>
    <row r="2850" spans="1:16">
      <c r="A2850">
        <v>1</v>
      </c>
      <c r="B2850">
        <v>1</v>
      </c>
      <c r="C2850">
        <v>1</v>
      </c>
      <c r="D2850">
        <v>1</v>
      </c>
      <c r="E2850" s="50" t="s">
        <v>1857</v>
      </c>
      <c r="F2850" s="50" t="s">
        <v>1863</v>
      </c>
      <c r="G2850" s="50" t="s">
        <v>256</v>
      </c>
      <c r="H2850" s="50">
        <v>50</v>
      </c>
      <c r="M2850" t="str">
        <f>IF(COUNTIF($A:$A,E2850)=0,"Not Exists","Exists")</f>
        <v>Exists</v>
      </c>
      <c r="N2850" t="str">
        <f t="shared" si="142"/>
        <v>Exists</v>
      </c>
      <c r="O2850" t="str">
        <f t="shared" si="140"/>
        <v>Not Exists</v>
      </c>
      <c r="P2850" t="str">
        <f t="shared" si="141"/>
        <v>Not Exists</v>
      </c>
    </row>
    <row r="2851" spans="1:16">
      <c r="A2851">
        <v>1</v>
      </c>
      <c r="B2851">
        <v>1</v>
      </c>
      <c r="C2851">
        <v>1</v>
      </c>
      <c r="D2851">
        <v>1</v>
      </c>
      <c r="E2851" s="50" t="s">
        <v>1857</v>
      </c>
      <c r="F2851" s="50" t="s">
        <v>1864</v>
      </c>
      <c r="G2851" s="50" t="s">
        <v>256</v>
      </c>
      <c r="H2851" s="50">
        <v>3000</v>
      </c>
      <c r="M2851" t="str">
        <f>IF(COUNTIF($A:$A,E2851)=0,"Not Exists","Exists")</f>
        <v>Exists</v>
      </c>
      <c r="N2851" t="str">
        <f t="shared" si="142"/>
        <v>Exists</v>
      </c>
      <c r="O2851" t="str">
        <f t="shared" si="140"/>
        <v>Not Exists</v>
      </c>
      <c r="P2851" t="str">
        <f t="shared" si="141"/>
        <v>Not Exists</v>
      </c>
    </row>
    <row r="2852" spans="1:16">
      <c r="A2852">
        <v>1</v>
      </c>
      <c r="B2852">
        <v>1</v>
      </c>
      <c r="C2852">
        <v>1</v>
      </c>
      <c r="D2852">
        <v>1</v>
      </c>
      <c r="E2852" s="50" t="s">
        <v>1857</v>
      </c>
      <c r="F2852" s="50" t="s">
        <v>1865</v>
      </c>
      <c r="G2852" s="50" t="s">
        <v>251</v>
      </c>
      <c r="H2852" s="50">
        <v>1</v>
      </c>
      <c r="M2852" t="str">
        <f>IF(COUNTIF($A:$A,E2852)=0,"Not Exists","Exists")</f>
        <v>Exists</v>
      </c>
      <c r="N2852" t="str">
        <f t="shared" si="142"/>
        <v>Exists</v>
      </c>
      <c r="O2852" t="str">
        <f t="shared" si="140"/>
        <v>Not Exists</v>
      </c>
      <c r="P2852" t="str">
        <f t="shared" si="141"/>
        <v>Not Exists</v>
      </c>
    </row>
    <row r="2853" spans="1:16">
      <c r="A2853">
        <v>1</v>
      </c>
      <c r="B2853">
        <v>1</v>
      </c>
      <c r="C2853">
        <v>1</v>
      </c>
      <c r="D2853">
        <v>1</v>
      </c>
      <c r="E2853" s="50" t="s">
        <v>1857</v>
      </c>
      <c r="F2853" s="50" t="s">
        <v>1866</v>
      </c>
      <c r="G2853" s="50" t="s">
        <v>256</v>
      </c>
      <c r="H2853" s="50">
        <v>3000</v>
      </c>
      <c r="M2853" t="str">
        <f>IF(COUNTIF($A:$A,E2853)=0,"Not Exists","Exists")</f>
        <v>Exists</v>
      </c>
      <c r="N2853" t="str">
        <f t="shared" si="142"/>
        <v>Exists</v>
      </c>
      <c r="O2853" t="str">
        <f t="shared" si="140"/>
        <v>Not Exists</v>
      </c>
      <c r="P2853" t="str">
        <f t="shared" si="141"/>
        <v>Not Exists</v>
      </c>
    </row>
    <row r="2854" spans="1:16">
      <c r="A2854">
        <v>1</v>
      </c>
      <c r="B2854">
        <v>1</v>
      </c>
      <c r="C2854">
        <v>1</v>
      </c>
      <c r="D2854">
        <v>1</v>
      </c>
      <c r="E2854" s="50" t="s">
        <v>1868</v>
      </c>
      <c r="F2854" s="50" t="s">
        <v>430</v>
      </c>
      <c r="G2854" s="50" t="s">
        <v>256</v>
      </c>
      <c r="H2854" s="50">
        <v>50</v>
      </c>
      <c r="M2854" t="str">
        <f>IF(COUNTIF($A:$A,E2854)=0,"Not Exists","Exists")</f>
        <v>Exists</v>
      </c>
      <c r="N2854" t="str">
        <f t="shared" si="142"/>
        <v>Exists</v>
      </c>
      <c r="O2854" t="str">
        <f t="shared" si="140"/>
        <v>Not Exists</v>
      </c>
      <c r="P2854" t="str">
        <f t="shared" si="141"/>
        <v>Not Exists</v>
      </c>
    </row>
    <row r="2855" spans="1:16">
      <c r="A2855">
        <v>1</v>
      </c>
      <c r="B2855">
        <v>1</v>
      </c>
      <c r="C2855">
        <v>1</v>
      </c>
      <c r="D2855">
        <v>1</v>
      </c>
      <c r="E2855" s="50" t="s">
        <v>1868</v>
      </c>
      <c r="F2855" s="50" t="s">
        <v>1897</v>
      </c>
      <c r="G2855" s="50" t="s">
        <v>256</v>
      </c>
      <c r="H2855" s="50">
        <v>50</v>
      </c>
      <c r="M2855" t="str">
        <f>IF(COUNTIF($A:$A,E2855)=0,"Not Exists","Exists")</f>
        <v>Exists</v>
      </c>
      <c r="N2855" t="str">
        <f t="shared" si="142"/>
        <v>Exists</v>
      </c>
      <c r="O2855" t="str">
        <f t="shared" si="140"/>
        <v>Not Exists</v>
      </c>
      <c r="P2855" t="str">
        <f t="shared" si="141"/>
        <v>Not Exists</v>
      </c>
    </row>
    <row r="2856" spans="1:16">
      <c r="A2856">
        <v>1</v>
      </c>
      <c r="B2856">
        <v>1</v>
      </c>
      <c r="C2856">
        <v>1</v>
      </c>
      <c r="D2856">
        <v>1</v>
      </c>
      <c r="E2856" s="50" t="s">
        <v>1868</v>
      </c>
      <c r="F2856" s="50" t="s">
        <v>1874</v>
      </c>
      <c r="G2856" s="50" t="s">
        <v>256</v>
      </c>
      <c r="H2856" s="50">
        <v>50</v>
      </c>
      <c r="M2856" t="str">
        <f>IF(COUNTIF($A:$A,E2856)=0,"Not Exists","Exists")</f>
        <v>Exists</v>
      </c>
      <c r="N2856" t="str">
        <f t="shared" si="142"/>
        <v>Exists</v>
      </c>
      <c r="O2856" t="str">
        <f t="shared" si="140"/>
        <v>Not Exists</v>
      </c>
      <c r="P2856" t="str">
        <f t="shared" si="141"/>
        <v>Not Exists</v>
      </c>
    </row>
    <row r="2857" spans="1:16">
      <c r="A2857">
        <v>1</v>
      </c>
      <c r="B2857">
        <v>1</v>
      </c>
      <c r="C2857">
        <v>1</v>
      </c>
      <c r="D2857">
        <v>1</v>
      </c>
      <c r="E2857" s="50" t="s">
        <v>1868</v>
      </c>
      <c r="F2857" s="50" t="s">
        <v>1875</v>
      </c>
      <c r="G2857" s="50" t="s">
        <v>256</v>
      </c>
      <c r="H2857" s="50">
        <v>450</v>
      </c>
      <c r="M2857" t="str">
        <f>IF(COUNTIF($A:$A,E2857)=0,"Not Exists","Exists")</f>
        <v>Exists</v>
      </c>
      <c r="N2857" t="str">
        <f t="shared" si="142"/>
        <v>Exists</v>
      </c>
      <c r="O2857" t="str">
        <f t="shared" si="140"/>
        <v>Not Exists</v>
      </c>
      <c r="P2857" t="str">
        <f t="shared" si="141"/>
        <v>Not Exists</v>
      </c>
    </row>
    <row r="2858" spans="1:16">
      <c r="A2858">
        <v>1</v>
      </c>
      <c r="B2858">
        <v>1</v>
      </c>
      <c r="C2858">
        <v>1</v>
      </c>
      <c r="D2858">
        <v>1</v>
      </c>
      <c r="E2858" s="50" t="s">
        <v>1868</v>
      </c>
      <c r="F2858" s="50" t="s">
        <v>1876</v>
      </c>
      <c r="G2858" s="50" t="s">
        <v>256</v>
      </c>
      <c r="H2858" s="50">
        <v>3000</v>
      </c>
      <c r="M2858" t="str">
        <f>IF(COUNTIF($A:$A,E2858)=0,"Not Exists","Exists")</f>
        <v>Exists</v>
      </c>
      <c r="N2858" t="str">
        <f t="shared" si="142"/>
        <v>Exists</v>
      </c>
      <c r="O2858" t="str">
        <f t="shared" si="140"/>
        <v>Not Exists</v>
      </c>
      <c r="P2858" t="str">
        <f t="shared" si="141"/>
        <v>Not Exists</v>
      </c>
    </row>
    <row r="2859" spans="1:16">
      <c r="A2859">
        <v>1</v>
      </c>
      <c r="B2859">
        <v>1</v>
      </c>
      <c r="C2859">
        <v>1</v>
      </c>
      <c r="D2859">
        <v>1</v>
      </c>
      <c r="E2859" s="50" t="s">
        <v>1868</v>
      </c>
      <c r="F2859" s="50" t="s">
        <v>1877</v>
      </c>
      <c r="G2859" s="50" t="s">
        <v>256</v>
      </c>
      <c r="H2859" s="50">
        <v>3000</v>
      </c>
      <c r="M2859" t="str">
        <f>IF(COUNTIF($A:$A,E2859)=0,"Not Exists","Exists")</f>
        <v>Exists</v>
      </c>
      <c r="N2859" t="str">
        <f t="shared" si="142"/>
        <v>Exists</v>
      </c>
      <c r="O2859" t="str">
        <f t="shared" si="140"/>
        <v>Not Exists</v>
      </c>
      <c r="P2859" t="str">
        <f t="shared" si="141"/>
        <v>Not Exists</v>
      </c>
    </row>
    <row r="2860" spans="1:16">
      <c r="A2860">
        <v>1</v>
      </c>
      <c r="B2860">
        <v>1</v>
      </c>
      <c r="C2860">
        <v>1</v>
      </c>
      <c r="D2860">
        <v>1</v>
      </c>
      <c r="E2860" s="50" t="s">
        <v>1868</v>
      </c>
      <c r="F2860" s="50" t="s">
        <v>1878</v>
      </c>
      <c r="G2860" s="50" t="s">
        <v>256</v>
      </c>
      <c r="H2860" s="50">
        <v>3000</v>
      </c>
      <c r="M2860" t="str">
        <f>IF(COUNTIF($A:$A,E2860)=0,"Not Exists","Exists")</f>
        <v>Exists</v>
      </c>
      <c r="N2860" t="str">
        <f t="shared" si="142"/>
        <v>Exists</v>
      </c>
      <c r="O2860" t="str">
        <f t="shared" si="140"/>
        <v>Not Exists</v>
      </c>
      <c r="P2860" t="str">
        <f t="shared" si="141"/>
        <v>Not Exists</v>
      </c>
    </row>
    <row r="2861" spans="1:16">
      <c r="A2861">
        <v>1</v>
      </c>
      <c r="B2861">
        <v>1</v>
      </c>
      <c r="C2861">
        <v>1</v>
      </c>
      <c r="D2861">
        <v>1</v>
      </c>
      <c r="E2861" s="50" t="s">
        <v>1868</v>
      </c>
      <c r="F2861" s="50" t="s">
        <v>1879</v>
      </c>
      <c r="G2861" s="50" t="s">
        <v>256</v>
      </c>
      <c r="H2861" s="50">
        <v>3000</v>
      </c>
      <c r="M2861" t="str">
        <f>IF(COUNTIF($A:$A,E2861)=0,"Not Exists","Exists")</f>
        <v>Exists</v>
      </c>
      <c r="N2861" t="str">
        <f t="shared" si="142"/>
        <v>Exists</v>
      </c>
      <c r="O2861" t="str">
        <f t="shared" si="140"/>
        <v>Not Exists</v>
      </c>
      <c r="P2861" t="str">
        <f t="shared" si="141"/>
        <v>Not Exists</v>
      </c>
    </row>
    <row r="2862" spans="1:16">
      <c r="A2862">
        <v>1</v>
      </c>
      <c r="B2862">
        <v>1</v>
      </c>
      <c r="C2862">
        <v>1</v>
      </c>
      <c r="D2862">
        <v>1</v>
      </c>
      <c r="E2862" s="50" t="s">
        <v>1868</v>
      </c>
      <c r="F2862" s="50" t="s">
        <v>1880</v>
      </c>
      <c r="G2862" s="50" t="s">
        <v>256</v>
      </c>
      <c r="H2862" s="50">
        <v>50</v>
      </c>
      <c r="M2862" t="str">
        <f>IF(COUNTIF($A:$A,E2862)=0,"Not Exists","Exists")</f>
        <v>Exists</v>
      </c>
      <c r="N2862" t="str">
        <f t="shared" si="142"/>
        <v>Exists</v>
      </c>
      <c r="O2862" t="str">
        <f t="shared" si="140"/>
        <v>Not Exists</v>
      </c>
      <c r="P2862" t="str">
        <f t="shared" si="141"/>
        <v>Not Exists</v>
      </c>
    </row>
    <row r="2863" spans="1:16">
      <c r="A2863">
        <v>1</v>
      </c>
      <c r="B2863">
        <v>1</v>
      </c>
      <c r="C2863">
        <v>1</v>
      </c>
      <c r="D2863">
        <v>1</v>
      </c>
      <c r="E2863" s="50" t="s">
        <v>1868</v>
      </c>
      <c r="F2863" s="50" t="s">
        <v>1881</v>
      </c>
      <c r="G2863" s="50" t="s">
        <v>256</v>
      </c>
      <c r="H2863" s="50">
        <v>450</v>
      </c>
      <c r="M2863" t="str">
        <f>IF(COUNTIF($A:$A,E2863)=0,"Not Exists","Exists")</f>
        <v>Exists</v>
      </c>
      <c r="N2863" t="str">
        <f t="shared" si="142"/>
        <v>Exists</v>
      </c>
      <c r="O2863" t="str">
        <f t="shared" si="140"/>
        <v>Not Exists</v>
      </c>
      <c r="P2863" t="str">
        <f t="shared" si="141"/>
        <v>Not Exists</v>
      </c>
    </row>
    <row r="2864" spans="1:16">
      <c r="A2864">
        <v>1</v>
      </c>
      <c r="B2864">
        <v>1</v>
      </c>
      <c r="C2864">
        <v>1</v>
      </c>
      <c r="D2864">
        <v>1</v>
      </c>
      <c r="E2864" s="50" t="s">
        <v>1868</v>
      </c>
      <c r="F2864" s="50" t="s">
        <v>818</v>
      </c>
      <c r="G2864" s="50" t="s">
        <v>256</v>
      </c>
      <c r="H2864" s="50">
        <v>450</v>
      </c>
      <c r="M2864" t="str">
        <f>IF(COUNTIF($A:$A,E2864)=0,"Not Exists","Exists")</f>
        <v>Exists</v>
      </c>
      <c r="N2864" t="str">
        <f t="shared" si="142"/>
        <v>Exists</v>
      </c>
      <c r="O2864" t="str">
        <f t="shared" si="140"/>
        <v>Not Exists</v>
      </c>
      <c r="P2864" t="str">
        <f t="shared" si="141"/>
        <v>Not Exists</v>
      </c>
    </row>
    <row r="2865" spans="1:16">
      <c r="A2865">
        <v>1</v>
      </c>
      <c r="B2865">
        <v>1</v>
      </c>
      <c r="C2865">
        <v>1</v>
      </c>
      <c r="D2865">
        <v>1</v>
      </c>
      <c r="E2865" s="50" t="s">
        <v>1868</v>
      </c>
      <c r="F2865" s="50" t="s">
        <v>1883</v>
      </c>
      <c r="G2865" s="50" t="s">
        <v>254</v>
      </c>
      <c r="H2865" s="50">
        <v>22</v>
      </c>
      <c r="M2865" t="str">
        <f>IF(COUNTIF($A:$A,E2865)=0,"Not Exists","Exists")</f>
        <v>Exists</v>
      </c>
      <c r="N2865" t="str">
        <f t="shared" si="142"/>
        <v>Exists</v>
      </c>
      <c r="O2865" t="str">
        <f t="shared" si="140"/>
        <v>Not Exists</v>
      </c>
      <c r="P2865" t="str">
        <f t="shared" si="141"/>
        <v>Not Exists</v>
      </c>
    </row>
    <row r="2866" spans="1:16">
      <c r="A2866">
        <v>1</v>
      </c>
      <c r="B2866">
        <v>1</v>
      </c>
      <c r="C2866">
        <v>1</v>
      </c>
      <c r="D2866">
        <v>1</v>
      </c>
      <c r="E2866" s="50" t="s">
        <v>1868</v>
      </c>
      <c r="F2866" s="50" t="s">
        <v>1884</v>
      </c>
      <c r="G2866" s="50" t="s">
        <v>251</v>
      </c>
      <c r="H2866" s="50">
        <v>1</v>
      </c>
      <c r="M2866" t="str">
        <f>IF(COUNTIF($A:$A,E2866)=0,"Not Exists","Exists")</f>
        <v>Exists</v>
      </c>
      <c r="N2866" t="str">
        <f t="shared" si="142"/>
        <v>Exists</v>
      </c>
      <c r="O2866" t="str">
        <f t="shared" si="140"/>
        <v>Not Exists</v>
      </c>
      <c r="P2866" t="str">
        <f t="shared" si="141"/>
        <v>Not Exists</v>
      </c>
    </row>
    <row r="2867" spans="1:16">
      <c r="A2867">
        <v>1</v>
      </c>
      <c r="B2867">
        <v>1</v>
      </c>
      <c r="C2867">
        <v>1</v>
      </c>
      <c r="D2867">
        <v>1</v>
      </c>
      <c r="E2867" s="50" t="s">
        <v>1868</v>
      </c>
      <c r="F2867" s="50" t="s">
        <v>1885</v>
      </c>
      <c r="G2867" s="50" t="s">
        <v>251</v>
      </c>
      <c r="H2867" s="50">
        <v>1</v>
      </c>
      <c r="M2867" t="str">
        <f>IF(COUNTIF($A:$A,E2867)=0,"Not Exists","Exists")</f>
        <v>Exists</v>
      </c>
      <c r="N2867" t="str">
        <f t="shared" si="142"/>
        <v>Exists</v>
      </c>
      <c r="O2867" t="str">
        <f t="shared" si="140"/>
        <v>Not Exists</v>
      </c>
      <c r="P2867" t="str">
        <f t="shared" si="141"/>
        <v>Not Exists</v>
      </c>
    </row>
    <row r="2868" spans="1:16">
      <c r="A2868">
        <v>1</v>
      </c>
      <c r="B2868">
        <v>1</v>
      </c>
      <c r="C2868">
        <v>1</v>
      </c>
      <c r="D2868">
        <v>1</v>
      </c>
      <c r="E2868" s="50" t="s">
        <v>1868</v>
      </c>
      <c r="F2868" s="50" t="s">
        <v>1886</v>
      </c>
      <c r="G2868" s="50" t="s">
        <v>256</v>
      </c>
      <c r="H2868" s="50">
        <v>450</v>
      </c>
      <c r="M2868" t="str">
        <f>IF(COUNTIF($A:$A,E2868)=0,"Not Exists","Exists")</f>
        <v>Exists</v>
      </c>
      <c r="N2868" t="str">
        <f t="shared" si="142"/>
        <v>Exists</v>
      </c>
      <c r="O2868" t="str">
        <f t="shared" si="140"/>
        <v>Not Exists</v>
      </c>
      <c r="P2868" t="str">
        <f t="shared" si="141"/>
        <v>Not Exists</v>
      </c>
    </row>
    <row r="2869" spans="1:16">
      <c r="A2869">
        <v>1</v>
      </c>
      <c r="B2869">
        <v>1</v>
      </c>
      <c r="C2869">
        <v>1</v>
      </c>
      <c r="D2869">
        <v>1</v>
      </c>
      <c r="E2869" s="50" t="s">
        <v>1868</v>
      </c>
      <c r="F2869" s="50" t="s">
        <v>1887</v>
      </c>
      <c r="G2869" s="50" t="s">
        <v>256</v>
      </c>
      <c r="H2869" s="50">
        <v>450</v>
      </c>
      <c r="M2869" t="str">
        <f>IF(COUNTIF($A:$A,E2869)=0,"Not Exists","Exists")</f>
        <v>Exists</v>
      </c>
      <c r="N2869" t="str">
        <f t="shared" si="142"/>
        <v>Exists</v>
      </c>
      <c r="O2869" t="str">
        <f t="shared" si="140"/>
        <v>Not Exists</v>
      </c>
      <c r="P2869" t="str">
        <f t="shared" si="141"/>
        <v>Not Exists</v>
      </c>
    </row>
    <row r="2870" spans="1:16">
      <c r="A2870">
        <v>1</v>
      </c>
      <c r="B2870">
        <v>1</v>
      </c>
      <c r="C2870">
        <v>1</v>
      </c>
      <c r="D2870">
        <v>1</v>
      </c>
      <c r="E2870" s="50" t="s">
        <v>1868</v>
      </c>
      <c r="F2870" s="50" t="s">
        <v>1888</v>
      </c>
      <c r="G2870" s="50" t="s">
        <v>254</v>
      </c>
      <c r="H2870" s="50">
        <v>22</v>
      </c>
      <c r="M2870" t="str">
        <f>IF(COUNTIF($A:$A,E2870)=0,"Not Exists","Exists")</f>
        <v>Exists</v>
      </c>
      <c r="N2870" t="str">
        <f t="shared" si="142"/>
        <v>Exists</v>
      </c>
      <c r="O2870" t="str">
        <f t="shared" si="140"/>
        <v>Not Exists</v>
      </c>
      <c r="P2870" t="str">
        <f t="shared" si="141"/>
        <v>Not Exists</v>
      </c>
    </row>
    <row r="2871" spans="1:16">
      <c r="A2871">
        <v>1</v>
      </c>
      <c r="B2871">
        <v>1</v>
      </c>
      <c r="C2871">
        <v>1</v>
      </c>
      <c r="D2871">
        <v>1</v>
      </c>
      <c r="E2871" s="50" t="s">
        <v>1868</v>
      </c>
      <c r="F2871" s="50" t="s">
        <v>1889</v>
      </c>
      <c r="G2871" s="50" t="s">
        <v>256</v>
      </c>
      <c r="H2871" s="50">
        <v>450</v>
      </c>
      <c r="M2871" t="str">
        <f>IF(COUNTIF($A:$A,E2871)=0,"Not Exists","Exists")</f>
        <v>Exists</v>
      </c>
      <c r="N2871" t="str">
        <f t="shared" si="142"/>
        <v>Exists</v>
      </c>
      <c r="O2871" t="str">
        <f t="shared" si="140"/>
        <v>Not Exists</v>
      </c>
      <c r="P2871" t="str">
        <f t="shared" si="141"/>
        <v>Not Exists</v>
      </c>
    </row>
    <row r="2872" spans="1:16">
      <c r="A2872">
        <v>1</v>
      </c>
      <c r="B2872">
        <v>1</v>
      </c>
      <c r="C2872">
        <v>1</v>
      </c>
      <c r="D2872">
        <v>1</v>
      </c>
      <c r="E2872" s="50" t="s">
        <v>1868</v>
      </c>
      <c r="F2872" s="50" t="s">
        <v>1890</v>
      </c>
      <c r="G2872" s="50" t="s">
        <v>256</v>
      </c>
      <c r="H2872" s="50">
        <v>450</v>
      </c>
      <c r="M2872" t="str">
        <f>IF(COUNTIF($A:$A,E2872)=0,"Not Exists","Exists")</f>
        <v>Exists</v>
      </c>
      <c r="N2872" t="str">
        <f t="shared" si="142"/>
        <v>Exists</v>
      </c>
      <c r="O2872" t="str">
        <f t="shared" si="140"/>
        <v>Not Exists</v>
      </c>
      <c r="P2872" t="str">
        <f t="shared" si="141"/>
        <v>Not Exists</v>
      </c>
    </row>
    <row r="2873" spans="1:16">
      <c r="A2873">
        <v>1</v>
      </c>
      <c r="B2873">
        <v>1</v>
      </c>
      <c r="C2873">
        <v>1</v>
      </c>
      <c r="D2873">
        <v>1</v>
      </c>
      <c r="E2873" s="50" t="s">
        <v>1868</v>
      </c>
      <c r="F2873" s="50" t="s">
        <v>2220</v>
      </c>
      <c r="G2873" s="50" t="s">
        <v>251</v>
      </c>
      <c r="H2873" s="50">
        <v>1</v>
      </c>
      <c r="M2873" t="str">
        <f>IF(COUNTIF($A:$A,E2873)=0,"Not Exists","Exists")</f>
        <v>Exists</v>
      </c>
      <c r="N2873" t="str">
        <f t="shared" si="142"/>
        <v>Not Exists</v>
      </c>
      <c r="O2873" t="str">
        <f t="shared" si="140"/>
        <v>Not Exists</v>
      </c>
      <c r="P2873" t="str">
        <f t="shared" si="141"/>
        <v>Not Exists</v>
      </c>
    </row>
    <row r="2874" spans="1:16">
      <c r="A2874">
        <v>1</v>
      </c>
      <c r="B2874">
        <v>1</v>
      </c>
      <c r="C2874">
        <v>1</v>
      </c>
      <c r="D2874">
        <v>1</v>
      </c>
      <c r="E2874" s="50" t="s">
        <v>1868</v>
      </c>
      <c r="F2874" s="50" t="s">
        <v>1891</v>
      </c>
      <c r="G2874" s="50" t="s">
        <v>251</v>
      </c>
      <c r="H2874" s="50">
        <v>1</v>
      </c>
      <c r="M2874" t="str">
        <f>IF(COUNTIF($A:$A,E2874)=0,"Not Exists","Exists")</f>
        <v>Exists</v>
      </c>
      <c r="N2874" t="str">
        <f t="shared" si="142"/>
        <v>Exists</v>
      </c>
      <c r="O2874" t="str">
        <f t="shared" si="140"/>
        <v>Not Exists</v>
      </c>
      <c r="P2874" t="str">
        <f t="shared" si="141"/>
        <v>Not Exists</v>
      </c>
    </row>
    <row r="2875" spans="1:16">
      <c r="A2875">
        <v>1</v>
      </c>
      <c r="B2875">
        <v>1</v>
      </c>
      <c r="C2875">
        <v>1</v>
      </c>
      <c r="D2875">
        <v>1</v>
      </c>
      <c r="E2875" s="50" t="s">
        <v>1868</v>
      </c>
      <c r="F2875" s="50" t="s">
        <v>1892</v>
      </c>
      <c r="G2875" s="50" t="s">
        <v>251</v>
      </c>
      <c r="H2875" s="50">
        <v>1</v>
      </c>
      <c r="M2875" t="str">
        <f>IF(COUNTIF($A:$A,E2875)=0,"Not Exists","Exists")</f>
        <v>Exists</v>
      </c>
      <c r="N2875" t="str">
        <f t="shared" si="142"/>
        <v>Exists</v>
      </c>
      <c r="O2875" t="str">
        <f t="shared" si="140"/>
        <v>Not Exists</v>
      </c>
      <c r="P2875" t="str">
        <f t="shared" si="141"/>
        <v>Not Exists</v>
      </c>
    </row>
    <row r="2876" spans="1:16">
      <c r="A2876">
        <v>1</v>
      </c>
      <c r="B2876">
        <v>1</v>
      </c>
      <c r="C2876">
        <v>1</v>
      </c>
      <c r="D2876">
        <v>1</v>
      </c>
      <c r="E2876" s="50" t="s">
        <v>1868</v>
      </c>
      <c r="F2876" s="50" t="s">
        <v>1893</v>
      </c>
      <c r="G2876" s="50" t="s">
        <v>251</v>
      </c>
      <c r="H2876" s="50">
        <v>1</v>
      </c>
      <c r="M2876" t="str">
        <f>IF(COUNTIF($A:$A,E2876)=0,"Not Exists","Exists")</f>
        <v>Exists</v>
      </c>
      <c r="N2876" t="str">
        <f t="shared" si="142"/>
        <v>Exists</v>
      </c>
      <c r="O2876" t="str">
        <f t="shared" si="140"/>
        <v>Not Exists</v>
      </c>
      <c r="P2876" t="str">
        <f t="shared" si="141"/>
        <v>Not Exists</v>
      </c>
    </row>
    <row r="2877" spans="1:16">
      <c r="A2877">
        <v>1</v>
      </c>
      <c r="B2877">
        <v>1</v>
      </c>
      <c r="C2877">
        <v>1</v>
      </c>
      <c r="D2877">
        <v>1</v>
      </c>
      <c r="E2877" s="50" t="s">
        <v>1868</v>
      </c>
      <c r="F2877" s="50" t="s">
        <v>1894</v>
      </c>
      <c r="G2877" s="50" t="s">
        <v>251</v>
      </c>
      <c r="H2877" s="50">
        <v>1</v>
      </c>
      <c r="M2877" t="str">
        <f>IF(COUNTIF($A:$A,E2877)=0,"Not Exists","Exists")</f>
        <v>Exists</v>
      </c>
      <c r="N2877" t="str">
        <f t="shared" si="142"/>
        <v>Exists</v>
      </c>
      <c r="O2877" t="str">
        <f t="shared" si="140"/>
        <v>Not Exists</v>
      </c>
      <c r="P2877" t="str">
        <f t="shared" si="141"/>
        <v>Not Exists</v>
      </c>
    </row>
    <row r="2878" spans="1:16">
      <c r="A2878">
        <v>1</v>
      </c>
      <c r="B2878">
        <v>1</v>
      </c>
      <c r="C2878">
        <v>1</v>
      </c>
      <c r="D2878">
        <v>1</v>
      </c>
      <c r="E2878" s="50" t="s">
        <v>1868</v>
      </c>
      <c r="F2878" s="50" t="s">
        <v>1895</v>
      </c>
      <c r="G2878" s="50" t="s">
        <v>251</v>
      </c>
      <c r="H2878" s="50">
        <v>1</v>
      </c>
      <c r="M2878" t="str">
        <f>IF(COUNTIF($A:$A,E2878)=0,"Not Exists","Exists")</f>
        <v>Exists</v>
      </c>
      <c r="N2878" t="str">
        <f t="shared" si="142"/>
        <v>Exists</v>
      </c>
      <c r="O2878" t="str">
        <f t="shared" si="140"/>
        <v>Not Exists</v>
      </c>
      <c r="P2878" t="str">
        <f t="shared" si="141"/>
        <v>Not Exists</v>
      </c>
    </row>
    <row r="2879" spans="1:16">
      <c r="A2879">
        <v>1</v>
      </c>
      <c r="B2879">
        <v>1</v>
      </c>
      <c r="C2879">
        <v>1</v>
      </c>
      <c r="D2879">
        <v>1</v>
      </c>
      <c r="E2879" s="50" t="s">
        <v>1868</v>
      </c>
      <c r="F2879" s="50" t="s">
        <v>1896</v>
      </c>
      <c r="G2879" s="50" t="s">
        <v>251</v>
      </c>
      <c r="H2879" s="50">
        <v>1</v>
      </c>
      <c r="M2879" t="str">
        <f>IF(COUNTIF($A:$A,E2879)=0,"Not Exists","Exists")</f>
        <v>Exists</v>
      </c>
      <c r="N2879" t="str">
        <f t="shared" si="142"/>
        <v>Exists</v>
      </c>
      <c r="O2879" t="str">
        <f t="shared" si="140"/>
        <v>Not Exists</v>
      </c>
      <c r="P2879" t="str">
        <f t="shared" si="141"/>
        <v>Not Exists</v>
      </c>
    </row>
    <row r="2880" spans="1:16">
      <c r="A2880">
        <v>1</v>
      </c>
      <c r="B2880">
        <v>1</v>
      </c>
      <c r="C2880">
        <v>1</v>
      </c>
      <c r="D2880">
        <v>1</v>
      </c>
      <c r="E2880" s="50" t="s">
        <v>1868</v>
      </c>
      <c r="F2880" s="50" t="s">
        <v>1899</v>
      </c>
      <c r="G2880" s="50" t="s">
        <v>256</v>
      </c>
      <c r="H2880" s="50">
        <v>50</v>
      </c>
      <c r="M2880" t="str">
        <f>IF(COUNTIF($A:$A,E2880)=0,"Not Exists","Exists")</f>
        <v>Exists</v>
      </c>
      <c r="N2880" t="str">
        <f t="shared" si="142"/>
        <v>Exists</v>
      </c>
      <c r="O2880" t="str">
        <f t="shared" si="140"/>
        <v>Not Exists</v>
      </c>
      <c r="P2880" t="str">
        <f t="shared" si="141"/>
        <v>Not Exists</v>
      </c>
    </row>
    <row r="2881" spans="1:16">
      <c r="A2881">
        <v>1</v>
      </c>
      <c r="B2881">
        <v>1</v>
      </c>
      <c r="C2881">
        <v>1</v>
      </c>
      <c r="D2881">
        <v>1</v>
      </c>
      <c r="E2881" s="50" t="s">
        <v>1868</v>
      </c>
      <c r="F2881" s="50" t="s">
        <v>1901</v>
      </c>
      <c r="G2881" s="50" t="s">
        <v>256</v>
      </c>
      <c r="H2881" s="50">
        <v>50</v>
      </c>
      <c r="M2881" t="str">
        <f>IF(COUNTIF($A:$A,E2881)=0,"Not Exists","Exists")</f>
        <v>Exists</v>
      </c>
      <c r="N2881" t="str">
        <f t="shared" si="142"/>
        <v>Exists</v>
      </c>
      <c r="O2881" t="str">
        <f t="shared" si="140"/>
        <v>Not Exists</v>
      </c>
      <c r="P2881" t="str">
        <f t="shared" si="141"/>
        <v>Not Exists</v>
      </c>
    </row>
    <row r="2882" spans="1:16">
      <c r="A2882">
        <v>1</v>
      </c>
      <c r="B2882">
        <v>1</v>
      </c>
      <c r="C2882">
        <v>1</v>
      </c>
      <c r="D2882">
        <v>1</v>
      </c>
      <c r="E2882" s="50" t="s">
        <v>1868</v>
      </c>
      <c r="F2882" s="50" t="s">
        <v>2221</v>
      </c>
      <c r="G2882" s="50" t="s">
        <v>254</v>
      </c>
      <c r="H2882" s="50">
        <v>22</v>
      </c>
      <c r="M2882" t="str">
        <f>IF(COUNTIF($A:$A,E2882)=0,"Not Exists","Exists")</f>
        <v>Exists</v>
      </c>
      <c r="N2882" t="str">
        <f t="shared" si="142"/>
        <v>Not Exists</v>
      </c>
      <c r="O2882" t="str">
        <f t="shared" si="140"/>
        <v>Not Exists</v>
      </c>
      <c r="P2882" t="str">
        <f t="shared" si="141"/>
        <v>Not Exists</v>
      </c>
    </row>
    <row r="2883" spans="1:16">
      <c r="A2883">
        <v>1</v>
      </c>
      <c r="B2883">
        <v>1</v>
      </c>
      <c r="C2883">
        <v>1</v>
      </c>
      <c r="D2883">
        <v>1</v>
      </c>
      <c r="E2883" s="50" t="s">
        <v>1868</v>
      </c>
      <c r="F2883" s="50" t="s">
        <v>2222</v>
      </c>
      <c r="G2883" s="50" t="s">
        <v>254</v>
      </c>
      <c r="H2883" s="50">
        <v>22</v>
      </c>
      <c r="M2883" t="str">
        <f>IF(COUNTIF($A:$A,E2883)=0,"Not Exists","Exists")</f>
        <v>Exists</v>
      </c>
      <c r="N2883" t="str">
        <f t="shared" si="142"/>
        <v>Not Exists</v>
      </c>
      <c r="O2883" t="str">
        <f t="shared" si="140"/>
        <v>Not Exists</v>
      </c>
      <c r="P2883" t="str">
        <f t="shared" si="141"/>
        <v>Not Exists</v>
      </c>
    </row>
    <row r="2884" spans="1:16">
      <c r="A2884">
        <v>1</v>
      </c>
      <c r="B2884">
        <v>1</v>
      </c>
      <c r="C2884">
        <v>1</v>
      </c>
      <c r="D2884">
        <v>1</v>
      </c>
      <c r="E2884" s="50" t="s">
        <v>1868</v>
      </c>
      <c r="F2884" s="50" t="s">
        <v>1870</v>
      </c>
      <c r="G2884" s="50" t="s">
        <v>251</v>
      </c>
      <c r="H2884" s="50">
        <v>17</v>
      </c>
      <c r="M2884" t="str">
        <f>IF(COUNTIF($A:$A,E2884)=0,"Not Exists","Exists")</f>
        <v>Exists</v>
      </c>
      <c r="N2884" t="str">
        <f t="shared" si="142"/>
        <v>Exists</v>
      </c>
      <c r="O2884" t="str">
        <f t="shared" ref="O2884:O2907" si="143">IF(COUNTIF($E:$E,A2884)=0,"Not Exists","Exists")</f>
        <v>Not Exists</v>
      </c>
      <c r="P2884" t="str">
        <f t="shared" ref="P2884:P2907" si="144">IF(COUNTIF($F:$F,B2884)=0,"Not Exists","Exists")</f>
        <v>Not Exists</v>
      </c>
    </row>
    <row r="2885" spans="1:16">
      <c r="A2885">
        <v>1</v>
      </c>
      <c r="B2885">
        <v>1</v>
      </c>
      <c r="C2885">
        <v>1</v>
      </c>
      <c r="D2885">
        <v>1</v>
      </c>
      <c r="E2885" s="50" t="s">
        <v>1868</v>
      </c>
      <c r="F2885" s="50" t="s">
        <v>1871</v>
      </c>
      <c r="G2885" s="50" t="s">
        <v>256</v>
      </c>
      <c r="H2885" s="50">
        <v>50</v>
      </c>
      <c r="M2885" t="str">
        <f>IF(COUNTIF($A:$A,E2885)=0,"Not Exists","Exists")</f>
        <v>Exists</v>
      </c>
      <c r="N2885" t="str">
        <f t="shared" si="142"/>
        <v>Exists</v>
      </c>
      <c r="O2885" t="str">
        <f t="shared" si="143"/>
        <v>Not Exists</v>
      </c>
      <c r="P2885" t="str">
        <f t="shared" si="144"/>
        <v>Not Exists</v>
      </c>
    </row>
    <row r="2886" spans="1:16">
      <c r="A2886">
        <v>1</v>
      </c>
      <c r="B2886">
        <v>1</v>
      </c>
      <c r="C2886">
        <v>1</v>
      </c>
      <c r="D2886">
        <v>1</v>
      </c>
      <c r="E2886" s="50" t="s">
        <v>1868</v>
      </c>
      <c r="F2886" s="50" t="s">
        <v>1872</v>
      </c>
      <c r="G2886" s="50" t="s">
        <v>251</v>
      </c>
      <c r="H2886" s="50">
        <v>17</v>
      </c>
      <c r="M2886" t="str">
        <f>IF(COUNTIF($A:$A,E2886)=0,"Not Exists","Exists")</f>
        <v>Exists</v>
      </c>
      <c r="N2886" t="str">
        <f t="shared" si="142"/>
        <v>Exists</v>
      </c>
      <c r="O2886" t="str">
        <f t="shared" si="143"/>
        <v>Not Exists</v>
      </c>
      <c r="P2886" t="str">
        <f t="shared" si="144"/>
        <v>Not Exists</v>
      </c>
    </row>
    <row r="2887" spans="1:16">
      <c r="A2887">
        <v>1</v>
      </c>
      <c r="B2887">
        <v>1</v>
      </c>
      <c r="C2887">
        <v>1</v>
      </c>
      <c r="D2887">
        <v>1</v>
      </c>
      <c r="E2887" s="50" t="s">
        <v>1868</v>
      </c>
      <c r="F2887" s="50" t="s">
        <v>1873</v>
      </c>
      <c r="G2887" s="50" t="s">
        <v>256</v>
      </c>
      <c r="H2887" s="50">
        <v>50</v>
      </c>
      <c r="M2887" t="str">
        <f>IF(COUNTIF($A:$A,E2887)=0,"Not Exists","Exists")</f>
        <v>Exists</v>
      </c>
      <c r="N2887" t="str">
        <f t="shared" si="142"/>
        <v>Exists</v>
      </c>
      <c r="O2887" t="str">
        <f t="shared" si="143"/>
        <v>Not Exists</v>
      </c>
      <c r="P2887" t="str">
        <f t="shared" si="144"/>
        <v>Not Exists</v>
      </c>
    </row>
    <row r="2888" spans="1:16">
      <c r="A2888">
        <v>1</v>
      </c>
      <c r="B2888">
        <v>1</v>
      </c>
      <c r="C2888">
        <v>1</v>
      </c>
      <c r="D2888">
        <v>1</v>
      </c>
      <c r="E2888" s="50" t="s">
        <v>1903</v>
      </c>
      <c r="F2888" s="50" t="s">
        <v>1904</v>
      </c>
      <c r="G2888" s="50" t="s">
        <v>256</v>
      </c>
      <c r="H2888" s="50">
        <v>50</v>
      </c>
      <c r="M2888" t="str">
        <f>IF(COUNTIF($A:$A,E2888)=0,"Not Exists","Exists")</f>
        <v>Exists</v>
      </c>
      <c r="N2888" t="str">
        <f t="shared" si="142"/>
        <v>Exists</v>
      </c>
      <c r="O2888" t="str">
        <f t="shared" si="143"/>
        <v>Not Exists</v>
      </c>
      <c r="P2888" t="str">
        <f t="shared" si="144"/>
        <v>Not Exists</v>
      </c>
    </row>
    <row r="2889" spans="1:16">
      <c r="A2889">
        <v>1</v>
      </c>
      <c r="B2889">
        <v>1</v>
      </c>
      <c r="C2889">
        <v>1</v>
      </c>
      <c r="D2889">
        <v>1</v>
      </c>
      <c r="E2889" s="50" t="s">
        <v>1903</v>
      </c>
      <c r="F2889" s="50" t="s">
        <v>1905</v>
      </c>
      <c r="G2889" s="50" t="s">
        <v>256</v>
      </c>
      <c r="H2889" s="50">
        <v>50</v>
      </c>
      <c r="M2889" t="str">
        <f>IF(COUNTIF($A:$A,E2889)=0,"Not Exists","Exists")</f>
        <v>Exists</v>
      </c>
      <c r="N2889" t="str">
        <f t="shared" si="142"/>
        <v>Exists</v>
      </c>
      <c r="O2889" t="str">
        <f t="shared" si="143"/>
        <v>Not Exists</v>
      </c>
      <c r="P2889" t="str">
        <f t="shared" si="144"/>
        <v>Not Exists</v>
      </c>
    </row>
    <row r="2890" spans="1:16">
      <c r="A2890">
        <v>1</v>
      </c>
      <c r="B2890">
        <v>1</v>
      </c>
      <c r="C2890">
        <v>1</v>
      </c>
      <c r="D2890">
        <v>1</v>
      </c>
      <c r="E2890" s="50" t="s">
        <v>1903</v>
      </c>
      <c r="F2890" s="50" t="s">
        <v>1907</v>
      </c>
      <c r="G2890" s="50" t="s">
        <v>256</v>
      </c>
      <c r="H2890" s="50">
        <v>50</v>
      </c>
      <c r="M2890" t="str">
        <f>IF(COUNTIF($A:$A,E2890)=0,"Not Exists","Exists")</f>
        <v>Exists</v>
      </c>
      <c r="N2890" t="str">
        <f t="shared" si="142"/>
        <v>Exists</v>
      </c>
      <c r="O2890" t="str">
        <f t="shared" si="143"/>
        <v>Not Exists</v>
      </c>
      <c r="P2890" t="str">
        <f t="shared" si="144"/>
        <v>Not Exists</v>
      </c>
    </row>
    <row r="2891" spans="1:16">
      <c r="A2891">
        <v>1</v>
      </c>
      <c r="B2891">
        <v>1</v>
      </c>
      <c r="C2891">
        <v>1</v>
      </c>
      <c r="D2891">
        <v>1</v>
      </c>
      <c r="E2891" s="50" t="s">
        <v>1903</v>
      </c>
      <c r="F2891" s="50" t="s">
        <v>1910</v>
      </c>
      <c r="G2891" s="50" t="s">
        <v>251</v>
      </c>
      <c r="H2891" s="50">
        <v>17</v>
      </c>
      <c r="M2891" t="str">
        <f>IF(COUNTIF($A:$A,E2891)=0,"Not Exists","Exists")</f>
        <v>Exists</v>
      </c>
      <c r="N2891" t="str">
        <f t="shared" si="142"/>
        <v>Exists</v>
      </c>
      <c r="O2891" t="str">
        <f t="shared" si="143"/>
        <v>Not Exists</v>
      </c>
      <c r="P2891" t="str">
        <f t="shared" si="144"/>
        <v>Not Exists</v>
      </c>
    </row>
    <row r="2892" spans="1:16">
      <c r="A2892">
        <v>1</v>
      </c>
      <c r="B2892">
        <v>1</v>
      </c>
      <c r="C2892">
        <v>1</v>
      </c>
      <c r="D2892">
        <v>1</v>
      </c>
      <c r="E2892" s="50" t="s">
        <v>1903</v>
      </c>
      <c r="F2892" s="50" t="s">
        <v>1911</v>
      </c>
      <c r="G2892" s="50" t="s">
        <v>256</v>
      </c>
      <c r="H2892" s="50">
        <v>50</v>
      </c>
      <c r="M2892" t="str">
        <f>IF(COUNTIF($A:$A,E2892)=0,"Not Exists","Exists")</f>
        <v>Exists</v>
      </c>
      <c r="N2892" t="str">
        <f t="shared" si="142"/>
        <v>Exists</v>
      </c>
      <c r="O2892" t="str">
        <f t="shared" si="143"/>
        <v>Not Exists</v>
      </c>
      <c r="P2892" t="str">
        <f t="shared" si="144"/>
        <v>Not Exists</v>
      </c>
    </row>
    <row r="2893" spans="1:16">
      <c r="A2893">
        <v>1</v>
      </c>
      <c r="B2893">
        <v>1</v>
      </c>
      <c r="C2893">
        <v>1</v>
      </c>
      <c r="D2893">
        <v>1</v>
      </c>
      <c r="E2893" s="50" t="s">
        <v>1903</v>
      </c>
      <c r="F2893" s="50" t="s">
        <v>1913</v>
      </c>
      <c r="G2893" s="50" t="s">
        <v>251</v>
      </c>
      <c r="H2893" s="50">
        <v>17</v>
      </c>
      <c r="M2893" t="str">
        <f>IF(COUNTIF($A:$A,E2893)=0,"Not Exists","Exists")</f>
        <v>Exists</v>
      </c>
      <c r="N2893" t="str">
        <f t="shared" si="142"/>
        <v>Exists</v>
      </c>
      <c r="O2893" t="str">
        <f t="shared" si="143"/>
        <v>Not Exists</v>
      </c>
      <c r="P2893" t="str">
        <f t="shared" si="144"/>
        <v>Not Exists</v>
      </c>
    </row>
    <row r="2894" spans="1:16">
      <c r="A2894">
        <v>1</v>
      </c>
      <c r="B2894">
        <v>1</v>
      </c>
      <c r="C2894">
        <v>1</v>
      </c>
      <c r="D2894">
        <v>1</v>
      </c>
      <c r="E2894" s="50" t="s">
        <v>1903</v>
      </c>
      <c r="F2894" s="50" t="s">
        <v>1915</v>
      </c>
      <c r="G2894" s="50" t="s">
        <v>256</v>
      </c>
      <c r="H2894" s="50">
        <v>50</v>
      </c>
      <c r="M2894" t="str">
        <f>IF(COUNTIF($A:$A,E2894)=0,"Not Exists","Exists")</f>
        <v>Exists</v>
      </c>
      <c r="N2894" t="str">
        <f t="shared" si="142"/>
        <v>Exists</v>
      </c>
      <c r="O2894" t="str">
        <f t="shared" si="143"/>
        <v>Not Exists</v>
      </c>
      <c r="P2894" t="str">
        <f t="shared" si="144"/>
        <v>Not Exists</v>
      </c>
    </row>
    <row r="2895" spans="1:16">
      <c r="A2895">
        <v>1</v>
      </c>
      <c r="B2895">
        <v>1</v>
      </c>
      <c r="C2895">
        <v>1</v>
      </c>
      <c r="D2895">
        <v>1</v>
      </c>
      <c r="E2895" s="50" t="s">
        <v>1903</v>
      </c>
      <c r="F2895" s="50" t="s">
        <v>1917</v>
      </c>
      <c r="G2895" s="50" t="s">
        <v>254</v>
      </c>
      <c r="H2895" s="50">
        <v>22</v>
      </c>
      <c r="M2895" t="str">
        <f>IF(COUNTIF($A:$A,E2895)=0,"Not Exists","Exists")</f>
        <v>Exists</v>
      </c>
      <c r="N2895" t="str">
        <f t="shared" si="142"/>
        <v>Exists</v>
      </c>
      <c r="O2895" t="str">
        <f t="shared" si="143"/>
        <v>Not Exists</v>
      </c>
      <c r="P2895" t="str">
        <f t="shared" si="144"/>
        <v>Not Exists</v>
      </c>
    </row>
    <row r="2896" spans="1:16">
      <c r="A2896">
        <v>1</v>
      </c>
      <c r="B2896">
        <v>1</v>
      </c>
      <c r="C2896">
        <v>1</v>
      </c>
      <c r="D2896">
        <v>1</v>
      </c>
      <c r="E2896" s="50" t="s">
        <v>1903</v>
      </c>
      <c r="F2896" s="50" t="s">
        <v>1919</v>
      </c>
      <c r="G2896" s="50" t="s">
        <v>256</v>
      </c>
      <c r="H2896" s="50">
        <v>3000</v>
      </c>
      <c r="M2896" t="str">
        <f>IF(COUNTIF($A:$A,E2896)=0,"Not Exists","Exists")</f>
        <v>Exists</v>
      </c>
      <c r="N2896" t="str">
        <f t="shared" si="142"/>
        <v>Exists</v>
      </c>
      <c r="O2896" t="str">
        <f t="shared" si="143"/>
        <v>Not Exists</v>
      </c>
      <c r="P2896" t="str">
        <f t="shared" si="144"/>
        <v>Not Exists</v>
      </c>
    </row>
    <row r="2897" spans="1:16">
      <c r="A2897">
        <v>1</v>
      </c>
      <c r="B2897">
        <v>1</v>
      </c>
      <c r="C2897">
        <v>1</v>
      </c>
      <c r="D2897">
        <v>1</v>
      </c>
      <c r="E2897" s="50" t="s">
        <v>1903</v>
      </c>
      <c r="F2897" s="50" t="s">
        <v>1921</v>
      </c>
      <c r="G2897" s="50" t="s">
        <v>256</v>
      </c>
      <c r="H2897" s="50">
        <v>3000</v>
      </c>
      <c r="M2897" t="str">
        <f>IF(COUNTIF($A:$A,E2897)=0,"Not Exists","Exists")</f>
        <v>Exists</v>
      </c>
      <c r="N2897" t="str">
        <f t="shared" si="142"/>
        <v>Exists</v>
      </c>
      <c r="O2897" t="str">
        <f t="shared" si="143"/>
        <v>Not Exists</v>
      </c>
      <c r="P2897" t="str">
        <f t="shared" si="144"/>
        <v>Not Exists</v>
      </c>
    </row>
    <row r="2898" spans="1:16">
      <c r="A2898">
        <v>1</v>
      </c>
      <c r="B2898">
        <v>1</v>
      </c>
      <c r="C2898">
        <v>1</v>
      </c>
      <c r="D2898">
        <v>1</v>
      </c>
      <c r="E2898" s="50" t="s">
        <v>1923</v>
      </c>
      <c r="F2898" s="50" t="s">
        <v>1924</v>
      </c>
      <c r="G2898" s="50" t="s">
        <v>256</v>
      </c>
      <c r="H2898" s="50">
        <v>50</v>
      </c>
      <c r="M2898" t="str">
        <f>IF(COUNTIF($A:$A,E2898)=0,"Not Exists","Exists")</f>
        <v>Exists</v>
      </c>
      <c r="N2898" t="str">
        <f t="shared" si="142"/>
        <v>Exists</v>
      </c>
      <c r="O2898" t="str">
        <f t="shared" si="143"/>
        <v>Not Exists</v>
      </c>
      <c r="P2898" t="str">
        <f t="shared" si="144"/>
        <v>Not Exists</v>
      </c>
    </row>
    <row r="2899" spans="1:16">
      <c r="A2899">
        <v>1</v>
      </c>
      <c r="B2899">
        <v>1</v>
      </c>
      <c r="C2899">
        <v>1</v>
      </c>
      <c r="D2899">
        <v>1</v>
      </c>
      <c r="E2899" s="50" t="s">
        <v>1923</v>
      </c>
      <c r="F2899" s="50" t="s">
        <v>1932</v>
      </c>
      <c r="G2899" s="50" t="s">
        <v>251</v>
      </c>
      <c r="H2899" s="50">
        <v>17</v>
      </c>
      <c r="M2899" t="str">
        <f>IF(COUNTIF($A:$A,E2899)=0,"Not Exists","Exists")</f>
        <v>Exists</v>
      </c>
      <c r="N2899" t="str">
        <f t="shared" si="142"/>
        <v>Exists</v>
      </c>
      <c r="O2899" t="str">
        <f t="shared" si="143"/>
        <v>Not Exists</v>
      </c>
      <c r="P2899" t="str">
        <f t="shared" si="144"/>
        <v>Not Exists</v>
      </c>
    </row>
    <row r="2900" spans="1:16">
      <c r="A2900">
        <v>1</v>
      </c>
      <c r="B2900">
        <v>1</v>
      </c>
      <c r="C2900">
        <v>1</v>
      </c>
      <c r="D2900">
        <v>1</v>
      </c>
      <c r="E2900" s="50" t="s">
        <v>1923</v>
      </c>
      <c r="F2900" s="50" t="s">
        <v>1933</v>
      </c>
      <c r="G2900" s="50" t="s">
        <v>256</v>
      </c>
      <c r="H2900" s="50">
        <v>450</v>
      </c>
      <c r="M2900" t="str">
        <f>IF(COUNTIF($A:$A,E2900)=0,"Not Exists","Exists")</f>
        <v>Exists</v>
      </c>
      <c r="N2900" t="str">
        <f t="shared" si="142"/>
        <v>Exists</v>
      </c>
      <c r="O2900" t="str">
        <f t="shared" si="143"/>
        <v>Not Exists</v>
      </c>
      <c r="P2900" t="str">
        <f t="shared" si="144"/>
        <v>Not Exists</v>
      </c>
    </row>
    <row r="2901" spans="1:16">
      <c r="A2901">
        <v>1</v>
      </c>
      <c r="B2901">
        <v>1</v>
      </c>
      <c r="C2901">
        <v>1</v>
      </c>
      <c r="D2901">
        <v>1</v>
      </c>
      <c r="E2901" s="50" t="s">
        <v>1923</v>
      </c>
      <c r="F2901" s="50" t="s">
        <v>1934</v>
      </c>
      <c r="G2901" s="50" t="s">
        <v>256</v>
      </c>
      <c r="H2901" s="50">
        <v>450</v>
      </c>
      <c r="M2901" t="str">
        <f>IF(COUNTIF($A:$A,E2901)=0,"Not Exists","Exists")</f>
        <v>Exists</v>
      </c>
      <c r="N2901" t="str">
        <f t="shared" si="142"/>
        <v>Exists</v>
      </c>
      <c r="O2901" t="str">
        <f t="shared" si="143"/>
        <v>Not Exists</v>
      </c>
      <c r="P2901" t="str">
        <f t="shared" si="144"/>
        <v>Not Exists</v>
      </c>
    </row>
    <row r="2902" spans="1:16">
      <c r="A2902">
        <v>1</v>
      </c>
      <c r="B2902">
        <v>1</v>
      </c>
      <c r="C2902">
        <v>1</v>
      </c>
      <c r="D2902">
        <v>1</v>
      </c>
      <c r="E2902" s="50" t="s">
        <v>1923</v>
      </c>
      <c r="F2902" s="50" t="s">
        <v>1935</v>
      </c>
      <c r="G2902" s="50" t="s">
        <v>256</v>
      </c>
      <c r="H2902" s="50">
        <v>50</v>
      </c>
      <c r="M2902" t="str">
        <f>IF(COUNTIF($A:$A,E2902)=0,"Not Exists","Exists")</f>
        <v>Exists</v>
      </c>
      <c r="N2902" t="str">
        <f t="shared" si="142"/>
        <v>Exists</v>
      </c>
      <c r="O2902" t="str">
        <f t="shared" si="143"/>
        <v>Not Exists</v>
      </c>
      <c r="P2902" t="str">
        <f t="shared" si="144"/>
        <v>Not Exists</v>
      </c>
    </row>
    <row r="2903" spans="1:16">
      <c r="A2903">
        <v>1</v>
      </c>
      <c r="B2903">
        <v>1</v>
      </c>
      <c r="C2903">
        <v>1</v>
      </c>
      <c r="D2903">
        <v>1</v>
      </c>
      <c r="E2903" s="50" t="s">
        <v>1923</v>
      </c>
      <c r="F2903" s="50" t="s">
        <v>1936</v>
      </c>
      <c r="G2903" s="50" t="s">
        <v>256</v>
      </c>
      <c r="H2903" s="50">
        <v>50</v>
      </c>
      <c r="M2903" t="str">
        <f>IF(COUNTIF($A:$A,E2903)=0,"Not Exists","Exists")</f>
        <v>Exists</v>
      </c>
      <c r="N2903" t="str">
        <f t="shared" si="142"/>
        <v>Exists</v>
      </c>
      <c r="O2903" t="str">
        <f t="shared" si="143"/>
        <v>Not Exists</v>
      </c>
      <c r="P2903" t="str">
        <f t="shared" si="144"/>
        <v>Not Exists</v>
      </c>
    </row>
    <row r="2904" spans="1:16">
      <c r="A2904">
        <v>1</v>
      </c>
      <c r="B2904">
        <v>1</v>
      </c>
      <c r="C2904">
        <v>1</v>
      </c>
      <c r="D2904">
        <v>1</v>
      </c>
      <c r="E2904" s="50" t="s">
        <v>1923</v>
      </c>
      <c r="F2904" s="50" t="s">
        <v>1928</v>
      </c>
      <c r="G2904" s="50" t="s">
        <v>251</v>
      </c>
      <c r="H2904" s="50">
        <v>17</v>
      </c>
      <c r="M2904" t="str">
        <f>IF(COUNTIF($A:$A,E2904)=0,"Not Exists","Exists")</f>
        <v>Exists</v>
      </c>
      <c r="N2904" t="str">
        <f t="shared" si="142"/>
        <v>Exists</v>
      </c>
      <c r="O2904" t="str">
        <f t="shared" si="143"/>
        <v>Not Exists</v>
      </c>
      <c r="P2904" t="str">
        <f t="shared" si="144"/>
        <v>Not Exists</v>
      </c>
    </row>
    <row r="2905" spans="1:16">
      <c r="A2905">
        <v>1</v>
      </c>
      <c r="B2905">
        <v>1</v>
      </c>
      <c r="C2905">
        <v>1</v>
      </c>
      <c r="D2905">
        <v>1</v>
      </c>
      <c r="E2905" s="50" t="s">
        <v>1923</v>
      </c>
      <c r="F2905" s="50" t="s">
        <v>1929</v>
      </c>
      <c r="G2905" s="50" t="s">
        <v>256</v>
      </c>
      <c r="H2905" s="50">
        <v>50</v>
      </c>
      <c r="M2905" t="str">
        <f>IF(COUNTIF($A:$A,E2905)=0,"Not Exists","Exists")</f>
        <v>Exists</v>
      </c>
      <c r="N2905" t="str">
        <f t="shared" si="142"/>
        <v>Exists</v>
      </c>
      <c r="O2905" t="str">
        <f t="shared" si="143"/>
        <v>Not Exists</v>
      </c>
      <c r="P2905" t="str">
        <f t="shared" si="144"/>
        <v>Not Exists</v>
      </c>
    </row>
    <row r="2906" spans="1:16">
      <c r="A2906">
        <v>1</v>
      </c>
      <c r="B2906">
        <v>1</v>
      </c>
      <c r="C2906">
        <v>1</v>
      </c>
      <c r="D2906">
        <v>1</v>
      </c>
      <c r="E2906" s="50" t="s">
        <v>1923</v>
      </c>
      <c r="F2906" s="50" t="s">
        <v>1930</v>
      </c>
      <c r="G2906" s="50" t="s">
        <v>251</v>
      </c>
      <c r="H2906" s="50">
        <v>17</v>
      </c>
      <c r="M2906" t="str">
        <f>IF(COUNTIF($A:$A,E2906)=0,"Not Exists","Exists")</f>
        <v>Exists</v>
      </c>
      <c r="N2906" t="str">
        <f t="shared" si="142"/>
        <v>Exists</v>
      </c>
      <c r="O2906" t="str">
        <f t="shared" si="143"/>
        <v>Not Exists</v>
      </c>
      <c r="P2906" t="str">
        <f t="shared" si="144"/>
        <v>Not Exists</v>
      </c>
    </row>
    <row r="2907" spans="1:16">
      <c r="A2907">
        <v>1</v>
      </c>
      <c r="B2907">
        <v>1</v>
      </c>
      <c r="C2907">
        <v>1</v>
      </c>
      <c r="D2907">
        <v>1</v>
      </c>
      <c r="E2907" s="50" t="s">
        <v>1923</v>
      </c>
      <c r="F2907" s="50" t="s">
        <v>1931</v>
      </c>
      <c r="G2907" s="50" t="s">
        <v>256</v>
      </c>
      <c r="H2907" s="50">
        <v>50</v>
      </c>
      <c r="M2907" t="str">
        <f>IF(COUNTIF($A:$A,E2907)=0,"Not Exists","Exists")</f>
        <v>Exists</v>
      </c>
      <c r="N2907" t="str">
        <f t="shared" si="142"/>
        <v>Exists</v>
      </c>
      <c r="O2907" t="str">
        <f t="shared" si="143"/>
        <v>Not Exists</v>
      </c>
      <c r="P2907" t="str">
        <f t="shared" si="144"/>
        <v>Not Exists</v>
      </c>
    </row>
  </sheetData>
  <autoFilter ref="A2:S2907" xr:uid="{11C7586E-5D62-4194-B91B-4FDAC84E9FCC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AA6E-26B2-4D55-9BF0-9B75C27FE728}">
  <dimension ref="B2:E156"/>
  <sheetViews>
    <sheetView workbookViewId="0">
      <selection activeCell="K21" sqref="K21"/>
    </sheetView>
  </sheetViews>
  <sheetFormatPr defaultRowHeight="15"/>
  <cols>
    <col min="2" max="2" width="29.28515625" customWidth="1"/>
    <col min="4" max="4" width="27" customWidth="1"/>
  </cols>
  <sheetData>
    <row r="2" spans="2:5">
      <c r="B2" s="51" t="s">
        <v>242</v>
      </c>
    </row>
    <row r="3" spans="2:5">
      <c r="B3" s="50" t="s">
        <v>244</v>
      </c>
      <c r="C3" s="50" t="s">
        <v>245</v>
      </c>
      <c r="D3" s="50" t="s">
        <v>246</v>
      </c>
      <c r="E3" s="50" t="s">
        <v>247</v>
      </c>
    </row>
    <row r="4" spans="2:5">
      <c r="B4" s="50" t="s">
        <v>307</v>
      </c>
      <c r="C4" s="50" t="s">
        <v>334</v>
      </c>
      <c r="D4" s="50" t="s">
        <v>256</v>
      </c>
      <c r="E4" s="50">
        <v>50</v>
      </c>
    </row>
    <row r="5" spans="2:5">
      <c r="B5" s="50" t="s">
        <v>429</v>
      </c>
      <c r="C5" s="50" t="s">
        <v>436</v>
      </c>
      <c r="D5" s="50" t="s">
        <v>256</v>
      </c>
      <c r="E5" s="50">
        <v>50</v>
      </c>
    </row>
    <row r="6" spans="2:5">
      <c r="B6" s="50" t="s">
        <v>437</v>
      </c>
      <c r="C6" s="50" t="s">
        <v>436</v>
      </c>
      <c r="D6" s="50" t="s">
        <v>256</v>
      </c>
      <c r="E6" s="50">
        <v>50</v>
      </c>
    </row>
    <row r="7" spans="2:5">
      <c r="B7" s="50" t="s">
        <v>438</v>
      </c>
      <c r="C7" s="50" t="s">
        <v>436</v>
      </c>
      <c r="D7" s="50" t="s">
        <v>256</v>
      </c>
      <c r="E7" s="50">
        <v>50</v>
      </c>
    </row>
    <row r="8" spans="2:5">
      <c r="B8" s="50" t="s">
        <v>446</v>
      </c>
      <c r="C8" s="50" t="s">
        <v>436</v>
      </c>
      <c r="D8" s="50" t="s">
        <v>256</v>
      </c>
      <c r="E8" s="50">
        <v>50</v>
      </c>
    </row>
    <row r="9" spans="2:5">
      <c r="B9" s="50" t="s">
        <v>455</v>
      </c>
      <c r="C9" s="50" t="s">
        <v>436</v>
      </c>
      <c r="D9" s="50" t="s">
        <v>256</v>
      </c>
      <c r="E9" s="50">
        <v>50</v>
      </c>
    </row>
    <row r="10" spans="2:5">
      <c r="B10" s="50" t="s">
        <v>482</v>
      </c>
      <c r="C10" s="50" t="s">
        <v>436</v>
      </c>
      <c r="D10" s="50" t="s">
        <v>256</v>
      </c>
      <c r="E10" s="50">
        <v>50</v>
      </c>
    </row>
    <row r="11" spans="2:5">
      <c r="B11" s="50" t="s">
        <v>482</v>
      </c>
      <c r="C11" s="50" t="s">
        <v>496</v>
      </c>
      <c r="D11" s="50" t="s">
        <v>256</v>
      </c>
      <c r="E11" s="50">
        <v>10</v>
      </c>
    </row>
    <row r="12" spans="2:5">
      <c r="B12" s="50" t="s">
        <v>482</v>
      </c>
      <c r="C12" s="50" t="s">
        <v>497</v>
      </c>
      <c r="D12" s="50" t="s">
        <v>256</v>
      </c>
      <c r="E12" s="50">
        <v>10</v>
      </c>
    </row>
    <row r="13" spans="2:5">
      <c r="B13" s="50" t="s">
        <v>482</v>
      </c>
      <c r="C13" s="50" t="s">
        <v>498</v>
      </c>
      <c r="D13" s="50" t="s">
        <v>251</v>
      </c>
      <c r="E13" s="50">
        <v>1</v>
      </c>
    </row>
    <row r="14" spans="2:5">
      <c r="B14" s="50" t="s">
        <v>482</v>
      </c>
      <c r="C14" s="50" t="s">
        <v>499</v>
      </c>
      <c r="D14" s="50" t="s">
        <v>256</v>
      </c>
      <c r="E14" s="50">
        <v>50</v>
      </c>
    </row>
    <row r="15" spans="2:5">
      <c r="B15" s="50" t="s">
        <v>482</v>
      </c>
      <c r="C15" s="50" t="s">
        <v>500</v>
      </c>
      <c r="D15" s="50" t="s">
        <v>251</v>
      </c>
      <c r="E15" s="50">
        <v>1</v>
      </c>
    </row>
    <row r="16" spans="2:5">
      <c r="B16" s="50" t="s">
        <v>482</v>
      </c>
      <c r="C16" s="50" t="s">
        <v>501</v>
      </c>
      <c r="D16" s="50" t="s">
        <v>251</v>
      </c>
      <c r="E16" s="50">
        <v>1</v>
      </c>
    </row>
    <row r="17" spans="2:5">
      <c r="B17" s="50" t="s">
        <v>482</v>
      </c>
      <c r="C17" s="50" t="s">
        <v>502</v>
      </c>
      <c r="D17" s="50" t="s">
        <v>251</v>
      </c>
      <c r="E17" s="50">
        <v>1</v>
      </c>
    </row>
    <row r="18" spans="2:5">
      <c r="B18" s="50" t="s">
        <v>482</v>
      </c>
      <c r="C18" s="50" t="s">
        <v>503</v>
      </c>
      <c r="D18" s="50" t="s">
        <v>256</v>
      </c>
      <c r="E18" s="50">
        <v>10</v>
      </c>
    </row>
    <row r="19" spans="2:5">
      <c r="B19" s="50" t="s">
        <v>482</v>
      </c>
      <c r="C19" s="50" t="s">
        <v>504</v>
      </c>
      <c r="D19" s="50" t="s">
        <v>256</v>
      </c>
      <c r="E19" s="50">
        <v>1000</v>
      </c>
    </row>
    <row r="20" spans="2:5">
      <c r="B20" s="50" t="s">
        <v>482</v>
      </c>
      <c r="C20" s="50" t="s">
        <v>505</v>
      </c>
      <c r="D20" s="50" t="s">
        <v>256</v>
      </c>
      <c r="E20" s="50">
        <v>10</v>
      </c>
    </row>
    <row r="21" spans="2:5">
      <c r="B21" s="50" t="s">
        <v>506</v>
      </c>
      <c r="C21" s="50" t="s">
        <v>436</v>
      </c>
      <c r="D21" s="50" t="s">
        <v>256</v>
      </c>
      <c r="E21" s="50">
        <v>50</v>
      </c>
    </row>
    <row r="22" spans="2:5">
      <c r="B22" s="50" t="s">
        <v>511</v>
      </c>
      <c r="C22" s="50" t="s">
        <v>436</v>
      </c>
      <c r="D22" s="50" t="s">
        <v>256</v>
      </c>
      <c r="E22" s="50">
        <v>50</v>
      </c>
    </row>
    <row r="23" spans="2:5">
      <c r="B23" s="50" t="s">
        <v>513</v>
      </c>
      <c r="C23" s="50" t="s">
        <v>436</v>
      </c>
      <c r="D23" s="50" t="s">
        <v>256</v>
      </c>
      <c r="E23" s="50">
        <v>50</v>
      </c>
    </row>
    <row r="24" spans="2:5">
      <c r="B24" s="50" t="s">
        <v>523</v>
      </c>
      <c r="C24" s="50" t="s">
        <v>436</v>
      </c>
      <c r="D24" s="50" t="s">
        <v>256</v>
      </c>
      <c r="E24" s="50">
        <v>50</v>
      </c>
    </row>
    <row r="25" spans="2:5">
      <c r="B25" s="50" t="s">
        <v>530</v>
      </c>
      <c r="C25" s="50" t="s">
        <v>436</v>
      </c>
      <c r="D25" s="50" t="s">
        <v>256</v>
      </c>
      <c r="E25" s="50">
        <v>50</v>
      </c>
    </row>
    <row r="26" spans="2:5">
      <c r="B26" s="50" t="s">
        <v>530</v>
      </c>
      <c r="C26" s="50" t="s">
        <v>537</v>
      </c>
      <c r="D26" s="50" t="s">
        <v>251</v>
      </c>
      <c r="E26" s="50">
        <v>1</v>
      </c>
    </row>
    <row r="27" spans="2:5">
      <c r="B27" s="50" t="s">
        <v>538</v>
      </c>
      <c r="C27" s="50" t="s">
        <v>436</v>
      </c>
      <c r="D27" s="50" t="s">
        <v>256</v>
      </c>
      <c r="E27" s="50">
        <v>50</v>
      </c>
    </row>
    <row r="28" spans="2:5">
      <c r="B28" s="50" t="s">
        <v>541</v>
      </c>
      <c r="C28" s="50" t="s">
        <v>436</v>
      </c>
      <c r="D28" s="50" t="s">
        <v>256</v>
      </c>
      <c r="E28" s="50">
        <v>50</v>
      </c>
    </row>
    <row r="29" spans="2:5">
      <c r="B29" s="50" t="s">
        <v>544</v>
      </c>
      <c r="C29" s="50" t="s">
        <v>436</v>
      </c>
      <c r="D29" s="50" t="s">
        <v>256</v>
      </c>
      <c r="E29" s="50">
        <v>50</v>
      </c>
    </row>
    <row r="30" spans="2:5">
      <c r="B30" s="50" t="s">
        <v>550</v>
      </c>
      <c r="C30" s="50" t="s">
        <v>436</v>
      </c>
      <c r="D30" s="50" t="s">
        <v>256</v>
      </c>
      <c r="E30" s="50">
        <v>50</v>
      </c>
    </row>
    <row r="31" spans="2:5">
      <c r="B31" s="50" t="s">
        <v>553</v>
      </c>
      <c r="C31" s="50" t="s">
        <v>436</v>
      </c>
      <c r="D31" s="50" t="s">
        <v>256</v>
      </c>
      <c r="E31" s="50">
        <v>50</v>
      </c>
    </row>
    <row r="32" spans="2:5">
      <c r="B32" s="50" t="s">
        <v>557</v>
      </c>
      <c r="C32" s="50" t="s">
        <v>436</v>
      </c>
      <c r="D32" s="50" t="s">
        <v>256</v>
      </c>
      <c r="E32" s="50">
        <v>50</v>
      </c>
    </row>
    <row r="33" spans="2:5">
      <c r="B33" s="50" t="s">
        <v>559</v>
      </c>
      <c r="C33" s="50" t="s">
        <v>436</v>
      </c>
      <c r="D33" s="50" t="s">
        <v>256</v>
      </c>
      <c r="E33" s="50">
        <v>50</v>
      </c>
    </row>
    <row r="34" spans="2:5">
      <c r="B34" s="50" t="s">
        <v>561</v>
      </c>
      <c r="C34" s="50" t="s">
        <v>436</v>
      </c>
      <c r="D34" s="50" t="s">
        <v>256</v>
      </c>
      <c r="E34" s="50">
        <v>50</v>
      </c>
    </row>
    <row r="35" spans="2:5">
      <c r="B35" s="50" t="s">
        <v>563</v>
      </c>
      <c r="C35" s="50" t="s">
        <v>436</v>
      </c>
      <c r="D35" s="50" t="s">
        <v>256</v>
      </c>
      <c r="E35" s="50">
        <v>50</v>
      </c>
    </row>
    <row r="36" spans="2:5">
      <c r="B36" s="50" t="s">
        <v>574</v>
      </c>
      <c r="C36" s="50" t="s">
        <v>436</v>
      </c>
      <c r="D36" s="50" t="s">
        <v>256</v>
      </c>
      <c r="E36" s="50">
        <v>50</v>
      </c>
    </row>
    <row r="37" spans="2:5">
      <c r="B37" s="50" t="s">
        <v>574</v>
      </c>
      <c r="C37" s="50" t="s">
        <v>580</v>
      </c>
      <c r="D37" s="50" t="s">
        <v>256</v>
      </c>
      <c r="E37" s="50">
        <v>50</v>
      </c>
    </row>
    <row r="38" spans="2:5">
      <c r="B38" s="50" t="s">
        <v>574</v>
      </c>
      <c r="C38" s="50" t="s">
        <v>581</v>
      </c>
      <c r="D38" s="50" t="s">
        <v>256</v>
      </c>
      <c r="E38" s="50">
        <v>50</v>
      </c>
    </row>
    <row r="39" spans="2:5">
      <c r="B39" s="50" t="s">
        <v>582</v>
      </c>
      <c r="C39" s="50" t="s">
        <v>436</v>
      </c>
      <c r="D39" s="50" t="s">
        <v>256</v>
      </c>
      <c r="E39" s="50">
        <v>50</v>
      </c>
    </row>
    <row r="40" spans="2:5">
      <c r="B40" s="50" t="s">
        <v>653</v>
      </c>
      <c r="C40" s="50" t="s">
        <v>627</v>
      </c>
      <c r="D40" s="50" t="s">
        <v>251</v>
      </c>
      <c r="E40" s="50">
        <v>17</v>
      </c>
    </row>
    <row r="41" spans="2:5">
      <c r="B41" s="50" t="s">
        <v>653</v>
      </c>
      <c r="C41" s="50" t="s">
        <v>629</v>
      </c>
      <c r="D41" s="50" t="s">
        <v>254</v>
      </c>
      <c r="E41" s="50">
        <v>22</v>
      </c>
    </row>
    <row r="42" spans="2:5">
      <c r="B42" s="50" t="s">
        <v>653</v>
      </c>
      <c r="C42" s="50" t="s">
        <v>631</v>
      </c>
      <c r="D42" s="50" t="s">
        <v>254</v>
      </c>
      <c r="E42" s="50">
        <v>22</v>
      </c>
    </row>
    <row r="43" spans="2:5">
      <c r="B43" s="50" t="s">
        <v>653</v>
      </c>
      <c r="C43" s="50" t="s">
        <v>633</v>
      </c>
      <c r="D43" s="50" t="s">
        <v>254</v>
      </c>
      <c r="E43" s="50">
        <v>22</v>
      </c>
    </row>
    <row r="44" spans="2:5">
      <c r="B44" s="50" t="s">
        <v>653</v>
      </c>
      <c r="C44" s="50" t="s">
        <v>658</v>
      </c>
      <c r="D44" s="50" t="s">
        <v>254</v>
      </c>
      <c r="E44" s="50">
        <v>22</v>
      </c>
    </row>
    <row r="45" spans="2:5">
      <c r="B45" s="50" t="s">
        <v>653</v>
      </c>
      <c r="C45" s="50" t="s">
        <v>659</v>
      </c>
      <c r="D45" s="50" t="s">
        <v>256</v>
      </c>
      <c r="E45" s="50">
        <v>50</v>
      </c>
    </row>
    <row r="46" spans="2:5">
      <c r="B46" s="50" t="s">
        <v>653</v>
      </c>
      <c r="C46" s="50" t="s">
        <v>661</v>
      </c>
      <c r="D46" s="50" t="s">
        <v>256</v>
      </c>
      <c r="E46" s="50">
        <v>50</v>
      </c>
    </row>
    <row r="47" spans="2:5">
      <c r="B47" s="50" t="s">
        <v>653</v>
      </c>
      <c r="C47" s="50" t="s">
        <v>662</v>
      </c>
      <c r="D47" s="50" t="s">
        <v>254</v>
      </c>
      <c r="E47" s="50">
        <v>22</v>
      </c>
    </row>
    <row r="48" spans="2:5">
      <c r="B48" s="50" t="s">
        <v>653</v>
      </c>
      <c r="C48" s="50" t="s">
        <v>663</v>
      </c>
      <c r="D48" s="50" t="s">
        <v>256</v>
      </c>
      <c r="E48" s="50">
        <v>50</v>
      </c>
    </row>
    <row r="49" spans="2:5">
      <c r="B49" s="50" t="s">
        <v>653</v>
      </c>
      <c r="C49" s="50" t="s">
        <v>436</v>
      </c>
      <c r="D49" s="50" t="s">
        <v>256</v>
      </c>
      <c r="E49" s="50">
        <v>50</v>
      </c>
    </row>
    <row r="50" spans="2:5">
      <c r="B50" s="50" t="s">
        <v>670</v>
      </c>
      <c r="C50" s="50" t="s">
        <v>677</v>
      </c>
      <c r="D50" s="50" t="s">
        <v>256</v>
      </c>
      <c r="E50" s="50">
        <v>50</v>
      </c>
    </row>
    <row r="51" spans="2:5">
      <c r="B51" s="50" t="s">
        <v>670</v>
      </c>
      <c r="C51" s="50" t="s">
        <v>679</v>
      </c>
      <c r="D51" s="50" t="s">
        <v>251</v>
      </c>
      <c r="E51" s="50">
        <v>17</v>
      </c>
    </row>
    <row r="52" spans="2:5">
      <c r="B52" s="50" t="s">
        <v>670</v>
      </c>
      <c r="C52" s="50" t="s">
        <v>680</v>
      </c>
      <c r="D52" s="50" t="s">
        <v>251</v>
      </c>
      <c r="E52" s="50">
        <v>17</v>
      </c>
    </row>
    <row r="53" spans="2:5">
      <c r="B53" s="50" t="s">
        <v>670</v>
      </c>
      <c r="C53" s="50" t="s">
        <v>685</v>
      </c>
      <c r="D53" s="50" t="s">
        <v>256</v>
      </c>
      <c r="E53" s="50">
        <v>50</v>
      </c>
    </row>
    <row r="54" spans="2:5">
      <c r="B54" s="50" t="s">
        <v>670</v>
      </c>
      <c r="C54" s="50" t="s">
        <v>687</v>
      </c>
      <c r="D54" s="50" t="s">
        <v>256</v>
      </c>
      <c r="E54" s="50">
        <v>50</v>
      </c>
    </row>
    <row r="55" spans="2:5">
      <c r="B55" s="50" t="s">
        <v>670</v>
      </c>
      <c r="C55" s="50" t="s">
        <v>688</v>
      </c>
      <c r="D55" s="50" t="s">
        <v>256</v>
      </c>
      <c r="E55" s="50">
        <v>50</v>
      </c>
    </row>
    <row r="56" spans="2:5">
      <c r="B56" s="50" t="s">
        <v>670</v>
      </c>
      <c r="C56" s="50" t="s">
        <v>697</v>
      </c>
      <c r="D56" s="50" t="s">
        <v>256</v>
      </c>
      <c r="E56" s="50">
        <v>50</v>
      </c>
    </row>
    <row r="57" spans="2:5">
      <c r="B57" s="50" t="s">
        <v>670</v>
      </c>
      <c r="C57" s="50" t="s">
        <v>699</v>
      </c>
      <c r="D57" s="50" t="s">
        <v>256</v>
      </c>
      <c r="E57" s="50">
        <v>50</v>
      </c>
    </row>
    <row r="58" spans="2:5">
      <c r="B58" s="50" t="s">
        <v>670</v>
      </c>
      <c r="C58" s="50" t="s">
        <v>436</v>
      </c>
      <c r="D58" s="50" t="s">
        <v>256</v>
      </c>
      <c r="E58" s="50">
        <v>50</v>
      </c>
    </row>
    <row r="59" spans="2:5">
      <c r="B59" s="50" t="s">
        <v>720</v>
      </c>
      <c r="C59" s="50" t="s">
        <v>627</v>
      </c>
      <c r="D59" s="50" t="s">
        <v>256</v>
      </c>
      <c r="E59" s="50">
        <v>17</v>
      </c>
    </row>
    <row r="60" spans="2:5">
      <c r="B60" s="50" t="s">
        <v>720</v>
      </c>
      <c r="C60" s="50" t="s">
        <v>629</v>
      </c>
      <c r="D60" s="50" t="s">
        <v>254</v>
      </c>
      <c r="E60" s="50">
        <v>22</v>
      </c>
    </row>
    <row r="61" spans="2:5">
      <c r="B61" s="50" t="s">
        <v>720</v>
      </c>
      <c r="C61" s="50" t="s">
        <v>631</v>
      </c>
      <c r="D61" s="50" t="s">
        <v>254</v>
      </c>
      <c r="E61" s="50">
        <v>22</v>
      </c>
    </row>
    <row r="62" spans="2:5">
      <c r="B62" s="50" t="s">
        <v>720</v>
      </c>
      <c r="C62" s="50" t="s">
        <v>633</v>
      </c>
      <c r="D62" s="50" t="s">
        <v>254</v>
      </c>
      <c r="E62" s="50">
        <v>22</v>
      </c>
    </row>
    <row r="63" spans="2:5">
      <c r="B63" s="50" t="s">
        <v>720</v>
      </c>
      <c r="C63" s="50" t="s">
        <v>732</v>
      </c>
      <c r="D63" s="50" t="s">
        <v>254</v>
      </c>
      <c r="E63" s="50">
        <v>22</v>
      </c>
    </row>
    <row r="64" spans="2:5">
      <c r="B64" s="50" t="s">
        <v>720</v>
      </c>
      <c r="C64" s="50" t="s">
        <v>436</v>
      </c>
      <c r="D64" s="50" t="s">
        <v>256</v>
      </c>
      <c r="E64" s="50">
        <v>50</v>
      </c>
    </row>
    <row r="65" spans="2:5">
      <c r="B65" s="50" t="s">
        <v>720</v>
      </c>
      <c r="C65" s="50" t="s">
        <v>733</v>
      </c>
      <c r="D65" s="50" t="s">
        <v>256</v>
      </c>
      <c r="E65" s="50">
        <v>450</v>
      </c>
    </row>
    <row r="66" spans="2:5">
      <c r="B66" s="50" t="s">
        <v>753</v>
      </c>
      <c r="C66" s="50" t="s">
        <v>627</v>
      </c>
      <c r="D66" s="50" t="s">
        <v>256</v>
      </c>
      <c r="E66" s="50">
        <v>17</v>
      </c>
    </row>
    <row r="67" spans="2:5">
      <c r="B67" s="50" t="s">
        <v>753</v>
      </c>
      <c r="C67" s="50" t="s">
        <v>629</v>
      </c>
      <c r="D67" s="50" t="s">
        <v>254</v>
      </c>
      <c r="E67" s="50">
        <v>22</v>
      </c>
    </row>
    <row r="68" spans="2:5">
      <c r="B68" s="50" t="s">
        <v>753</v>
      </c>
      <c r="C68" s="50" t="s">
        <v>631</v>
      </c>
      <c r="D68" s="50" t="s">
        <v>254</v>
      </c>
      <c r="E68" s="50">
        <v>22</v>
      </c>
    </row>
    <row r="69" spans="2:5">
      <c r="B69" s="50" t="s">
        <v>753</v>
      </c>
      <c r="C69" s="50" t="s">
        <v>762</v>
      </c>
      <c r="D69" s="50" t="s">
        <v>256</v>
      </c>
      <c r="E69" s="50">
        <v>50</v>
      </c>
    </row>
    <row r="70" spans="2:5">
      <c r="B70" s="50" t="s">
        <v>753</v>
      </c>
      <c r="C70" s="50" t="s">
        <v>770</v>
      </c>
      <c r="D70" s="50" t="s">
        <v>254</v>
      </c>
      <c r="E70" s="50">
        <v>22</v>
      </c>
    </row>
    <row r="71" spans="2:5">
      <c r="B71" s="50" t="s">
        <v>753</v>
      </c>
      <c r="C71" s="50" t="s">
        <v>633</v>
      </c>
      <c r="D71" s="50" t="s">
        <v>254</v>
      </c>
      <c r="E71" s="50">
        <v>22</v>
      </c>
    </row>
    <row r="72" spans="2:5">
      <c r="B72" s="50" t="s">
        <v>753</v>
      </c>
      <c r="C72" s="50" t="s">
        <v>436</v>
      </c>
      <c r="D72" s="50" t="s">
        <v>256</v>
      </c>
      <c r="E72" s="50">
        <v>50</v>
      </c>
    </row>
    <row r="73" spans="2:5">
      <c r="B73" s="50" t="s">
        <v>778</v>
      </c>
      <c r="C73" s="50" t="s">
        <v>436</v>
      </c>
      <c r="D73" s="50" t="s">
        <v>256</v>
      </c>
      <c r="E73" s="50">
        <v>50</v>
      </c>
    </row>
    <row r="74" spans="2:5">
      <c r="B74" s="50" t="s">
        <v>783</v>
      </c>
      <c r="C74" s="50" t="s">
        <v>436</v>
      </c>
      <c r="D74" s="50" t="s">
        <v>256</v>
      </c>
      <c r="E74" s="50">
        <v>50</v>
      </c>
    </row>
    <row r="75" spans="2:5">
      <c r="B75" s="50" t="s">
        <v>793</v>
      </c>
      <c r="C75" s="50" t="s">
        <v>795</v>
      </c>
      <c r="D75" s="50" t="s">
        <v>254</v>
      </c>
      <c r="E75" s="50">
        <v>22</v>
      </c>
    </row>
    <row r="76" spans="2:5">
      <c r="B76" s="50" t="s">
        <v>793</v>
      </c>
      <c r="C76" s="50" t="s">
        <v>799</v>
      </c>
      <c r="D76" s="50" t="s">
        <v>256</v>
      </c>
      <c r="E76" s="50">
        <v>50</v>
      </c>
    </row>
    <row r="77" spans="2:5">
      <c r="B77" s="50" t="s">
        <v>793</v>
      </c>
      <c r="C77" s="50" t="s">
        <v>802</v>
      </c>
      <c r="D77" s="50" t="s">
        <v>256</v>
      </c>
      <c r="E77" s="50">
        <v>450</v>
      </c>
    </row>
    <row r="78" spans="2:5">
      <c r="B78" s="50" t="s">
        <v>793</v>
      </c>
      <c r="C78" s="50" t="s">
        <v>803</v>
      </c>
      <c r="D78" s="50" t="s">
        <v>256</v>
      </c>
      <c r="E78" s="50">
        <v>50</v>
      </c>
    </row>
    <row r="79" spans="2:5">
      <c r="B79" s="50" t="s">
        <v>793</v>
      </c>
      <c r="C79" s="50" t="s">
        <v>804</v>
      </c>
      <c r="D79" s="50" t="s">
        <v>254</v>
      </c>
      <c r="E79" s="50">
        <v>22</v>
      </c>
    </row>
    <row r="80" spans="2:5">
      <c r="B80" s="50" t="s">
        <v>793</v>
      </c>
      <c r="C80" s="50" t="s">
        <v>805</v>
      </c>
      <c r="D80" s="50" t="s">
        <v>256</v>
      </c>
      <c r="E80" s="50">
        <v>50</v>
      </c>
    </row>
    <row r="81" spans="2:5">
      <c r="B81" s="50" t="s">
        <v>793</v>
      </c>
      <c r="C81" s="50" t="s">
        <v>806</v>
      </c>
      <c r="D81" s="50" t="s">
        <v>254</v>
      </c>
      <c r="E81" s="50">
        <v>22</v>
      </c>
    </row>
    <row r="82" spans="2:5">
      <c r="B82" s="50" t="s">
        <v>793</v>
      </c>
      <c r="C82" s="50" t="s">
        <v>807</v>
      </c>
      <c r="D82" s="50" t="s">
        <v>254</v>
      </c>
      <c r="E82" s="50">
        <v>22</v>
      </c>
    </row>
    <row r="83" spans="2:5">
      <c r="B83" s="50" t="s">
        <v>793</v>
      </c>
      <c r="C83" s="50" t="s">
        <v>808</v>
      </c>
      <c r="D83" s="50" t="s">
        <v>254</v>
      </c>
      <c r="E83" s="50">
        <v>22</v>
      </c>
    </row>
    <row r="84" spans="2:5">
      <c r="B84" s="50" t="s">
        <v>827</v>
      </c>
      <c r="C84" s="50" t="s">
        <v>805</v>
      </c>
      <c r="D84" s="50" t="s">
        <v>256</v>
      </c>
      <c r="E84" s="50">
        <v>50</v>
      </c>
    </row>
    <row r="85" spans="2:5">
      <c r="B85" s="50" t="s">
        <v>827</v>
      </c>
      <c r="C85" s="50" t="s">
        <v>806</v>
      </c>
      <c r="D85" s="50" t="s">
        <v>254</v>
      </c>
      <c r="E85" s="50">
        <v>22</v>
      </c>
    </row>
    <row r="86" spans="2:5">
      <c r="B86" s="50" t="s">
        <v>827</v>
      </c>
      <c r="C86" s="50" t="s">
        <v>829</v>
      </c>
      <c r="D86" s="50" t="s">
        <v>256</v>
      </c>
      <c r="E86" s="50">
        <v>50</v>
      </c>
    </row>
    <row r="87" spans="2:5">
      <c r="B87" s="50" t="s">
        <v>827</v>
      </c>
      <c r="C87" s="50" t="s">
        <v>830</v>
      </c>
      <c r="D87" s="50" t="s">
        <v>256</v>
      </c>
      <c r="E87" s="50">
        <v>1000</v>
      </c>
    </row>
    <row r="88" spans="2:5">
      <c r="B88" s="50" t="s">
        <v>827</v>
      </c>
      <c r="C88" s="50" t="s">
        <v>831</v>
      </c>
      <c r="D88" s="50" t="s">
        <v>256</v>
      </c>
      <c r="E88" s="50">
        <v>1000</v>
      </c>
    </row>
    <row r="89" spans="2:5">
      <c r="B89" s="50" t="s">
        <v>827</v>
      </c>
      <c r="C89" s="50" t="s">
        <v>832</v>
      </c>
      <c r="D89" s="50" t="s">
        <v>256</v>
      </c>
      <c r="E89" s="50">
        <v>50</v>
      </c>
    </row>
    <row r="90" spans="2:5">
      <c r="B90" s="50" t="s">
        <v>827</v>
      </c>
      <c r="C90" s="50" t="s">
        <v>835</v>
      </c>
      <c r="D90" s="50" t="s">
        <v>427</v>
      </c>
      <c r="E90" s="50">
        <v>4000</v>
      </c>
    </row>
    <row r="91" spans="2:5">
      <c r="B91" s="50" t="s">
        <v>827</v>
      </c>
      <c r="C91" s="50" t="s">
        <v>436</v>
      </c>
      <c r="D91" s="50" t="s">
        <v>256</v>
      </c>
      <c r="E91" s="50">
        <v>50</v>
      </c>
    </row>
    <row r="92" spans="2:5">
      <c r="B92" s="50" t="s">
        <v>836</v>
      </c>
      <c r="C92" s="50" t="s">
        <v>436</v>
      </c>
      <c r="D92" s="50" t="s">
        <v>256</v>
      </c>
      <c r="E92" s="50">
        <v>50</v>
      </c>
    </row>
    <row r="93" spans="2:5">
      <c r="B93" s="50" t="s">
        <v>841</v>
      </c>
      <c r="C93" s="50" t="s">
        <v>436</v>
      </c>
      <c r="D93" s="50" t="s">
        <v>256</v>
      </c>
      <c r="E93" s="50">
        <v>50</v>
      </c>
    </row>
    <row r="94" spans="2:5">
      <c r="B94" s="50" t="s">
        <v>862</v>
      </c>
      <c r="C94" s="50" t="s">
        <v>736</v>
      </c>
      <c r="D94" s="50" t="s">
        <v>254</v>
      </c>
      <c r="E94" s="50">
        <v>22</v>
      </c>
    </row>
    <row r="95" spans="2:5">
      <c r="B95" s="50" t="s">
        <v>862</v>
      </c>
      <c r="C95" s="50" t="s">
        <v>811</v>
      </c>
      <c r="D95" s="50" t="s">
        <v>254</v>
      </c>
      <c r="E95" s="50">
        <v>22</v>
      </c>
    </row>
    <row r="96" spans="2:5">
      <c r="B96" s="50" t="s">
        <v>862</v>
      </c>
      <c r="C96" s="50" t="s">
        <v>436</v>
      </c>
      <c r="D96" s="50" t="s">
        <v>256</v>
      </c>
      <c r="E96" s="50">
        <v>50</v>
      </c>
    </row>
    <row r="97" spans="2:5">
      <c r="B97" s="50" t="s">
        <v>881</v>
      </c>
      <c r="C97" s="50" t="s">
        <v>436</v>
      </c>
      <c r="D97" s="50" t="s">
        <v>256</v>
      </c>
      <c r="E97" s="50">
        <v>50</v>
      </c>
    </row>
    <row r="98" spans="2:5">
      <c r="B98" s="50" t="s">
        <v>925</v>
      </c>
      <c r="C98" s="50" t="s">
        <v>436</v>
      </c>
      <c r="D98" s="50" t="s">
        <v>256</v>
      </c>
      <c r="E98" s="50">
        <v>50</v>
      </c>
    </row>
    <row r="99" spans="2:5">
      <c r="B99" s="50" t="s">
        <v>997</v>
      </c>
      <c r="C99" s="50" t="s">
        <v>999</v>
      </c>
      <c r="D99" s="50" t="s">
        <v>256</v>
      </c>
      <c r="E99" s="50">
        <v>50</v>
      </c>
    </row>
    <row r="100" spans="2:5">
      <c r="B100" s="50" t="s">
        <v>1021</v>
      </c>
      <c r="C100" s="50" t="s">
        <v>1028</v>
      </c>
      <c r="D100" s="50" t="s">
        <v>256</v>
      </c>
      <c r="E100" s="50">
        <v>50</v>
      </c>
    </row>
    <row r="101" spans="2:5">
      <c r="B101" s="50" t="s">
        <v>1040</v>
      </c>
      <c r="C101" s="50" t="s">
        <v>1043</v>
      </c>
      <c r="D101" s="50" t="s">
        <v>256</v>
      </c>
      <c r="E101" s="50">
        <v>50</v>
      </c>
    </row>
    <row r="102" spans="2:5">
      <c r="B102" s="50" t="s">
        <v>1059</v>
      </c>
      <c r="C102" s="50" t="s">
        <v>1064</v>
      </c>
      <c r="D102" s="50" t="s">
        <v>256</v>
      </c>
      <c r="E102" s="50">
        <v>50</v>
      </c>
    </row>
    <row r="103" spans="2:5">
      <c r="B103" s="50" t="s">
        <v>1078</v>
      </c>
      <c r="C103" s="50" t="s">
        <v>1082</v>
      </c>
      <c r="D103" s="50" t="s">
        <v>256</v>
      </c>
      <c r="E103" s="50">
        <v>50</v>
      </c>
    </row>
    <row r="104" spans="2:5">
      <c r="B104" s="50" t="s">
        <v>1095</v>
      </c>
      <c r="C104" s="50" t="s">
        <v>1100</v>
      </c>
      <c r="D104" s="50" t="s">
        <v>256</v>
      </c>
      <c r="E104" s="50">
        <v>50</v>
      </c>
    </row>
    <row r="105" spans="2:5">
      <c r="B105" s="50" t="s">
        <v>1120</v>
      </c>
      <c r="C105" s="50" t="s">
        <v>1123</v>
      </c>
      <c r="D105" s="50" t="s">
        <v>256</v>
      </c>
      <c r="E105" s="50">
        <v>50</v>
      </c>
    </row>
    <row r="106" spans="2:5">
      <c r="B106" s="50" t="s">
        <v>1234</v>
      </c>
      <c r="C106" s="50" t="s">
        <v>1237</v>
      </c>
      <c r="D106" s="50" t="s">
        <v>256</v>
      </c>
      <c r="E106" s="50">
        <v>50</v>
      </c>
    </row>
    <row r="107" spans="2:5">
      <c r="B107" s="50" t="s">
        <v>1251</v>
      </c>
      <c r="C107" s="50" t="s">
        <v>1254</v>
      </c>
      <c r="D107" s="50" t="s">
        <v>256</v>
      </c>
      <c r="E107" s="50">
        <v>50</v>
      </c>
    </row>
    <row r="108" spans="2:5">
      <c r="B108" s="50" t="s">
        <v>1272</v>
      </c>
      <c r="C108" s="50" t="s">
        <v>1275</v>
      </c>
      <c r="D108" s="50" t="s">
        <v>256</v>
      </c>
      <c r="E108" s="50">
        <v>50</v>
      </c>
    </row>
    <row r="109" spans="2:5">
      <c r="B109" s="50" t="s">
        <v>1272</v>
      </c>
      <c r="C109" s="50" t="s">
        <v>1331</v>
      </c>
      <c r="D109" s="50" t="s">
        <v>256</v>
      </c>
      <c r="E109" s="50">
        <v>10</v>
      </c>
    </row>
    <row r="110" spans="2:5">
      <c r="B110" s="50" t="s">
        <v>1272</v>
      </c>
      <c r="C110" s="50" t="s">
        <v>1333</v>
      </c>
      <c r="D110" s="50" t="s">
        <v>256</v>
      </c>
      <c r="E110" s="50">
        <v>10</v>
      </c>
    </row>
    <row r="111" spans="2:5">
      <c r="B111" s="50" t="s">
        <v>1272</v>
      </c>
      <c r="C111" s="50" t="s">
        <v>1335</v>
      </c>
      <c r="D111" s="50" t="s">
        <v>256</v>
      </c>
      <c r="E111" s="50">
        <v>10</v>
      </c>
    </row>
    <row r="112" spans="2:5">
      <c r="B112" s="50" t="s">
        <v>1272</v>
      </c>
      <c r="C112" s="50" t="s">
        <v>1337</v>
      </c>
      <c r="D112" s="50" t="s">
        <v>256</v>
      </c>
      <c r="E112" s="50">
        <v>10</v>
      </c>
    </row>
    <row r="113" spans="2:5">
      <c r="B113" s="50" t="s">
        <v>1272</v>
      </c>
      <c r="C113" s="50" t="s">
        <v>1339</v>
      </c>
      <c r="D113" s="50" t="s">
        <v>256</v>
      </c>
      <c r="E113" s="50">
        <v>10</v>
      </c>
    </row>
    <row r="114" spans="2:5">
      <c r="B114" s="50" t="s">
        <v>1272</v>
      </c>
      <c r="C114" s="50" t="s">
        <v>1341</v>
      </c>
      <c r="D114" s="50" t="s">
        <v>251</v>
      </c>
      <c r="E114" s="50">
        <v>1</v>
      </c>
    </row>
    <row r="115" spans="2:5">
      <c r="B115" s="50" t="s">
        <v>1272</v>
      </c>
      <c r="C115" s="50" t="s">
        <v>1343</v>
      </c>
      <c r="D115" s="50" t="s">
        <v>256</v>
      </c>
      <c r="E115" s="50">
        <v>10</v>
      </c>
    </row>
    <row r="116" spans="2:5">
      <c r="B116" s="50" t="s">
        <v>1272</v>
      </c>
      <c r="C116" s="50" t="s">
        <v>1345</v>
      </c>
      <c r="D116" s="50" t="s">
        <v>256</v>
      </c>
      <c r="E116" s="50">
        <v>10</v>
      </c>
    </row>
    <row r="117" spans="2:5">
      <c r="B117" s="50" t="s">
        <v>1272</v>
      </c>
      <c r="C117" s="50" t="s">
        <v>1347</v>
      </c>
      <c r="D117" s="50" t="s">
        <v>256</v>
      </c>
      <c r="E117" s="50">
        <v>10</v>
      </c>
    </row>
    <row r="118" spans="2:5">
      <c r="B118" s="50" t="s">
        <v>1272</v>
      </c>
      <c r="C118" s="50" t="s">
        <v>1349</v>
      </c>
      <c r="D118" s="50" t="s">
        <v>256</v>
      </c>
      <c r="E118" s="50">
        <v>10</v>
      </c>
    </row>
    <row r="119" spans="2:5">
      <c r="B119" s="50" t="s">
        <v>1351</v>
      </c>
      <c r="C119" s="50" t="s">
        <v>1354</v>
      </c>
      <c r="D119" s="50" t="s">
        <v>256</v>
      </c>
      <c r="E119" s="50">
        <v>50</v>
      </c>
    </row>
    <row r="120" spans="2:5">
      <c r="B120" s="50" t="s">
        <v>1388</v>
      </c>
      <c r="C120" s="50" t="s">
        <v>1391</v>
      </c>
      <c r="D120" s="50" t="s">
        <v>256</v>
      </c>
      <c r="E120" s="50">
        <v>50</v>
      </c>
    </row>
    <row r="121" spans="2:5">
      <c r="B121" s="50" t="s">
        <v>1403</v>
      </c>
      <c r="C121" s="50" t="s">
        <v>1406</v>
      </c>
      <c r="D121" s="50" t="s">
        <v>256</v>
      </c>
      <c r="E121" s="50">
        <v>50</v>
      </c>
    </row>
    <row r="122" spans="2:5">
      <c r="B122" s="50" t="s">
        <v>1419</v>
      </c>
      <c r="C122" s="50" t="s">
        <v>1421</v>
      </c>
      <c r="D122" s="50" t="s">
        <v>256</v>
      </c>
      <c r="E122" s="50">
        <v>50</v>
      </c>
    </row>
    <row r="123" spans="2:5">
      <c r="B123" s="50" t="s">
        <v>1428</v>
      </c>
      <c r="C123" s="50" t="s">
        <v>1430</v>
      </c>
      <c r="D123" s="50" t="s">
        <v>256</v>
      </c>
      <c r="E123" s="50">
        <v>50</v>
      </c>
    </row>
    <row r="124" spans="2:5">
      <c r="B124" s="50" t="s">
        <v>1438</v>
      </c>
      <c r="C124" s="50" t="s">
        <v>1440</v>
      </c>
      <c r="D124" s="50" t="s">
        <v>256</v>
      </c>
      <c r="E124" s="50">
        <v>50</v>
      </c>
    </row>
    <row r="125" spans="2:5">
      <c r="B125" s="50" t="s">
        <v>1452</v>
      </c>
      <c r="C125" s="50" t="s">
        <v>1454</v>
      </c>
      <c r="D125" s="50" t="s">
        <v>256</v>
      </c>
      <c r="E125" s="50">
        <v>50</v>
      </c>
    </row>
    <row r="126" spans="2:5">
      <c r="B126" s="50" t="s">
        <v>1474</v>
      </c>
      <c r="C126" s="50" t="s">
        <v>1476</v>
      </c>
      <c r="D126" s="50" t="s">
        <v>256</v>
      </c>
      <c r="E126" s="50">
        <v>50</v>
      </c>
    </row>
    <row r="127" spans="2:5">
      <c r="B127" s="50" t="s">
        <v>1529</v>
      </c>
      <c r="C127" s="50" t="s">
        <v>1531</v>
      </c>
      <c r="D127" s="50" t="s">
        <v>256</v>
      </c>
      <c r="E127" s="50">
        <v>50</v>
      </c>
    </row>
    <row r="128" spans="2:5">
      <c r="B128" s="50" t="s">
        <v>1545</v>
      </c>
      <c r="C128" s="50" t="s">
        <v>1547</v>
      </c>
      <c r="D128" s="50" t="s">
        <v>256</v>
      </c>
      <c r="E128" s="50">
        <v>50</v>
      </c>
    </row>
    <row r="129" spans="2:5">
      <c r="B129" s="50" t="s">
        <v>1557</v>
      </c>
      <c r="C129" s="50" t="s">
        <v>1559</v>
      </c>
      <c r="D129" s="50" t="s">
        <v>256</v>
      </c>
      <c r="E129" s="50">
        <v>50</v>
      </c>
    </row>
    <row r="130" spans="2:5">
      <c r="B130" s="50" t="s">
        <v>1576</v>
      </c>
      <c r="C130" s="50" t="s">
        <v>1578</v>
      </c>
      <c r="D130" s="50" t="s">
        <v>256</v>
      </c>
      <c r="E130" s="50">
        <v>50</v>
      </c>
    </row>
    <row r="131" spans="2:5">
      <c r="B131" s="50" t="s">
        <v>1585</v>
      </c>
      <c r="C131" s="50" t="s">
        <v>1587</v>
      </c>
      <c r="D131" s="50" t="s">
        <v>256</v>
      </c>
      <c r="E131" s="50">
        <v>50</v>
      </c>
    </row>
    <row r="132" spans="2:5">
      <c r="B132" s="50" t="s">
        <v>1596</v>
      </c>
      <c r="C132" s="50" t="s">
        <v>1599</v>
      </c>
      <c r="D132" s="50" t="s">
        <v>256</v>
      </c>
      <c r="E132" s="50">
        <v>50</v>
      </c>
    </row>
    <row r="133" spans="2:5">
      <c r="B133" s="50" t="s">
        <v>1604</v>
      </c>
      <c r="C133" s="50" t="s">
        <v>1607</v>
      </c>
      <c r="D133" s="50" t="s">
        <v>256</v>
      </c>
      <c r="E133" s="50">
        <v>50</v>
      </c>
    </row>
    <row r="134" spans="2:5">
      <c r="B134" s="50" t="s">
        <v>1613</v>
      </c>
      <c r="C134" s="50" t="s">
        <v>1616</v>
      </c>
      <c r="D134" s="50" t="s">
        <v>256</v>
      </c>
      <c r="E134" s="50">
        <v>50</v>
      </c>
    </row>
    <row r="135" spans="2:5">
      <c r="B135" s="50" t="s">
        <v>1621</v>
      </c>
      <c r="C135" s="50" t="s">
        <v>1622</v>
      </c>
      <c r="D135" s="50" t="s">
        <v>256</v>
      </c>
      <c r="E135" s="50">
        <v>50</v>
      </c>
    </row>
    <row r="136" spans="2:5">
      <c r="B136" s="50" t="s">
        <v>1634</v>
      </c>
      <c r="C136" s="50" t="s">
        <v>1636</v>
      </c>
      <c r="D136" s="50" t="s">
        <v>256</v>
      </c>
      <c r="E136" s="50">
        <v>50</v>
      </c>
    </row>
    <row r="137" spans="2:5">
      <c r="B137" s="50" t="s">
        <v>1650</v>
      </c>
      <c r="C137" s="50" t="s">
        <v>1652</v>
      </c>
      <c r="D137" s="50" t="s">
        <v>256</v>
      </c>
      <c r="E137" s="50">
        <v>50</v>
      </c>
    </row>
    <row r="138" spans="2:5">
      <c r="B138" s="50" t="s">
        <v>1665</v>
      </c>
      <c r="C138" s="50" t="s">
        <v>1667</v>
      </c>
      <c r="D138" s="50" t="s">
        <v>256</v>
      </c>
      <c r="E138" s="50">
        <v>50</v>
      </c>
    </row>
    <row r="139" spans="2:5">
      <c r="B139" s="50" t="s">
        <v>1678</v>
      </c>
      <c r="C139" s="50" t="s">
        <v>1680</v>
      </c>
      <c r="D139" s="50" t="s">
        <v>256</v>
      </c>
      <c r="E139" s="50">
        <v>50</v>
      </c>
    </row>
    <row r="140" spans="2:5">
      <c r="B140" s="50" t="s">
        <v>1692</v>
      </c>
      <c r="C140" s="50" t="s">
        <v>1694</v>
      </c>
      <c r="D140" s="50" t="s">
        <v>256</v>
      </c>
      <c r="E140" s="50">
        <v>50</v>
      </c>
    </row>
    <row r="141" spans="2:5">
      <c r="B141" s="50" t="s">
        <v>1707</v>
      </c>
      <c r="C141" s="50" t="s">
        <v>1709</v>
      </c>
      <c r="D141" s="50" t="s">
        <v>256</v>
      </c>
      <c r="E141" s="50">
        <v>50</v>
      </c>
    </row>
    <row r="142" spans="2:5">
      <c r="B142" s="50" t="s">
        <v>1717</v>
      </c>
      <c r="C142" s="50" t="s">
        <v>1719</v>
      </c>
      <c r="D142" s="50" t="s">
        <v>256</v>
      </c>
      <c r="E142" s="50">
        <v>50</v>
      </c>
    </row>
    <row r="143" spans="2:5">
      <c r="B143" s="50" t="s">
        <v>1732</v>
      </c>
      <c r="C143" s="50" t="s">
        <v>1734</v>
      </c>
      <c r="D143" s="50" t="s">
        <v>256</v>
      </c>
      <c r="E143" s="50">
        <v>50</v>
      </c>
    </row>
    <row r="144" spans="2:5">
      <c r="B144" s="50" t="s">
        <v>1732</v>
      </c>
      <c r="C144" s="50" t="s">
        <v>1744</v>
      </c>
      <c r="D144" s="50" t="s">
        <v>256</v>
      </c>
      <c r="E144" s="50">
        <v>50</v>
      </c>
    </row>
    <row r="145" spans="2:5">
      <c r="B145" s="50" t="s">
        <v>1745</v>
      </c>
      <c r="C145" s="50" t="s">
        <v>1747</v>
      </c>
      <c r="D145" s="50" t="s">
        <v>256</v>
      </c>
      <c r="E145" s="50">
        <v>50</v>
      </c>
    </row>
    <row r="146" spans="2:5">
      <c r="B146" s="50" t="s">
        <v>1757</v>
      </c>
      <c r="C146" s="50" t="s">
        <v>1759</v>
      </c>
      <c r="D146" s="50" t="s">
        <v>256</v>
      </c>
      <c r="E146" s="50">
        <v>50</v>
      </c>
    </row>
    <row r="147" spans="2:5">
      <c r="B147" s="50" t="s">
        <v>1778</v>
      </c>
      <c r="C147" s="50" t="s">
        <v>1780</v>
      </c>
      <c r="D147" s="50" t="s">
        <v>256</v>
      </c>
      <c r="E147" s="50">
        <v>50</v>
      </c>
    </row>
    <row r="148" spans="2:5">
      <c r="B148" s="50" t="s">
        <v>1793</v>
      </c>
      <c r="C148" s="50" t="s">
        <v>1795</v>
      </c>
      <c r="D148" s="50" t="s">
        <v>256</v>
      </c>
      <c r="E148" s="50">
        <v>50</v>
      </c>
    </row>
    <row r="149" spans="2:5">
      <c r="B149" s="50" t="s">
        <v>1809</v>
      </c>
      <c r="C149" s="50" t="s">
        <v>1811</v>
      </c>
      <c r="D149" s="50" t="s">
        <v>256</v>
      </c>
      <c r="E149" s="50">
        <v>50</v>
      </c>
    </row>
    <row r="150" spans="2:5">
      <c r="B150" s="50" t="s">
        <v>1827</v>
      </c>
      <c r="C150" s="50" t="s">
        <v>1830</v>
      </c>
      <c r="D150" s="50" t="s">
        <v>256</v>
      </c>
      <c r="E150" s="50">
        <v>50</v>
      </c>
    </row>
    <row r="151" spans="2:5">
      <c r="B151" s="50" t="s">
        <v>1838</v>
      </c>
      <c r="C151" s="50" t="s">
        <v>1841</v>
      </c>
      <c r="D151" s="50" t="s">
        <v>256</v>
      </c>
      <c r="E151" s="50">
        <v>50</v>
      </c>
    </row>
    <row r="152" spans="2:5">
      <c r="B152" s="50" t="s">
        <v>1846</v>
      </c>
      <c r="C152" s="50" t="s">
        <v>1849</v>
      </c>
      <c r="D152" s="50" t="s">
        <v>256</v>
      </c>
      <c r="E152" s="50">
        <v>50</v>
      </c>
    </row>
    <row r="153" spans="2:5">
      <c r="B153" s="50" t="s">
        <v>1857</v>
      </c>
      <c r="C153" s="50" t="s">
        <v>1859</v>
      </c>
      <c r="D153" s="50" t="s">
        <v>256</v>
      </c>
      <c r="E153" s="50">
        <v>50</v>
      </c>
    </row>
    <row r="154" spans="2:5">
      <c r="B154" s="50" t="s">
        <v>1868</v>
      </c>
      <c r="C154" s="50" t="s">
        <v>1869</v>
      </c>
      <c r="D154" s="50" t="s">
        <v>256</v>
      </c>
      <c r="E154" s="50">
        <v>50</v>
      </c>
    </row>
    <row r="155" spans="2:5">
      <c r="B155" s="50" t="s">
        <v>1903</v>
      </c>
      <c r="C155" s="50" t="s">
        <v>1909</v>
      </c>
      <c r="D155" s="50" t="s">
        <v>256</v>
      </c>
      <c r="E155" s="50">
        <v>50</v>
      </c>
    </row>
    <row r="156" spans="2:5">
      <c r="B156" s="50" t="s">
        <v>1923</v>
      </c>
      <c r="C156" s="50" t="s">
        <v>1926</v>
      </c>
      <c r="D156" s="50" t="s">
        <v>256</v>
      </c>
      <c r="E156" s="50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A5D0-69E3-4789-A559-0CE64D4AB698}">
  <dimension ref="M6:T34"/>
  <sheetViews>
    <sheetView workbookViewId="0">
      <selection activeCell="AB30" sqref="AB30"/>
    </sheetView>
  </sheetViews>
  <sheetFormatPr defaultRowHeight="15"/>
  <cols>
    <col min="13" max="13" width="26.85546875" customWidth="1"/>
    <col min="15" max="15" width="40.7109375" customWidth="1"/>
    <col min="16" max="16" width="93" customWidth="1"/>
    <col min="17" max="20" width="15.85546875" customWidth="1"/>
  </cols>
  <sheetData>
    <row r="6" spans="13:20" ht="45.75">
      <c r="M6" s="142"/>
      <c r="N6" s="143"/>
      <c r="O6" s="143"/>
      <c r="P6" s="144"/>
      <c r="Q6" s="52" t="s">
        <v>2223</v>
      </c>
      <c r="R6" s="52" t="s">
        <v>2224</v>
      </c>
      <c r="S6" s="52" t="s">
        <v>2225</v>
      </c>
      <c r="T6" s="52" t="s">
        <v>2226</v>
      </c>
    </row>
    <row r="7" spans="13:20">
      <c r="M7" s="55" t="s">
        <v>2227</v>
      </c>
      <c r="N7" s="56" t="b">
        <v>1</v>
      </c>
      <c r="O7" s="55" t="s">
        <v>2228</v>
      </c>
      <c r="P7" s="55" t="s">
        <v>2229</v>
      </c>
      <c r="Q7" s="53"/>
      <c r="R7" s="152"/>
      <c r="S7" s="153"/>
      <c r="T7" s="154"/>
    </row>
    <row r="8" spans="13:20">
      <c r="M8" s="146"/>
      <c r="N8" s="147"/>
      <c r="O8" s="148"/>
      <c r="P8" s="55" t="s">
        <v>2230</v>
      </c>
      <c r="Q8" s="53" t="b">
        <v>1</v>
      </c>
      <c r="R8" s="155"/>
      <c r="S8" s="156"/>
      <c r="T8" s="157"/>
    </row>
    <row r="9" spans="13:20">
      <c r="M9" s="149"/>
      <c r="N9" s="150"/>
      <c r="O9" s="151"/>
      <c r="P9" s="55" t="s">
        <v>2231</v>
      </c>
      <c r="Q9" s="53" t="b">
        <v>0</v>
      </c>
      <c r="R9" s="54" t="s">
        <v>2232</v>
      </c>
      <c r="S9" s="53">
        <v>0</v>
      </c>
      <c r="T9" s="53" t="b">
        <v>0</v>
      </c>
    </row>
    <row r="10" spans="13:20">
      <c r="M10" s="145"/>
      <c r="N10" s="145"/>
      <c r="O10" s="145"/>
      <c r="P10" s="145"/>
      <c r="Q10" s="145"/>
      <c r="R10" s="145"/>
      <c r="S10" s="145"/>
      <c r="T10" s="145"/>
    </row>
    <row r="11" spans="13:20">
      <c r="M11" s="145"/>
      <c r="N11" s="145"/>
      <c r="O11" s="145"/>
      <c r="P11" s="145"/>
      <c r="Q11" s="145"/>
      <c r="R11" s="145"/>
      <c r="S11" s="145"/>
      <c r="T11" s="145"/>
    </row>
    <row r="12" spans="13:20">
      <c r="M12" s="55" t="s">
        <v>2233</v>
      </c>
      <c r="N12" s="55"/>
      <c r="O12" s="55" t="s">
        <v>2234</v>
      </c>
      <c r="P12" s="55" t="s">
        <v>2235</v>
      </c>
      <c r="Q12" s="53" t="b">
        <v>0</v>
      </c>
      <c r="R12" s="54" t="s">
        <v>2232</v>
      </c>
      <c r="S12" s="53">
        <v>0</v>
      </c>
      <c r="T12" s="53" t="b">
        <v>0</v>
      </c>
    </row>
    <row r="13" spans="13:20">
      <c r="M13" s="142"/>
      <c r="N13" s="143"/>
      <c r="O13" s="143"/>
      <c r="P13" s="143"/>
      <c r="Q13" s="143"/>
      <c r="R13" s="143"/>
      <c r="S13" s="143"/>
      <c r="T13" s="144"/>
    </row>
    <row r="14" spans="13:20">
      <c r="M14" s="55" t="s">
        <v>2233</v>
      </c>
      <c r="N14" s="55"/>
      <c r="O14" s="55" t="s">
        <v>2236</v>
      </c>
      <c r="P14" s="55" t="s">
        <v>2237</v>
      </c>
      <c r="Q14" s="53" t="b">
        <v>0</v>
      </c>
      <c r="R14" s="54" t="s">
        <v>2232</v>
      </c>
      <c r="S14" s="53">
        <v>0</v>
      </c>
      <c r="T14" s="53" t="b">
        <v>0</v>
      </c>
    </row>
    <row r="15" spans="13:20">
      <c r="M15" s="145"/>
      <c r="N15" s="145"/>
      <c r="O15" s="145"/>
      <c r="P15" s="145"/>
      <c r="Q15" s="145"/>
      <c r="R15" s="145"/>
      <c r="S15" s="145"/>
      <c r="T15" s="145"/>
    </row>
    <row r="16" spans="13:20">
      <c r="M16" s="145"/>
      <c r="N16" s="145"/>
      <c r="O16" s="145"/>
      <c r="P16" s="145"/>
      <c r="Q16" s="145"/>
      <c r="R16" s="145"/>
      <c r="S16" s="145"/>
      <c r="T16" s="145"/>
    </row>
    <row r="17" spans="13:20">
      <c r="M17" s="55" t="s">
        <v>2238</v>
      </c>
      <c r="N17" s="55"/>
      <c r="O17" s="55" t="s">
        <v>2239</v>
      </c>
      <c r="P17" s="55" t="s">
        <v>2240</v>
      </c>
      <c r="Q17" s="53" t="b">
        <v>0</v>
      </c>
      <c r="R17" s="53"/>
      <c r="S17" s="53" t="s">
        <v>2239</v>
      </c>
      <c r="T17" s="53" t="b">
        <v>0</v>
      </c>
    </row>
    <row r="18" spans="13:20">
      <c r="M18" s="55"/>
      <c r="N18" s="55"/>
      <c r="O18" s="55" t="s">
        <v>2241</v>
      </c>
      <c r="P18" s="55" t="s">
        <v>2242</v>
      </c>
      <c r="Q18" s="53" t="b">
        <v>0</v>
      </c>
      <c r="R18" s="53"/>
      <c r="S18" s="53" t="s">
        <v>2241</v>
      </c>
      <c r="T18" s="53" t="b">
        <v>1</v>
      </c>
    </row>
    <row r="19" spans="13:20">
      <c r="M19" s="55" t="s">
        <v>2243</v>
      </c>
      <c r="N19" s="55"/>
      <c r="O19" s="55"/>
      <c r="P19" s="55"/>
      <c r="Q19" s="53" t="b">
        <v>0</v>
      </c>
      <c r="R19" s="53"/>
      <c r="S19" s="53">
        <v>0</v>
      </c>
      <c r="T19" s="53" t="b">
        <v>0</v>
      </c>
    </row>
    <row r="20" spans="13:20" ht="27" customHeight="1">
      <c r="M20" s="145"/>
      <c r="N20" s="145"/>
      <c r="O20" s="145"/>
      <c r="P20" s="145"/>
      <c r="Q20" s="145"/>
      <c r="R20" s="145"/>
      <c r="S20" s="145"/>
      <c r="T20" s="145"/>
    </row>
    <row r="21" spans="13:20">
      <c r="M21" s="55" t="s">
        <v>2244</v>
      </c>
      <c r="N21" s="55"/>
      <c r="O21" s="55"/>
      <c r="P21" s="55" t="s">
        <v>2245</v>
      </c>
      <c r="Q21" s="53" t="b">
        <v>1</v>
      </c>
      <c r="R21" s="54" t="s">
        <v>2232</v>
      </c>
      <c r="S21" s="53">
        <v>0</v>
      </c>
      <c r="T21" s="53" t="b">
        <v>0</v>
      </c>
    </row>
    <row r="22" spans="13:20">
      <c r="M22" s="47"/>
      <c r="N22" s="47"/>
      <c r="O22" s="47"/>
      <c r="P22" s="47"/>
      <c r="Q22" s="47"/>
      <c r="R22" s="47"/>
      <c r="S22" s="47"/>
      <c r="T22" s="47"/>
    </row>
    <row r="23" spans="13:20">
      <c r="M23" s="47"/>
      <c r="N23" s="47"/>
      <c r="O23" s="47"/>
      <c r="P23" s="47"/>
      <c r="Q23" s="47"/>
      <c r="R23" s="47"/>
      <c r="S23" s="47"/>
      <c r="T23" s="47"/>
    </row>
    <row r="24" spans="13:20">
      <c r="M24" s="47"/>
      <c r="N24" s="47"/>
      <c r="O24" s="47"/>
      <c r="P24" s="47"/>
      <c r="Q24" s="47"/>
      <c r="R24" s="47"/>
      <c r="S24" s="47"/>
      <c r="T24" s="47"/>
    </row>
    <row r="25" spans="13:20">
      <c r="M25" s="47"/>
      <c r="N25" s="47"/>
      <c r="O25" s="47"/>
      <c r="P25" s="47"/>
      <c r="Q25" s="47"/>
      <c r="R25" s="47"/>
      <c r="S25" s="47"/>
      <c r="T25" s="47"/>
    </row>
    <row r="26" spans="13:20">
      <c r="M26" s="47"/>
      <c r="N26" s="47"/>
      <c r="O26" s="47"/>
      <c r="P26" s="47"/>
      <c r="Q26" s="47"/>
      <c r="R26" s="47"/>
      <c r="S26" s="47"/>
      <c r="T26" s="47"/>
    </row>
    <row r="27" spans="13:20">
      <c r="M27" s="47"/>
      <c r="N27" s="47"/>
      <c r="O27" s="47"/>
      <c r="P27" s="47"/>
      <c r="Q27" s="47"/>
      <c r="R27" s="47"/>
      <c r="S27" s="47"/>
      <c r="T27" s="47"/>
    </row>
    <row r="28" spans="13:20">
      <c r="M28" s="47"/>
      <c r="N28" s="47"/>
      <c r="O28" s="47"/>
      <c r="P28" s="47"/>
      <c r="Q28" s="47"/>
      <c r="R28" s="47"/>
      <c r="S28" s="47"/>
      <c r="T28" s="47"/>
    </row>
    <row r="29" spans="13:20">
      <c r="M29" s="47"/>
      <c r="N29" s="47"/>
      <c r="O29" s="47"/>
      <c r="P29" s="47"/>
      <c r="Q29" s="47"/>
      <c r="R29" s="47"/>
      <c r="S29" s="47"/>
      <c r="T29" s="47"/>
    </row>
    <row r="30" spans="13:20">
      <c r="M30" s="47"/>
      <c r="N30" s="47"/>
      <c r="O30" s="47"/>
      <c r="P30" s="47"/>
      <c r="Q30" s="47"/>
      <c r="R30" s="47"/>
      <c r="S30" s="47"/>
      <c r="T30" s="47"/>
    </row>
    <row r="31" spans="13:20">
      <c r="M31" s="47"/>
      <c r="N31" s="47"/>
      <c r="O31" s="47"/>
      <c r="P31" s="47"/>
      <c r="Q31" s="47"/>
      <c r="R31" s="47"/>
      <c r="S31" s="47"/>
      <c r="T31" s="47"/>
    </row>
    <row r="32" spans="13:20">
      <c r="M32" s="47"/>
      <c r="N32" s="47"/>
      <c r="O32" s="47"/>
      <c r="P32" s="47"/>
      <c r="Q32" s="47"/>
      <c r="R32" s="47"/>
      <c r="S32" s="47"/>
      <c r="T32" s="47"/>
    </row>
    <row r="33" spans="13:20">
      <c r="M33" s="47"/>
      <c r="N33" s="47"/>
      <c r="O33" s="47"/>
      <c r="P33" s="47"/>
      <c r="Q33" s="47"/>
      <c r="R33" s="47"/>
      <c r="S33" s="47"/>
      <c r="T33" s="47"/>
    </row>
    <row r="34" spans="13:20">
      <c r="M34" s="47"/>
      <c r="N34" s="47"/>
      <c r="O34" s="47"/>
      <c r="P34" s="47"/>
      <c r="Q34" s="47"/>
      <c r="R34" s="47"/>
      <c r="S34" s="47"/>
      <c r="T34" s="47"/>
    </row>
  </sheetData>
  <mergeCells count="7">
    <mergeCell ref="M6:P6"/>
    <mergeCell ref="M10:T11"/>
    <mergeCell ref="M15:T16"/>
    <mergeCell ref="M20:T20"/>
    <mergeCell ref="M13:T13"/>
    <mergeCell ref="M8:O9"/>
    <mergeCell ref="R7:T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70DC-B7FD-48D1-8398-6FE9363D2BAB}">
  <dimension ref="Q8:AM24"/>
  <sheetViews>
    <sheetView topLeftCell="I1" workbookViewId="0">
      <selection activeCell="AD24" sqref="AD24"/>
    </sheetView>
  </sheetViews>
  <sheetFormatPr defaultRowHeight="18.75"/>
  <cols>
    <col min="1" max="17" width="9.140625" style="57"/>
    <col min="18" max="18" width="27.5703125" style="57" customWidth="1"/>
    <col min="19" max="23" width="13.5703125" style="57" customWidth="1"/>
    <col min="24" max="34" width="9.140625" style="57"/>
    <col min="35" max="35" width="15.5703125" style="57" customWidth="1"/>
    <col min="36" max="39" width="16.42578125" style="57" customWidth="1"/>
    <col min="40" max="16384" width="9.140625" style="57"/>
  </cols>
  <sheetData>
    <row r="8" spans="17:39" ht="25.5" customHeight="1"/>
    <row r="9" spans="17:39" ht="25.5" customHeight="1">
      <c r="Q9" s="58"/>
      <c r="R9" s="58"/>
      <c r="S9" s="59" t="s">
        <v>2246</v>
      </c>
      <c r="T9" s="59" t="s">
        <v>2247</v>
      </c>
      <c r="U9" s="59" t="s">
        <v>2248</v>
      </c>
      <c r="V9" s="59" t="s">
        <v>2249</v>
      </c>
      <c r="W9" s="158" t="s">
        <v>2250</v>
      </c>
    </row>
    <row r="10" spans="17:39" ht="25.5" customHeight="1">
      <c r="Q10" s="58" t="s">
        <v>2251</v>
      </c>
      <c r="R10" s="60" t="s">
        <v>2252</v>
      </c>
      <c r="S10" s="61" t="b">
        <v>0</v>
      </c>
      <c r="T10" s="61" t="b">
        <v>0</v>
      </c>
      <c r="U10" s="61" t="b">
        <v>0</v>
      </c>
      <c r="V10" s="61" t="b">
        <v>0</v>
      </c>
      <c r="W10" s="159"/>
      <c r="AH10" s="58" t="s">
        <v>2251</v>
      </c>
      <c r="AI10" s="60" t="s">
        <v>2252</v>
      </c>
      <c r="AJ10" s="59" t="s">
        <v>2246</v>
      </c>
      <c r="AK10" s="59" t="s">
        <v>2247</v>
      </c>
      <c r="AL10" s="59" t="s">
        <v>2248</v>
      </c>
      <c r="AM10" s="59" t="s">
        <v>2249</v>
      </c>
    </row>
    <row r="11" spans="17:39" ht="25.5" customHeight="1">
      <c r="Q11" s="62">
        <v>1</v>
      </c>
      <c r="R11" s="63" t="s">
        <v>2253</v>
      </c>
      <c r="S11" s="64" t="b">
        <v>0</v>
      </c>
      <c r="T11" s="64" t="b">
        <v>0</v>
      </c>
      <c r="U11" s="64" t="b">
        <v>0</v>
      </c>
      <c r="V11" s="64" t="b">
        <v>0</v>
      </c>
      <c r="W11" s="61" t="b">
        <v>0</v>
      </c>
      <c r="AH11" s="62">
        <v>1</v>
      </c>
      <c r="AI11" s="63" t="s">
        <v>2253</v>
      </c>
      <c r="AJ11" s="64" t="b">
        <v>0</v>
      </c>
      <c r="AK11" s="64" t="b">
        <v>0</v>
      </c>
      <c r="AL11" s="64" t="b">
        <v>0</v>
      </c>
      <c r="AM11" s="64" t="b">
        <v>0</v>
      </c>
    </row>
    <row r="12" spans="17:39" ht="25.5" customHeight="1">
      <c r="Q12" s="62">
        <v>2</v>
      </c>
      <c r="R12" s="63" t="s">
        <v>2254</v>
      </c>
      <c r="S12" s="64" t="b">
        <v>0</v>
      </c>
      <c r="T12" s="64" t="b">
        <v>0</v>
      </c>
      <c r="U12" s="64" t="b">
        <v>0</v>
      </c>
      <c r="V12" s="64" t="b">
        <v>0</v>
      </c>
      <c r="W12" s="61" t="b">
        <v>0</v>
      </c>
      <c r="AH12" s="62">
        <v>2</v>
      </c>
      <c r="AI12" s="63" t="s">
        <v>2254</v>
      </c>
      <c r="AJ12" s="64" t="b">
        <v>0</v>
      </c>
      <c r="AK12" s="64" t="b">
        <v>0</v>
      </c>
      <c r="AL12" s="64" t="b">
        <v>0</v>
      </c>
      <c r="AM12" s="64" t="b">
        <v>0</v>
      </c>
    </row>
    <row r="13" spans="17:39" ht="25.5" customHeight="1">
      <c r="Q13" s="62">
        <v>3</v>
      </c>
      <c r="R13" s="63" t="s">
        <v>2255</v>
      </c>
      <c r="S13" s="64" t="b">
        <v>0</v>
      </c>
      <c r="T13" s="64" t="b">
        <v>0</v>
      </c>
      <c r="U13" s="64" t="b">
        <v>0</v>
      </c>
      <c r="V13" s="64" t="b">
        <v>0</v>
      </c>
      <c r="W13" s="61" t="b">
        <v>0</v>
      </c>
      <c r="AH13" s="62">
        <v>3</v>
      </c>
      <c r="AI13" s="63" t="s">
        <v>2255</v>
      </c>
      <c r="AJ13" s="64" t="b">
        <v>0</v>
      </c>
      <c r="AK13" s="64" t="b">
        <v>0</v>
      </c>
      <c r="AL13" s="64" t="b">
        <v>0</v>
      </c>
      <c r="AM13" s="64" t="b">
        <v>0</v>
      </c>
    </row>
    <row r="14" spans="17:39" ht="25.5" customHeight="1">
      <c r="Q14" s="62">
        <v>4</v>
      </c>
      <c r="R14" s="63" t="s">
        <v>2256</v>
      </c>
      <c r="S14" s="64" t="b">
        <v>0</v>
      </c>
      <c r="T14" s="64" t="b">
        <v>0</v>
      </c>
      <c r="U14" s="64" t="b">
        <v>0</v>
      </c>
      <c r="V14" s="64" t="b">
        <v>0</v>
      </c>
      <c r="W14" s="61" t="b">
        <v>0</v>
      </c>
      <c r="AH14" s="62">
        <v>4</v>
      </c>
      <c r="AI14" s="63" t="s">
        <v>2256</v>
      </c>
      <c r="AJ14" s="64" t="b">
        <v>0</v>
      </c>
      <c r="AK14" s="64" t="b">
        <v>0</v>
      </c>
      <c r="AL14" s="64" t="b">
        <v>0</v>
      </c>
      <c r="AM14" s="64" t="b">
        <v>0</v>
      </c>
    </row>
    <row r="15" spans="17:39" ht="25.5" customHeight="1">
      <c r="Q15" s="62">
        <v>5</v>
      </c>
      <c r="R15" s="63" t="s">
        <v>2257</v>
      </c>
      <c r="S15" s="64" t="b">
        <v>0</v>
      </c>
      <c r="T15" s="64" t="b">
        <v>0</v>
      </c>
      <c r="U15" s="64" t="b">
        <v>0</v>
      </c>
      <c r="V15" s="64" t="b">
        <v>0</v>
      </c>
      <c r="W15" s="61" t="b">
        <v>0</v>
      </c>
      <c r="AH15" s="62">
        <v>5</v>
      </c>
      <c r="AI15" s="63" t="s">
        <v>2257</v>
      </c>
      <c r="AJ15" s="64" t="b">
        <v>0</v>
      </c>
      <c r="AK15" s="64" t="b">
        <v>0</v>
      </c>
      <c r="AL15" s="64" t="b">
        <v>0</v>
      </c>
      <c r="AM15" s="64" t="b">
        <v>0</v>
      </c>
    </row>
    <row r="16" spans="17:39" ht="25.5" customHeight="1">
      <c r="Q16" s="62">
        <v>6</v>
      </c>
      <c r="R16" s="63" t="s">
        <v>2258</v>
      </c>
      <c r="S16" s="64" t="b">
        <v>0</v>
      </c>
      <c r="T16" s="64" t="b">
        <v>0</v>
      </c>
      <c r="U16" s="64" t="b">
        <v>0</v>
      </c>
      <c r="V16" s="64" t="b">
        <v>0</v>
      </c>
      <c r="W16" s="61" t="b">
        <v>0</v>
      </c>
      <c r="AH16" s="62">
        <v>6</v>
      </c>
      <c r="AI16" s="63" t="s">
        <v>2258</v>
      </c>
      <c r="AJ16" s="64" t="b">
        <v>0</v>
      </c>
      <c r="AK16" s="64" t="b">
        <v>0</v>
      </c>
      <c r="AL16" s="64" t="b">
        <v>0</v>
      </c>
      <c r="AM16" s="64" t="b">
        <v>0</v>
      </c>
    </row>
    <row r="17" spans="17:39" ht="25.5" customHeight="1">
      <c r="Q17" s="62">
        <v>7</v>
      </c>
      <c r="R17" s="63" t="s">
        <v>2259</v>
      </c>
      <c r="S17" s="64" t="b">
        <v>0</v>
      </c>
      <c r="T17" s="64" t="b">
        <v>0</v>
      </c>
      <c r="U17" s="64" t="b">
        <v>0</v>
      </c>
      <c r="V17" s="64" t="b">
        <v>0</v>
      </c>
      <c r="W17" s="61" t="b">
        <v>0</v>
      </c>
      <c r="AH17" s="62">
        <v>7</v>
      </c>
      <c r="AI17" s="63" t="s">
        <v>2259</v>
      </c>
      <c r="AJ17" s="64" t="b">
        <v>0</v>
      </c>
      <c r="AK17" s="64" t="b">
        <v>0</v>
      </c>
      <c r="AL17" s="64" t="b">
        <v>0</v>
      </c>
      <c r="AM17" s="64" t="b">
        <v>0</v>
      </c>
    </row>
    <row r="18" spans="17:39" ht="25.5" customHeight="1">
      <c r="Q18" s="62">
        <v>8</v>
      </c>
      <c r="R18" s="63" t="s">
        <v>2260</v>
      </c>
      <c r="S18" s="64" t="b">
        <v>0</v>
      </c>
      <c r="T18" s="64" t="b">
        <v>0</v>
      </c>
      <c r="U18" s="64" t="b">
        <v>0</v>
      </c>
      <c r="V18" s="64" t="b">
        <v>0</v>
      </c>
      <c r="W18" s="61" t="b">
        <v>0</v>
      </c>
      <c r="AH18" s="62">
        <v>8</v>
      </c>
      <c r="AI18" s="63" t="s">
        <v>2260</v>
      </c>
      <c r="AJ18" s="64" t="b">
        <v>0</v>
      </c>
      <c r="AK18" s="64" t="b">
        <v>0</v>
      </c>
      <c r="AL18" s="64" t="b">
        <v>0</v>
      </c>
      <c r="AM18" s="64" t="b">
        <v>0</v>
      </c>
    </row>
    <row r="19" spans="17:39" ht="25.5" customHeight="1">
      <c r="Q19" s="62">
        <v>9</v>
      </c>
      <c r="R19" s="63" t="s">
        <v>2261</v>
      </c>
      <c r="S19" s="64" t="b">
        <v>0</v>
      </c>
      <c r="T19" s="64" t="b">
        <v>0</v>
      </c>
      <c r="U19" s="64" t="b">
        <v>0</v>
      </c>
      <c r="V19" s="64" t="b">
        <v>0</v>
      </c>
      <c r="W19" s="61" t="b">
        <v>0</v>
      </c>
      <c r="AH19" s="62">
        <v>9</v>
      </c>
      <c r="AI19" s="63" t="s">
        <v>2261</v>
      </c>
      <c r="AJ19" s="64" t="b">
        <v>0</v>
      </c>
      <c r="AK19" s="64" t="b">
        <v>0</v>
      </c>
      <c r="AL19" s="64" t="b">
        <v>0</v>
      </c>
      <c r="AM19" s="64" t="b">
        <v>0</v>
      </c>
    </row>
    <row r="20" spans="17:39" ht="25.5" customHeight="1">
      <c r="Q20" s="62">
        <v>10</v>
      </c>
      <c r="R20" s="63" t="s">
        <v>2262</v>
      </c>
      <c r="S20" s="64" t="b">
        <v>0</v>
      </c>
      <c r="T20" s="64" t="b">
        <v>0</v>
      </c>
      <c r="U20" s="64" t="b">
        <v>0</v>
      </c>
      <c r="V20" s="64" t="b">
        <v>0</v>
      </c>
      <c r="W20" s="61" t="b">
        <v>0</v>
      </c>
      <c r="AH20" s="62">
        <v>10</v>
      </c>
      <c r="AI20" s="63" t="s">
        <v>2262</v>
      </c>
      <c r="AJ20" s="64" t="b">
        <v>0</v>
      </c>
      <c r="AK20" s="64" t="b">
        <v>0</v>
      </c>
      <c r="AL20" s="64" t="b">
        <v>0</v>
      </c>
      <c r="AM20" s="64" t="b">
        <v>0</v>
      </c>
    </row>
    <row r="21" spans="17:39" ht="25.5" customHeight="1">
      <c r="Q21" s="62">
        <v>11</v>
      </c>
      <c r="R21" s="63" t="s">
        <v>2263</v>
      </c>
      <c r="S21" s="64" t="b">
        <v>0</v>
      </c>
      <c r="T21" s="64" t="b">
        <v>0</v>
      </c>
      <c r="U21" s="64" t="b">
        <v>0</v>
      </c>
      <c r="V21" s="64" t="b">
        <v>0</v>
      </c>
      <c r="W21" s="61" t="b">
        <v>0</v>
      </c>
      <c r="AH21" s="62">
        <v>11</v>
      </c>
      <c r="AI21" s="63" t="s">
        <v>2263</v>
      </c>
      <c r="AJ21" s="64" t="b">
        <v>0</v>
      </c>
      <c r="AK21" s="64" t="b">
        <v>0</v>
      </c>
      <c r="AL21" s="64" t="b">
        <v>0</v>
      </c>
      <c r="AM21" s="64" t="b">
        <v>0</v>
      </c>
    </row>
    <row r="22" spans="17:39" ht="25.5" customHeight="1">
      <c r="Q22" s="62">
        <v>12</v>
      </c>
      <c r="R22" s="63" t="s">
        <v>2264</v>
      </c>
      <c r="S22" s="64" t="b">
        <v>0</v>
      </c>
      <c r="T22" s="64" t="b">
        <v>0</v>
      </c>
      <c r="U22" s="64" t="b">
        <v>0</v>
      </c>
      <c r="V22" s="64" t="b">
        <v>0</v>
      </c>
      <c r="W22" s="61" t="b">
        <v>0</v>
      </c>
      <c r="AH22" s="62">
        <v>12</v>
      </c>
      <c r="AI22" s="63" t="s">
        <v>2264</v>
      </c>
      <c r="AJ22" s="64" t="b">
        <v>0</v>
      </c>
      <c r="AK22" s="64" t="b">
        <v>0</v>
      </c>
      <c r="AL22" s="64" t="b">
        <v>0</v>
      </c>
      <c r="AM22" s="64" t="b">
        <v>0</v>
      </c>
    </row>
    <row r="23" spans="17:39" ht="25.5" customHeight="1">
      <c r="Q23" s="62">
        <v>13</v>
      </c>
      <c r="R23" s="63" t="s">
        <v>2265</v>
      </c>
      <c r="S23" s="64" t="b">
        <v>0</v>
      </c>
      <c r="T23" s="64" t="b">
        <v>0</v>
      </c>
      <c r="U23" s="64" t="b">
        <v>0</v>
      </c>
      <c r="V23" s="64" t="b">
        <v>0</v>
      </c>
      <c r="W23" s="61" t="b">
        <v>0</v>
      </c>
      <c r="AH23" s="62">
        <v>13</v>
      </c>
      <c r="AI23" s="63" t="s">
        <v>2265</v>
      </c>
      <c r="AJ23" s="64" t="b">
        <v>0</v>
      </c>
      <c r="AK23" s="64" t="b">
        <v>0</v>
      </c>
      <c r="AL23" s="64" t="b">
        <v>0</v>
      </c>
      <c r="AM23" s="64" t="b">
        <v>0</v>
      </c>
    </row>
    <row r="24" spans="17:39" ht="25.5" customHeight="1">
      <c r="Q24" s="62">
        <v>14</v>
      </c>
      <c r="R24" s="63" t="s">
        <v>2266</v>
      </c>
      <c r="S24" s="64" t="b">
        <v>0</v>
      </c>
      <c r="T24" s="64" t="b">
        <v>0</v>
      </c>
      <c r="U24" s="64" t="b">
        <v>0</v>
      </c>
      <c r="V24" s="64" t="b">
        <v>0</v>
      </c>
      <c r="W24" s="61" t="b">
        <v>0</v>
      </c>
      <c r="AH24" s="62">
        <v>14</v>
      </c>
      <c r="AI24" s="63" t="s">
        <v>2266</v>
      </c>
      <c r="AJ24" s="64" t="b">
        <v>0</v>
      </c>
      <c r="AK24" s="64" t="b">
        <v>0</v>
      </c>
      <c r="AL24" s="64" t="b">
        <v>0</v>
      </c>
      <c r="AM24" s="64" t="b">
        <v>0</v>
      </c>
    </row>
  </sheetData>
  <mergeCells count="1">
    <mergeCell ref="W9:W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9730-8295-4056-AA6E-4FD4C52E280F}">
  <dimension ref="T10:AD20"/>
  <sheetViews>
    <sheetView workbookViewId="0">
      <selection activeCell="AE13" sqref="AE13:AG13"/>
    </sheetView>
  </sheetViews>
  <sheetFormatPr defaultRowHeight="15"/>
  <cols>
    <col min="1" max="19" width="9.140625" style="47"/>
    <col min="20" max="20" width="12.7109375" style="47" customWidth="1"/>
    <col min="21" max="21" width="68.28515625" style="47" customWidth="1"/>
    <col min="22" max="22" width="15.28515625" style="47" customWidth="1"/>
    <col min="23" max="23" width="9.140625" style="47"/>
    <col min="24" max="24" width="46.5703125" style="47" customWidth="1"/>
    <col min="25" max="29" width="9.140625" style="47"/>
    <col min="30" max="30" width="23" style="47" customWidth="1"/>
    <col min="31" max="16384" width="9.140625" style="47"/>
  </cols>
  <sheetData>
    <row r="10" spans="20:30">
      <c r="T10" s="49" t="s">
        <v>2267</v>
      </c>
      <c r="U10" s="49"/>
      <c r="V10" s="49"/>
      <c r="W10" s="49"/>
      <c r="X10" s="49"/>
    </row>
    <row r="11" spans="20:30">
      <c r="T11" s="49">
        <v>1</v>
      </c>
      <c r="U11" s="65" t="s">
        <v>2268</v>
      </c>
      <c r="V11" s="49" t="s">
        <v>2269</v>
      </c>
      <c r="W11" s="49" t="s">
        <v>2270</v>
      </c>
      <c r="X11" s="49"/>
    </row>
    <row r="12" spans="20:30" ht="30">
      <c r="T12" s="49">
        <v>2</v>
      </c>
      <c r="U12" s="65" t="s">
        <v>2271</v>
      </c>
      <c r="V12" s="49" t="s">
        <v>2269</v>
      </c>
      <c r="W12" s="49" t="s">
        <v>2270</v>
      </c>
      <c r="X12" s="66" t="s">
        <v>2272</v>
      </c>
    </row>
    <row r="13" spans="20:30" ht="45.75">
      <c r="T13" s="49">
        <v>3</v>
      </c>
      <c r="U13" s="67" t="s">
        <v>2273</v>
      </c>
      <c r="V13" s="49"/>
      <c r="W13" s="49"/>
      <c r="X13" s="49" t="s">
        <v>2274</v>
      </c>
      <c r="AB13" s="47">
        <f ca="1">RANDBETWEEN(1,10)</f>
        <v>6</v>
      </c>
      <c r="AD13" s="69" t="s">
        <v>2275</v>
      </c>
    </row>
    <row r="14" spans="20:30" ht="30">
      <c r="T14" s="49"/>
      <c r="U14" s="68" t="s">
        <v>2276</v>
      </c>
      <c r="V14" s="49" t="s">
        <v>2269</v>
      </c>
      <c r="W14" s="49" t="s">
        <v>2270</v>
      </c>
      <c r="X14" s="66" t="s">
        <v>2272</v>
      </c>
      <c r="AD14" s="69" t="s">
        <v>2277</v>
      </c>
    </row>
    <row r="15" spans="20:30" ht="30">
      <c r="T15" s="49"/>
      <c r="U15" s="68" t="s">
        <v>2278</v>
      </c>
      <c r="V15" s="49" t="s">
        <v>2269</v>
      </c>
      <c r="W15" s="49" t="s">
        <v>2270</v>
      </c>
      <c r="X15" s="66" t="s">
        <v>2272</v>
      </c>
    </row>
    <row r="16" spans="20:30">
      <c r="T16" s="49">
        <v>4</v>
      </c>
      <c r="U16" s="49" t="s">
        <v>2279</v>
      </c>
      <c r="V16" s="49"/>
      <c r="W16" s="49"/>
      <c r="X16" s="49"/>
    </row>
    <row r="17" spans="20:24">
      <c r="T17" s="49"/>
      <c r="U17" s="68" t="s">
        <v>2280</v>
      </c>
      <c r="V17" s="49"/>
      <c r="W17" s="160" t="s">
        <v>2281</v>
      </c>
      <c r="X17" s="49"/>
    </row>
    <row r="18" spans="20:24">
      <c r="T18" s="49"/>
      <c r="U18" s="68" t="s">
        <v>2282</v>
      </c>
      <c r="V18" s="49"/>
      <c r="W18" s="160"/>
      <c r="X18" s="49"/>
    </row>
    <row r="19" spans="20:24">
      <c r="T19" s="49"/>
      <c r="U19" s="68" t="s">
        <v>2283</v>
      </c>
      <c r="V19" s="49"/>
      <c r="W19" s="160"/>
      <c r="X19" s="49"/>
    </row>
    <row r="20" spans="20:24">
      <c r="T20" s="49"/>
      <c r="U20" s="68" t="s">
        <v>2284</v>
      </c>
      <c r="V20" s="49"/>
      <c r="W20" s="160"/>
      <c r="X20" s="49"/>
    </row>
  </sheetData>
  <mergeCells count="1">
    <mergeCell ref="W17:W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60F2-1138-4244-82AB-679304DB1593}">
  <dimension ref="Q6:R27"/>
  <sheetViews>
    <sheetView workbookViewId="0">
      <selection activeCell="Q17" sqref="Q17"/>
    </sheetView>
  </sheetViews>
  <sheetFormatPr defaultRowHeight="15"/>
  <cols>
    <col min="17" max="17" width="19.42578125" customWidth="1"/>
    <col min="18" max="18" width="30" customWidth="1"/>
  </cols>
  <sheetData>
    <row r="6" spans="17:18">
      <c r="Q6" s="70" t="s">
        <v>2285</v>
      </c>
      <c r="R6" s="70" t="s">
        <v>2286</v>
      </c>
    </row>
    <row r="7" spans="17:18">
      <c r="Q7" s="18" t="s">
        <v>2287</v>
      </c>
      <c r="R7" s="18"/>
    </row>
    <row r="8" spans="17:18">
      <c r="Q8" s="18" t="s">
        <v>2288</v>
      </c>
      <c r="R8" s="18"/>
    </row>
    <row r="9" spans="17:18">
      <c r="Q9" s="18" t="s">
        <v>2289</v>
      </c>
      <c r="R9" s="18"/>
    </row>
    <row r="10" spans="17:18">
      <c r="Q10" s="18" t="s">
        <v>2290</v>
      </c>
      <c r="R10" s="18"/>
    </row>
    <row r="17" spans="17:18">
      <c r="Q17" s="70" t="s">
        <v>2285</v>
      </c>
      <c r="R17" s="70" t="s">
        <v>2286</v>
      </c>
    </row>
    <row r="18" spans="17:18">
      <c r="Q18" s="18" t="s">
        <v>2291</v>
      </c>
      <c r="R18" s="18"/>
    </row>
    <row r="19" spans="17:18">
      <c r="Q19" s="18" t="s">
        <v>2292</v>
      </c>
      <c r="R19" s="18"/>
    </row>
    <row r="20" spans="17:18">
      <c r="Q20" s="18" t="s">
        <v>2293</v>
      </c>
      <c r="R20" s="18"/>
    </row>
    <row r="21" spans="17:18">
      <c r="Q21" s="18" t="s">
        <v>2294</v>
      </c>
      <c r="R21" s="18"/>
    </row>
    <row r="22" spans="17:18">
      <c r="Q22" s="18" t="s">
        <v>2295</v>
      </c>
      <c r="R22" s="18"/>
    </row>
    <row r="23" spans="17:18">
      <c r="Q23" s="18" t="s">
        <v>2296</v>
      </c>
      <c r="R23" s="18"/>
    </row>
    <row r="24" spans="17:18">
      <c r="Q24" s="18" t="s">
        <v>2297</v>
      </c>
      <c r="R24" s="18"/>
    </row>
    <row r="25" spans="17:18">
      <c r="Q25" s="18" t="s">
        <v>2298</v>
      </c>
      <c r="R25" s="18"/>
    </row>
    <row r="26" spans="17:18">
      <c r="Q26" s="18" t="s">
        <v>2299</v>
      </c>
      <c r="R26" s="18"/>
    </row>
    <row r="27" spans="17:18">
      <c r="Q27" s="18" t="s">
        <v>2300</v>
      </c>
      <c r="R27" s="1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9C9F-D80E-48C5-9939-BCDF10C116C6}">
  <dimension ref="Y9:AB23"/>
  <sheetViews>
    <sheetView topLeftCell="W1" workbookViewId="0">
      <selection activeCell="Y19" sqref="Y19:Z19"/>
    </sheetView>
  </sheetViews>
  <sheetFormatPr defaultRowHeight="15"/>
  <cols>
    <col min="1" max="24" width="9.140625" style="47"/>
    <col min="25" max="25" width="27.28515625" style="47" customWidth="1"/>
    <col min="26" max="26" width="20.42578125" style="47" customWidth="1"/>
    <col min="27" max="28" width="15.7109375" style="47" customWidth="1"/>
    <col min="29" max="16384" width="9.140625" style="47"/>
  </cols>
  <sheetData>
    <row r="9" spans="25:28">
      <c r="Y9" s="72" t="s">
        <v>2301</v>
      </c>
      <c r="Z9" s="72" t="s">
        <v>2302</v>
      </c>
      <c r="AA9" s="72"/>
      <c r="AB9" s="72"/>
    </row>
    <row r="10" spans="25:28">
      <c r="Y10" s="73"/>
      <c r="Z10" s="74" t="s">
        <v>2303</v>
      </c>
      <c r="AA10" s="75" t="s">
        <v>2304</v>
      </c>
      <c r="AB10" s="73" t="s">
        <v>2305</v>
      </c>
    </row>
    <row r="11" spans="25:28">
      <c r="Y11" s="55" t="s">
        <v>2306</v>
      </c>
      <c r="Z11" s="55"/>
      <c r="AA11" s="55"/>
      <c r="AB11" s="55"/>
    </row>
    <row r="12" spans="25:28">
      <c r="Y12" s="55" t="s">
        <v>2307</v>
      </c>
      <c r="Z12" s="55">
        <v>1</v>
      </c>
      <c r="AA12" s="55"/>
      <c r="AB12" s="55"/>
    </row>
    <row r="13" spans="25:28">
      <c r="Y13" s="55" t="s">
        <v>2308</v>
      </c>
      <c r="Z13" s="55"/>
      <c r="AA13" s="55"/>
      <c r="AB13" s="55"/>
    </row>
    <row r="14" spans="25:28">
      <c r="Y14" s="55" t="s">
        <v>2309</v>
      </c>
      <c r="Z14" s="55">
        <v>1</v>
      </c>
      <c r="AA14" s="55">
        <v>1</v>
      </c>
      <c r="AB14" s="55"/>
    </row>
    <row r="15" spans="25:28">
      <c r="Y15" s="55" t="s">
        <v>2310</v>
      </c>
      <c r="Z15" s="55">
        <v>2</v>
      </c>
      <c r="AA15" s="55"/>
      <c r="AB15" s="55"/>
    </row>
    <row r="16" spans="25:28">
      <c r="Y16" s="55" t="s">
        <v>2311</v>
      </c>
      <c r="Z16" s="55">
        <v>0.5</v>
      </c>
      <c r="AA16" s="55"/>
      <c r="AB16" s="55"/>
    </row>
    <row r="17" spans="25:28">
      <c r="Y17" s="55" t="s">
        <v>2312</v>
      </c>
      <c r="Z17" s="55">
        <v>3</v>
      </c>
      <c r="AA17" s="55"/>
      <c r="AB17" s="55"/>
    </row>
    <row r="18" spans="25:28">
      <c r="Y18" s="55" t="s">
        <v>2313</v>
      </c>
      <c r="Z18" s="55">
        <v>0.5</v>
      </c>
      <c r="AA18" s="55"/>
      <c r="AB18" s="55">
        <v>3</v>
      </c>
    </row>
    <row r="19" spans="25:28">
      <c r="Y19" s="78" t="s">
        <v>202</v>
      </c>
      <c r="Z19" s="78">
        <f>SUM(Z11:Z18)</f>
        <v>8</v>
      </c>
      <c r="AA19" s="77"/>
      <c r="AB19" s="77"/>
    </row>
    <row r="21" spans="25:28">
      <c r="Y21" s="71" t="s">
        <v>2314</v>
      </c>
      <c r="Z21" s="71" t="s">
        <v>2315</v>
      </c>
      <c r="AA21" s="71"/>
      <c r="AB21" s="71"/>
    </row>
    <row r="22" spans="25:28">
      <c r="Y22" s="55" t="s">
        <v>2316</v>
      </c>
      <c r="Z22" s="76">
        <v>8</v>
      </c>
      <c r="AA22" s="55" t="s">
        <v>2317</v>
      </c>
      <c r="AB22" s="55"/>
    </row>
    <row r="23" spans="25:28">
      <c r="Y23" s="55" t="s">
        <v>2318</v>
      </c>
      <c r="Z23" s="76">
        <v>7</v>
      </c>
      <c r="AA23" s="55" t="s">
        <v>2319</v>
      </c>
      <c r="AB23" s="5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746F-ACC6-4F66-B508-5E5FD6E470BC}">
  <dimension ref="B1:S92"/>
  <sheetViews>
    <sheetView workbookViewId="0">
      <pane ySplit="1" topLeftCell="A2" activePane="bottomLeft" state="frozen"/>
      <selection pane="bottomLeft" activeCell="L3" sqref="L3"/>
    </sheetView>
  </sheetViews>
  <sheetFormatPr defaultRowHeight="15"/>
  <cols>
    <col min="1" max="1" width="19.140625" customWidth="1"/>
    <col min="3" max="3" width="30.42578125" customWidth="1"/>
    <col min="4" max="4" width="39.5703125" customWidth="1"/>
    <col min="5" max="5" width="43.5703125" customWidth="1"/>
    <col min="15" max="15" width="24.42578125" customWidth="1"/>
    <col min="16" max="16" width="35.42578125" customWidth="1"/>
    <col min="17" max="17" width="30.140625" customWidth="1"/>
    <col min="18" max="18" width="41.5703125" customWidth="1"/>
  </cols>
  <sheetData>
    <row r="1" spans="2:19">
      <c r="B1" s="79" t="s">
        <v>119</v>
      </c>
      <c r="C1" s="79" t="s">
        <v>2320</v>
      </c>
      <c r="D1" s="79" t="s">
        <v>2321</v>
      </c>
      <c r="E1" s="79" t="s">
        <v>2322</v>
      </c>
    </row>
    <row r="2" spans="2:19">
      <c r="B2" s="18"/>
      <c r="C2" s="18" t="s">
        <v>2323</v>
      </c>
      <c r="D2" s="18" t="s">
        <v>2324</v>
      </c>
      <c r="E2" s="18"/>
    </row>
    <row r="3" spans="2:19" ht="72.75">
      <c r="B3" s="18"/>
      <c r="C3" s="18" t="s">
        <v>2325</v>
      </c>
      <c r="D3" s="19" t="s">
        <v>2326</v>
      </c>
      <c r="E3" s="18" t="s">
        <v>2327</v>
      </c>
      <c r="L3" s="82" t="s">
        <v>119</v>
      </c>
      <c r="M3" s="82" t="s">
        <v>2328</v>
      </c>
      <c r="N3" s="82" t="s">
        <v>2329</v>
      </c>
      <c r="O3" s="82" t="s">
        <v>2330</v>
      </c>
      <c r="P3" s="82" t="s">
        <v>2331</v>
      </c>
      <c r="Q3" s="82" t="s">
        <v>2332</v>
      </c>
      <c r="R3" s="82" t="s">
        <v>2333</v>
      </c>
      <c r="S3" t="s">
        <v>2334</v>
      </c>
    </row>
    <row r="4" spans="2:19">
      <c r="B4" s="18"/>
      <c r="C4" s="18" t="s">
        <v>2335</v>
      </c>
      <c r="D4" s="18" t="s">
        <v>2336</v>
      </c>
      <c r="E4" s="18"/>
      <c r="L4" s="81"/>
      <c r="M4" s="81"/>
      <c r="N4" s="81"/>
      <c r="O4" s="81"/>
      <c r="P4" s="81"/>
      <c r="Q4" s="81"/>
      <c r="R4" s="81"/>
    </row>
    <row r="5" spans="2:19" ht="29.25">
      <c r="B5" s="18"/>
      <c r="C5" s="18" t="s">
        <v>2337</v>
      </c>
      <c r="D5" s="18"/>
      <c r="E5" s="19" t="s">
        <v>2338</v>
      </c>
      <c r="L5" s="81">
        <v>1</v>
      </c>
      <c r="M5" s="81" t="s">
        <v>2339</v>
      </c>
      <c r="N5" s="81" t="s">
        <v>2340</v>
      </c>
      <c r="O5" s="81" t="s">
        <v>2341</v>
      </c>
      <c r="P5" s="81" t="s">
        <v>2342</v>
      </c>
      <c r="Q5" s="81" t="s">
        <v>2343</v>
      </c>
      <c r="R5" s="81" t="s">
        <v>2344</v>
      </c>
      <c r="S5" t="s">
        <v>2241</v>
      </c>
    </row>
    <row r="6" spans="2:19">
      <c r="B6" s="18"/>
      <c r="C6" s="18" t="s">
        <v>2345</v>
      </c>
      <c r="D6" s="18" t="s">
        <v>2346</v>
      </c>
      <c r="E6" s="18"/>
      <c r="L6" s="81">
        <v>2</v>
      </c>
      <c r="M6" s="81"/>
      <c r="N6" s="81" t="s">
        <v>2347</v>
      </c>
      <c r="O6" s="81" t="s">
        <v>2347</v>
      </c>
      <c r="P6" s="81" t="s">
        <v>2347</v>
      </c>
      <c r="Q6" s="81" t="s">
        <v>2348</v>
      </c>
      <c r="R6" s="81" t="s">
        <v>2344</v>
      </c>
    </row>
    <row r="7" spans="2:19">
      <c r="B7" s="18"/>
      <c r="C7" s="18" t="s">
        <v>201</v>
      </c>
      <c r="D7" s="18"/>
      <c r="E7" s="18"/>
      <c r="L7" s="81">
        <v>3</v>
      </c>
      <c r="M7" s="81"/>
      <c r="N7" s="81" t="s">
        <v>2347</v>
      </c>
      <c r="O7" s="81" t="s">
        <v>2347</v>
      </c>
      <c r="P7" s="81" t="s">
        <v>2349</v>
      </c>
      <c r="Q7" s="81" t="s">
        <v>2350</v>
      </c>
      <c r="R7" s="81" t="s">
        <v>2344</v>
      </c>
      <c r="S7" t="s">
        <v>2241</v>
      </c>
    </row>
    <row r="8" spans="2:19">
      <c r="B8" s="18"/>
      <c r="C8" s="18" t="s">
        <v>181</v>
      </c>
      <c r="D8" s="18"/>
      <c r="E8" s="18"/>
      <c r="L8" s="81">
        <v>4</v>
      </c>
      <c r="M8" s="81"/>
      <c r="N8" s="81" t="s">
        <v>2347</v>
      </c>
      <c r="O8" s="81" t="s">
        <v>2347</v>
      </c>
      <c r="P8" s="81" t="s">
        <v>2347</v>
      </c>
      <c r="Q8" s="81" t="s">
        <v>2351</v>
      </c>
      <c r="R8" s="81" t="s">
        <v>2344</v>
      </c>
    </row>
    <row r="9" spans="2:19">
      <c r="B9" s="18"/>
      <c r="C9" s="18" t="s">
        <v>195</v>
      </c>
      <c r="D9" s="18"/>
      <c r="E9" s="18"/>
      <c r="L9" s="81">
        <v>5</v>
      </c>
      <c r="M9" s="81"/>
      <c r="N9" s="81" t="s">
        <v>2347</v>
      </c>
      <c r="O9" s="81" t="s">
        <v>2347</v>
      </c>
      <c r="P9" s="81" t="s">
        <v>2352</v>
      </c>
      <c r="Q9" s="81" t="s">
        <v>2353</v>
      </c>
      <c r="R9" s="81" t="s">
        <v>2344</v>
      </c>
      <c r="S9" t="s">
        <v>2241</v>
      </c>
    </row>
    <row r="10" spans="2:19">
      <c r="B10" s="80"/>
      <c r="C10" s="80" t="s">
        <v>184</v>
      </c>
      <c r="D10" s="80"/>
      <c r="E10" s="80"/>
      <c r="L10" s="81">
        <v>6</v>
      </c>
      <c r="M10" s="81"/>
      <c r="N10" s="81" t="s">
        <v>2347</v>
      </c>
      <c r="O10" s="81" t="s">
        <v>2347</v>
      </c>
      <c r="P10" s="81" t="s">
        <v>2354</v>
      </c>
      <c r="Q10" s="81" t="s">
        <v>2355</v>
      </c>
      <c r="R10" s="81" t="s">
        <v>2344</v>
      </c>
    </row>
    <row r="11" spans="2:19">
      <c r="B11" s="18"/>
      <c r="C11" s="18" t="s">
        <v>2356</v>
      </c>
      <c r="D11" s="18" t="s">
        <v>2357</v>
      </c>
      <c r="E11" s="18"/>
      <c r="L11" s="81">
        <v>7</v>
      </c>
      <c r="M11" s="81"/>
      <c r="N11" s="81" t="s">
        <v>2347</v>
      </c>
      <c r="O11" s="81" t="s">
        <v>2347</v>
      </c>
      <c r="P11" s="81" t="s">
        <v>2358</v>
      </c>
      <c r="Q11" s="81" t="s">
        <v>2359</v>
      </c>
      <c r="R11" s="81" t="s">
        <v>2344</v>
      </c>
      <c r="S11" t="s">
        <v>2241</v>
      </c>
    </row>
    <row r="12" spans="2:19">
      <c r="B12" s="18"/>
      <c r="C12" s="18"/>
      <c r="D12" s="18"/>
      <c r="E12" s="18"/>
      <c r="L12" s="81">
        <v>8</v>
      </c>
      <c r="M12" s="81"/>
      <c r="N12" s="81" t="s">
        <v>2347</v>
      </c>
      <c r="O12" s="81" t="s">
        <v>2347</v>
      </c>
      <c r="P12" s="81" t="s">
        <v>2347</v>
      </c>
      <c r="Q12" s="81" t="s">
        <v>2360</v>
      </c>
      <c r="R12" s="81" t="s">
        <v>2344</v>
      </c>
    </row>
    <row r="13" spans="2:19">
      <c r="L13" s="81">
        <v>9</v>
      </c>
      <c r="M13" s="81"/>
      <c r="N13" s="81" t="s">
        <v>2347</v>
      </c>
      <c r="O13" s="81" t="s">
        <v>2347</v>
      </c>
      <c r="P13" s="81" t="s">
        <v>2347</v>
      </c>
      <c r="Q13" s="81" t="s">
        <v>2361</v>
      </c>
      <c r="R13" s="81" t="s">
        <v>2344</v>
      </c>
    </row>
    <row r="14" spans="2:19">
      <c r="L14" s="81">
        <v>10</v>
      </c>
      <c r="M14" s="81"/>
      <c r="N14" s="81" t="s">
        <v>2347</v>
      </c>
      <c r="O14" s="81" t="s">
        <v>2347</v>
      </c>
      <c r="P14" s="81" t="s">
        <v>2347</v>
      </c>
      <c r="Q14" s="81" t="s">
        <v>2362</v>
      </c>
      <c r="R14" s="81" t="s">
        <v>2344</v>
      </c>
    </row>
    <row r="15" spans="2:19">
      <c r="B15" s="18"/>
      <c r="C15" s="18" t="s">
        <v>2363</v>
      </c>
      <c r="D15" s="18"/>
      <c r="E15" s="18"/>
      <c r="L15" s="81">
        <v>11</v>
      </c>
      <c r="M15" s="81"/>
      <c r="N15" s="81" t="s">
        <v>2347</v>
      </c>
      <c r="O15" s="81" t="s">
        <v>2347</v>
      </c>
      <c r="P15" s="81" t="s">
        <v>2347</v>
      </c>
      <c r="Q15" s="81" t="s">
        <v>2364</v>
      </c>
      <c r="R15" s="81" t="s">
        <v>2344</v>
      </c>
    </row>
    <row r="16" spans="2:19">
      <c r="B16" s="18"/>
      <c r="C16" s="18"/>
      <c r="D16" s="18" t="s">
        <v>2365</v>
      </c>
      <c r="E16" s="18"/>
      <c r="L16" s="81">
        <v>12</v>
      </c>
      <c r="M16" s="81"/>
      <c r="N16" s="81" t="s">
        <v>2347</v>
      </c>
      <c r="O16" s="81" t="s">
        <v>2366</v>
      </c>
      <c r="P16" s="81" t="s">
        <v>2367</v>
      </c>
      <c r="Q16" s="81" t="s">
        <v>2349</v>
      </c>
      <c r="R16" s="81" t="s">
        <v>2344</v>
      </c>
      <c r="S16" t="s">
        <v>2241</v>
      </c>
    </row>
    <row r="17" spans="2:18">
      <c r="B17" s="18"/>
      <c r="C17" s="18"/>
      <c r="D17" s="18" t="s">
        <v>2368</v>
      </c>
      <c r="E17" s="18"/>
      <c r="L17" s="81">
        <v>13</v>
      </c>
      <c r="M17" s="81"/>
      <c r="N17" s="81" t="s">
        <v>2347</v>
      </c>
      <c r="O17" s="81" t="s">
        <v>2347</v>
      </c>
      <c r="P17" s="81" t="s">
        <v>2347</v>
      </c>
      <c r="Q17" s="81" t="s">
        <v>2350</v>
      </c>
      <c r="R17" s="81" t="s">
        <v>2344</v>
      </c>
    </row>
    <row r="18" spans="2:18">
      <c r="B18" s="18"/>
      <c r="C18" s="18"/>
      <c r="D18" s="18" t="s">
        <v>2369</v>
      </c>
      <c r="E18" s="18"/>
      <c r="L18" s="81">
        <v>14</v>
      </c>
      <c r="M18" s="81"/>
      <c r="N18" s="81" t="s">
        <v>2347</v>
      </c>
      <c r="O18" s="81" t="s">
        <v>2347</v>
      </c>
      <c r="P18" s="81" t="s">
        <v>2347</v>
      </c>
      <c r="Q18" s="81" t="s">
        <v>2370</v>
      </c>
      <c r="R18" s="81" t="s">
        <v>2344</v>
      </c>
    </row>
    <row r="19" spans="2:18">
      <c r="B19" s="18"/>
      <c r="C19" s="18"/>
      <c r="D19" s="18" t="s">
        <v>2371</v>
      </c>
      <c r="E19" s="18"/>
      <c r="L19" s="81">
        <v>15</v>
      </c>
      <c r="M19" s="81"/>
      <c r="N19" s="81" t="s">
        <v>2347</v>
      </c>
      <c r="O19" s="81" t="s">
        <v>2347</v>
      </c>
      <c r="P19" s="81" t="s">
        <v>2347</v>
      </c>
      <c r="Q19" s="81" t="s">
        <v>2351</v>
      </c>
      <c r="R19" s="81" t="s">
        <v>2344</v>
      </c>
    </row>
    <row r="20" spans="2:18">
      <c r="B20" s="18"/>
      <c r="C20" s="18"/>
      <c r="D20" s="18" t="s">
        <v>2372</v>
      </c>
      <c r="E20" s="18"/>
      <c r="L20" s="81">
        <v>16</v>
      </c>
      <c r="M20" s="81"/>
      <c r="N20" s="81" t="s">
        <v>2347</v>
      </c>
      <c r="O20" s="81" t="s">
        <v>2347</v>
      </c>
      <c r="P20" s="81" t="s">
        <v>2373</v>
      </c>
      <c r="Q20" s="81" t="s">
        <v>2374</v>
      </c>
      <c r="R20" s="81" t="s">
        <v>2344</v>
      </c>
    </row>
    <row r="21" spans="2:18">
      <c r="B21" s="18"/>
      <c r="C21" s="18"/>
      <c r="D21" s="18" t="s">
        <v>2375</v>
      </c>
      <c r="E21" s="18"/>
      <c r="L21" s="81">
        <v>17</v>
      </c>
      <c r="M21" s="81"/>
      <c r="N21" s="81" t="s">
        <v>2347</v>
      </c>
      <c r="O21" s="81" t="s">
        <v>2347</v>
      </c>
      <c r="P21" s="81" t="s">
        <v>2347</v>
      </c>
      <c r="Q21" s="81" t="s">
        <v>2376</v>
      </c>
      <c r="R21" s="81" t="s">
        <v>2344</v>
      </c>
    </row>
    <row r="22" spans="2:18">
      <c r="L22" s="81">
        <v>18</v>
      </c>
      <c r="M22" s="81"/>
      <c r="N22" s="81" t="s">
        <v>2347</v>
      </c>
      <c r="O22" s="81" t="s">
        <v>2347</v>
      </c>
      <c r="P22" s="81" t="s">
        <v>2347</v>
      </c>
      <c r="Q22" s="81" t="s">
        <v>2377</v>
      </c>
      <c r="R22" s="81" t="s">
        <v>2344</v>
      </c>
    </row>
    <row r="23" spans="2:18">
      <c r="L23" s="81">
        <v>19</v>
      </c>
      <c r="M23" s="81"/>
      <c r="N23" s="81" t="s">
        <v>2347</v>
      </c>
      <c r="O23" s="81" t="s">
        <v>2347</v>
      </c>
      <c r="P23" s="81" t="s">
        <v>2347</v>
      </c>
      <c r="Q23" s="81" t="s">
        <v>2378</v>
      </c>
      <c r="R23" s="81" t="s">
        <v>2344</v>
      </c>
    </row>
    <row r="24" spans="2:18">
      <c r="L24" s="81">
        <v>20</v>
      </c>
      <c r="M24" s="81"/>
      <c r="N24" s="81" t="s">
        <v>2347</v>
      </c>
      <c r="O24" s="81" t="s">
        <v>2347</v>
      </c>
      <c r="P24" s="81" t="s">
        <v>2379</v>
      </c>
      <c r="Q24" s="81" t="s">
        <v>2379</v>
      </c>
      <c r="R24" s="81" t="s">
        <v>2344</v>
      </c>
    </row>
    <row r="25" spans="2:18">
      <c r="L25" s="81">
        <v>21</v>
      </c>
      <c r="M25" s="81"/>
      <c r="N25" s="81" t="s">
        <v>2347</v>
      </c>
      <c r="O25" s="81" t="s">
        <v>2347</v>
      </c>
      <c r="P25" s="81" t="s">
        <v>2347</v>
      </c>
      <c r="Q25" s="81" t="s">
        <v>2380</v>
      </c>
      <c r="R25" s="81" t="s">
        <v>2344</v>
      </c>
    </row>
    <row r="26" spans="2:18">
      <c r="L26" s="81">
        <v>22</v>
      </c>
      <c r="M26" s="81"/>
      <c r="N26" s="81" t="s">
        <v>2347</v>
      </c>
      <c r="O26" s="81" t="s">
        <v>2347</v>
      </c>
      <c r="P26" s="81" t="s">
        <v>2347</v>
      </c>
      <c r="Q26" s="81" t="s">
        <v>2381</v>
      </c>
      <c r="R26" s="81" t="s">
        <v>2344</v>
      </c>
    </row>
    <row r="27" spans="2:18">
      <c r="L27" s="81">
        <v>23</v>
      </c>
      <c r="M27" s="81"/>
      <c r="N27" s="81" t="s">
        <v>2347</v>
      </c>
      <c r="O27" s="81" t="s">
        <v>2347</v>
      </c>
      <c r="P27" s="81" t="s">
        <v>2382</v>
      </c>
      <c r="Q27" s="81" t="s">
        <v>2383</v>
      </c>
      <c r="R27" s="81" t="s">
        <v>2344</v>
      </c>
    </row>
    <row r="28" spans="2:18">
      <c r="L28" s="81">
        <v>24</v>
      </c>
      <c r="M28" s="81"/>
      <c r="N28" s="81" t="s">
        <v>2347</v>
      </c>
      <c r="O28" s="81" t="s">
        <v>2347</v>
      </c>
      <c r="P28" s="81" t="s">
        <v>2347</v>
      </c>
      <c r="Q28" s="81" t="s">
        <v>2384</v>
      </c>
      <c r="R28" s="81" t="s">
        <v>2344</v>
      </c>
    </row>
    <row r="29" spans="2:18">
      <c r="L29" s="81">
        <v>25</v>
      </c>
      <c r="M29" s="81"/>
      <c r="N29" s="81" t="s">
        <v>2347</v>
      </c>
      <c r="O29" s="81" t="s">
        <v>2347</v>
      </c>
      <c r="P29" s="81" t="s">
        <v>2347</v>
      </c>
      <c r="Q29" s="81" t="s">
        <v>2385</v>
      </c>
      <c r="R29" s="81" t="s">
        <v>2344</v>
      </c>
    </row>
    <row r="30" spans="2:18">
      <c r="L30" s="81">
        <v>26</v>
      </c>
      <c r="M30" s="81"/>
      <c r="N30" s="81" t="s">
        <v>2347</v>
      </c>
      <c r="O30" s="81" t="s">
        <v>2347</v>
      </c>
      <c r="P30" s="81" t="s">
        <v>2386</v>
      </c>
      <c r="Q30" s="81" t="s">
        <v>2387</v>
      </c>
      <c r="R30" s="81" t="s">
        <v>2344</v>
      </c>
    </row>
    <row r="31" spans="2:18">
      <c r="L31" s="81">
        <v>27</v>
      </c>
      <c r="M31" s="81"/>
      <c r="N31" s="81" t="s">
        <v>2347</v>
      </c>
      <c r="O31" s="81" t="s">
        <v>2347</v>
      </c>
      <c r="P31" s="81" t="s">
        <v>2347</v>
      </c>
      <c r="Q31" s="81" t="s">
        <v>2388</v>
      </c>
      <c r="R31" s="81" t="s">
        <v>2344</v>
      </c>
    </row>
    <row r="32" spans="2:18">
      <c r="L32" s="81">
        <v>28</v>
      </c>
      <c r="M32" s="81"/>
      <c r="N32" s="81" t="s">
        <v>2347</v>
      </c>
      <c r="O32" s="81" t="s">
        <v>2347</v>
      </c>
      <c r="P32" s="81" t="s">
        <v>2347</v>
      </c>
      <c r="Q32" s="81" t="s">
        <v>2389</v>
      </c>
      <c r="R32" s="81" t="s">
        <v>2344</v>
      </c>
    </row>
    <row r="33" spans="12:19">
      <c r="L33" s="81">
        <v>29</v>
      </c>
      <c r="M33" s="81"/>
      <c r="N33" s="81" t="s">
        <v>2347</v>
      </c>
      <c r="O33" s="81" t="s">
        <v>2347</v>
      </c>
      <c r="P33" s="81" t="s">
        <v>2390</v>
      </c>
      <c r="Q33" s="81" t="s">
        <v>2391</v>
      </c>
      <c r="R33" s="81" t="s">
        <v>2344</v>
      </c>
      <c r="S33" t="s">
        <v>2241</v>
      </c>
    </row>
    <row r="34" spans="12:19">
      <c r="L34" s="81">
        <v>30</v>
      </c>
      <c r="M34" s="81"/>
      <c r="N34" s="81" t="s">
        <v>2347</v>
      </c>
      <c r="O34" s="81" t="s">
        <v>2347</v>
      </c>
      <c r="P34" s="81" t="s">
        <v>2347</v>
      </c>
      <c r="Q34" s="81" t="s">
        <v>2392</v>
      </c>
      <c r="R34" s="81" t="s">
        <v>2344</v>
      </c>
    </row>
    <row r="35" spans="12:19">
      <c r="L35" s="81">
        <v>31</v>
      </c>
      <c r="M35" s="81"/>
      <c r="N35" s="81" t="s">
        <v>2347</v>
      </c>
      <c r="O35" s="81" t="s">
        <v>2347</v>
      </c>
      <c r="P35" s="81" t="s">
        <v>2347</v>
      </c>
      <c r="Q35" s="81" t="s">
        <v>2393</v>
      </c>
      <c r="R35" s="81" t="s">
        <v>2344</v>
      </c>
    </row>
    <row r="36" spans="12:19">
      <c r="L36" s="81">
        <v>32</v>
      </c>
      <c r="M36" s="81"/>
      <c r="N36" s="81" t="s">
        <v>2347</v>
      </c>
      <c r="O36" s="81" t="s">
        <v>2347</v>
      </c>
      <c r="P36" s="81" t="s">
        <v>2347</v>
      </c>
      <c r="Q36" s="81" t="s">
        <v>2394</v>
      </c>
      <c r="R36" s="81" t="s">
        <v>2344</v>
      </c>
    </row>
    <row r="37" spans="12:19">
      <c r="L37" s="81">
        <v>33</v>
      </c>
      <c r="M37" s="81"/>
      <c r="N37" s="81" t="s">
        <v>2347</v>
      </c>
      <c r="O37" s="81" t="s">
        <v>2347</v>
      </c>
      <c r="P37" s="81" t="s">
        <v>2347</v>
      </c>
      <c r="Q37" s="81" t="s">
        <v>2395</v>
      </c>
      <c r="R37" s="81" t="s">
        <v>2344</v>
      </c>
    </row>
    <row r="38" spans="12:19">
      <c r="L38" s="81">
        <v>34</v>
      </c>
      <c r="M38" s="81"/>
      <c r="N38" s="81" t="s">
        <v>2347</v>
      </c>
      <c r="O38" s="81" t="s">
        <v>2347</v>
      </c>
      <c r="P38" s="81" t="s">
        <v>2347</v>
      </c>
      <c r="Q38" s="81" t="s">
        <v>2396</v>
      </c>
      <c r="R38" s="81" t="s">
        <v>2344</v>
      </c>
    </row>
    <row r="39" spans="12:19">
      <c r="L39" s="81">
        <v>35</v>
      </c>
      <c r="M39" s="81"/>
      <c r="N39" s="81" t="s">
        <v>2347</v>
      </c>
      <c r="O39" s="81" t="s">
        <v>2347</v>
      </c>
      <c r="P39" s="81" t="s">
        <v>2397</v>
      </c>
      <c r="Q39" s="81" t="s">
        <v>2398</v>
      </c>
      <c r="R39" s="81" t="s">
        <v>2344</v>
      </c>
    </row>
    <row r="40" spans="12:19">
      <c r="L40" s="81">
        <v>36</v>
      </c>
      <c r="M40" s="81"/>
      <c r="N40" s="81" t="s">
        <v>2347</v>
      </c>
      <c r="O40" s="81" t="s">
        <v>2347</v>
      </c>
      <c r="P40" s="81" t="s">
        <v>2347</v>
      </c>
      <c r="Q40" s="81" t="s">
        <v>2399</v>
      </c>
      <c r="R40" s="81" t="s">
        <v>2344</v>
      </c>
    </row>
    <row r="41" spans="12:19">
      <c r="L41" s="81">
        <v>37</v>
      </c>
      <c r="M41" s="81"/>
      <c r="N41" s="81" t="s">
        <v>2347</v>
      </c>
      <c r="O41" s="81" t="s">
        <v>2347</v>
      </c>
      <c r="P41" s="81" t="s">
        <v>2400</v>
      </c>
      <c r="Q41" s="81" t="s">
        <v>2401</v>
      </c>
      <c r="R41" s="81" t="s">
        <v>2344</v>
      </c>
    </row>
    <row r="42" spans="12:19">
      <c r="L42" s="81">
        <v>38</v>
      </c>
      <c r="M42" s="81"/>
      <c r="N42" s="81" t="s">
        <v>2347</v>
      </c>
      <c r="O42" s="81" t="s">
        <v>2347</v>
      </c>
      <c r="P42" s="81" t="s">
        <v>2347</v>
      </c>
      <c r="Q42" s="81" t="s">
        <v>2402</v>
      </c>
      <c r="R42" s="81" t="s">
        <v>2344</v>
      </c>
    </row>
    <row r="43" spans="12:19">
      <c r="L43" s="81">
        <v>39</v>
      </c>
      <c r="M43" s="81"/>
      <c r="N43" s="81" t="s">
        <v>2347</v>
      </c>
      <c r="O43" s="81" t="s">
        <v>2347</v>
      </c>
      <c r="P43" s="81" t="s">
        <v>2403</v>
      </c>
      <c r="Q43" s="81" t="s">
        <v>2404</v>
      </c>
      <c r="R43" s="81" t="s">
        <v>2344</v>
      </c>
    </row>
    <row r="44" spans="12:19">
      <c r="L44" s="81">
        <v>40</v>
      </c>
      <c r="M44" s="81"/>
      <c r="N44" s="81" t="s">
        <v>2347</v>
      </c>
      <c r="O44" s="81" t="s">
        <v>2347</v>
      </c>
      <c r="P44" s="81" t="s">
        <v>2347</v>
      </c>
      <c r="Q44" s="81" t="s">
        <v>2405</v>
      </c>
      <c r="R44" s="81" t="s">
        <v>2344</v>
      </c>
    </row>
    <row r="45" spans="12:19">
      <c r="L45" s="81">
        <v>41</v>
      </c>
      <c r="M45" s="81"/>
      <c r="N45" s="81" t="s">
        <v>2347</v>
      </c>
      <c r="O45" s="81" t="s">
        <v>2347</v>
      </c>
      <c r="P45" s="81" t="s">
        <v>2347</v>
      </c>
      <c r="Q45" s="81" t="s">
        <v>2406</v>
      </c>
      <c r="R45" s="81" t="s">
        <v>2344</v>
      </c>
    </row>
    <row r="46" spans="12:19">
      <c r="L46" s="81">
        <v>42</v>
      </c>
      <c r="M46" s="81"/>
      <c r="N46" s="81" t="s">
        <v>2347</v>
      </c>
      <c r="O46" s="81" t="s">
        <v>2347</v>
      </c>
      <c r="P46" s="81" t="s">
        <v>2347</v>
      </c>
      <c r="Q46" s="81" t="s">
        <v>2407</v>
      </c>
      <c r="R46" s="81" t="s">
        <v>2344</v>
      </c>
    </row>
    <row r="47" spans="12:19">
      <c r="L47" s="81">
        <v>43</v>
      </c>
      <c r="M47" s="81"/>
      <c r="N47" s="81" t="s">
        <v>2347</v>
      </c>
      <c r="O47" s="81" t="s">
        <v>2347</v>
      </c>
      <c r="P47" s="81" t="s">
        <v>2347</v>
      </c>
      <c r="Q47" s="81" t="s">
        <v>2408</v>
      </c>
      <c r="R47" s="81" t="s">
        <v>2344</v>
      </c>
    </row>
    <row r="48" spans="12:19">
      <c r="L48" s="81">
        <v>44</v>
      </c>
      <c r="M48" s="81"/>
      <c r="N48" s="81" t="s">
        <v>2347</v>
      </c>
      <c r="O48" s="81" t="s">
        <v>2347</v>
      </c>
      <c r="P48" s="81" t="s">
        <v>2409</v>
      </c>
      <c r="Q48" s="81" t="s">
        <v>2410</v>
      </c>
      <c r="R48" s="81" t="s">
        <v>2344</v>
      </c>
    </row>
    <row r="49" spans="12:19">
      <c r="L49" s="81">
        <v>45</v>
      </c>
      <c r="M49" s="81"/>
      <c r="N49" s="81" t="s">
        <v>2347</v>
      </c>
      <c r="O49" s="81" t="s">
        <v>2411</v>
      </c>
      <c r="P49" s="81" t="s">
        <v>2412</v>
      </c>
      <c r="Q49" s="81" t="s">
        <v>2413</v>
      </c>
      <c r="R49" s="81" t="s">
        <v>2344</v>
      </c>
      <c r="S49" t="s">
        <v>2241</v>
      </c>
    </row>
    <row r="50" spans="12:19">
      <c r="L50" s="81">
        <v>46</v>
      </c>
      <c r="M50" s="81"/>
      <c r="N50" s="81" t="s">
        <v>2347</v>
      </c>
      <c r="O50" s="81" t="s">
        <v>2347</v>
      </c>
      <c r="P50" s="81" t="s">
        <v>2347</v>
      </c>
      <c r="Q50" s="81" t="s">
        <v>2414</v>
      </c>
      <c r="R50" s="81" t="s">
        <v>2344</v>
      </c>
    </row>
    <row r="51" spans="12:19">
      <c r="L51" s="81">
        <v>47</v>
      </c>
      <c r="M51" s="81"/>
      <c r="N51" s="81" t="s">
        <v>2347</v>
      </c>
      <c r="O51" s="81" t="s">
        <v>2347</v>
      </c>
      <c r="P51" s="81" t="s">
        <v>2367</v>
      </c>
      <c r="Q51" s="81" t="s">
        <v>2415</v>
      </c>
      <c r="R51" s="81" t="s">
        <v>2344</v>
      </c>
    </row>
    <row r="52" spans="12:19">
      <c r="L52" s="81">
        <v>48</v>
      </c>
      <c r="M52" s="81"/>
      <c r="N52" s="81" t="s">
        <v>2347</v>
      </c>
      <c r="O52" s="81" t="s">
        <v>2347</v>
      </c>
      <c r="P52" s="81" t="s">
        <v>2347</v>
      </c>
      <c r="Q52" s="81" t="s">
        <v>2416</v>
      </c>
      <c r="R52" s="81" t="s">
        <v>2344</v>
      </c>
    </row>
    <row r="53" spans="12:19">
      <c r="L53" s="81">
        <v>49</v>
      </c>
      <c r="M53" s="81"/>
      <c r="N53" s="81" t="s">
        <v>2347</v>
      </c>
      <c r="O53" s="81" t="s">
        <v>2347</v>
      </c>
      <c r="P53" s="81" t="s">
        <v>2417</v>
      </c>
      <c r="Q53" s="81" t="s">
        <v>2418</v>
      </c>
      <c r="R53" s="81" t="s">
        <v>2344</v>
      </c>
    </row>
    <row r="54" spans="12:19">
      <c r="L54" s="81">
        <v>50</v>
      </c>
      <c r="M54" s="81"/>
      <c r="N54" s="81" t="s">
        <v>2347</v>
      </c>
      <c r="O54" s="81" t="s">
        <v>2347</v>
      </c>
      <c r="P54" s="81" t="s">
        <v>2347</v>
      </c>
      <c r="Q54" s="81" t="s">
        <v>2419</v>
      </c>
      <c r="R54" s="81" t="s">
        <v>2344</v>
      </c>
    </row>
    <row r="55" spans="12:19">
      <c r="L55" s="81">
        <v>51</v>
      </c>
      <c r="M55" s="81"/>
      <c r="N55" s="81" t="s">
        <v>2347</v>
      </c>
      <c r="O55" s="81" t="s">
        <v>2347</v>
      </c>
      <c r="P55" s="81" t="s">
        <v>2347</v>
      </c>
      <c r="Q55" s="81" t="s">
        <v>2420</v>
      </c>
      <c r="R55" s="81" t="s">
        <v>2344</v>
      </c>
    </row>
    <row r="56" spans="12:19">
      <c r="L56" s="81">
        <v>52</v>
      </c>
      <c r="M56" s="81"/>
      <c r="N56" s="81" t="s">
        <v>2347</v>
      </c>
      <c r="O56" s="81" t="s">
        <v>2347</v>
      </c>
      <c r="P56" s="81" t="s">
        <v>2347</v>
      </c>
      <c r="Q56" s="81" t="s">
        <v>2421</v>
      </c>
      <c r="R56" s="81" t="s">
        <v>2344</v>
      </c>
    </row>
    <row r="57" spans="12:19">
      <c r="L57" s="81">
        <v>53</v>
      </c>
      <c r="M57" s="81"/>
      <c r="N57" s="81" t="s">
        <v>2347</v>
      </c>
      <c r="O57" s="81" t="s">
        <v>2347</v>
      </c>
      <c r="P57" s="81" t="s">
        <v>2422</v>
      </c>
      <c r="Q57" s="81" t="s">
        <v>2423</v>
      </c>
      <c r="R57" s="81" t="s">
        <v>2344</v>
      </c>
    </row>
    <row r="58" spans="12:19">
      <c r="L58" s="81">
        <v>54</v>
      </c>
      <c r="M58" s="81"/>
      <c r="N58" s="81" t="s">
        <v>2347</v>
      </c>
      <c r="O58" s="81" t="s">
        <v>2347</v>
      </c>
      <c r="P58" s="81" t="s">
        <v>2347</v>
      </c>
      <c r="Q58" s="81" t="s">
        <v>2424</v>
      </c>
      <c r="R58" s="81" t="s">
        <v>2344</v>
      </c>
    </row>
    <row r="59" spans="12:19">
      <c r="L59" s="81">
        <v>55</v>
      </c>
      <c r="M59" s="81"/>
      <c r="N59" s="81" t="s">
        <v>2347</v>
      </c>
      <c r="O59" s="81" t="s">
        <v>2347</v>
      </c>
      <c r="P59" s="81" t="s">
        <v>2347</v>
      </c>
      <c r="Q59" s="81" t="s">
        <v>2425</v>
      </c>
      <c r="R59" s="81" t="s">
        <v>2344</v>
      </c>
    </row>
    <row r="60" spans="12:19">
      <c r="L60" s="81">
        <v>56</v>
      </c>
      <c r="M60" s="81"/>
      <c r="N60" s="81" t="s">
        <v>2347</v>
      </c>
      <c r="O60" s="81" t="s">
        <v>2347</v>
      </c>
      <c r="P60" s="81" t="s">
        <v>2347</v>
      </c>
      <c r="Q60" s="81" t="s">
        <v>2426</v>
      </c>
      <c r="R60" s="81" t="s">
        <v>2344</v>
      </c>
    </row>
    <row r="61" spans="12:19">
      <c r="L61" s="81">
        <v>57</v>
      </c>
      <c r="M61" s="81"/>
      <c r="N61" s="81" t="s">
        <v>2347</v>
      </c>
      <c r="O61" s="81" t="s">
        <v>2347</v>
      </c>
      <c r="P61" s="81" t="s">
        <v>2427</v>
      </c>
      <c r="Q61" s="81" t="s">
        <v>2428</v>
      </c>
      <c r="R61" s="81" t="s">
        <v>2344</v>
      </c>
    </row>
    <row r="62" spans="12:19">
      <c r="L62" s="81">
        <v>58</v>
      </c>
      <c r="M62" s="81"/>
      <c r="N62" s="81" t="s">
        <v>2347</v>
      </c>
      <c r="O62" s="81" t="s">
        <v>2347</v>
      </c>
      <c r="P62" s="81" t="s">
        <v>2347</v>
      </c>
      <c r="Q62" s="81" t="s">
        <v>2429</v>
      </c>
      <c r="R62" s="81" t="s">
        <v>2344</v>
      </c>
    </row>
    <row r="63" spans="12:19">
      <c r="L63" s="81">
        <v>59</v>
      </c>
      <c r="M63" s="81"/>
      <c r="N63" s="81" t="s">
        <v>2347</v>
      </c>
      <c r="O63" s="81" t="s">
        <v>2347</v>
      </c>
      <c r="P63" s="81" t="s">
        <v>2347</v>
      </c>
      <c r="Q63" s="81" t="s">
        <v>2430</v>
      </c>
      <c r="R63" s="81" t="s">
        <v>2344</v>
      </c>
    </row>
    <row r="64" spans="12:19">
      <c r="L64" s="81">
        <v>60</v>
      </c>
      <c r="M64" s="81"/>
      <c r="N64" s="81" t="s">
        <v>2347</v>
      </c>
      <c r="O64" s="81" t="s">
        <v>2431</v>
      </c>
      <c r="P64" s="81" t="s">
        <v>2432</v>
      </c>
      <c r="Q64" s="81" t="s">
        <v>2433</v>
      </c>
      <c r="R64" s="81" t="s">
        <v>2344</v>
      </c>
    </row>
    <row r="65" spans="12:18">
      <c r="L65" s="81">
        <v>61</v>
      </c>
      <c r="M65" s="81"/>
      <c r="N65" s="81" t="s">
        <v>2347</v>
      </c>
      <c r="O65" s="81" t="s">
        <v>2347</v>
      </c>
      <c r="P65" s="81" t="s">
        <v>2347</v>
      </c>
      <c r="Q65" s="81" t="s">
        <v>2434</v>
      </c>
      <c r="R65" s="81" t="s">
        <v>2344</v>
      </c>
    </row>
    <row r="66" spans="12:18">
      <c r="L66" s="81">
        <v>62</v>
      </c>
      <c r="M66" s="81"/>
      <c r="N66" s="81" t="s">
        <v>2347</v>
      </c>
      <c r="O66" s="81" t="s">
        <v>2347</v>
      </c>
      <c r="P66" s="81" t="s">
        <v>2347</v>
      </c>
      <c r="Q66" s="81" t="s">
        <v>2435</v>
      </c>
      <c r="R66" s="81" t="s">
        <v>2344</v>
      </c>
    </row>
    <row r="67" spans="12:18">
      <c r="L67" s="81">
        <v>63</v>
      </c>
      <c r="M67" s="81"/>
      <c r="N67" s="81" t="s">
        <v>2347</v>
      </c>
      <c r="O67" s="81" t="s">
        <v>2347</v>
      </c>
      <c r="P67" s="81" t="s">
        <v>2347</v>
      </c>
      <c r="Q67" s="81" t="s">
        <v>2436</v>
      </c>
      <c r="R67" s="81" t="s">
        <v>2344</v>
      </c>
    </row>
    <row r="68" spans="12:18">
      <c r="L68" s="81">
        <v>64</v>
      </c>
      <c r="M68" s="81"/>
      <c r="N68" s="81" t="s">
        <v>2347</v>
      </c>
      <c r="O68" s="81" t="s">
        <v>2347</v>
      </c>
      <c r="P68" s="81" t="s">
        <v>2347</v>
      </c>
      <c r="Q68" s="81" t="s">
        <v>2437</v>
      </c>
      <c r="R68" s="81" t="s">
        <v>2344</v>
      </c>
    </row>
    <row r="69" spans="12:18">
      <c r="L69" s="81">
        <v>65</v>
      </c>
      <c r="M69" s="81"/>
      <c r="N69" s="81" t="s">
        <v>2347</v>
      </c>
      <c r="O69" s="81" t="s">
        <v>2347</v>
      </c>
      <c r="P69" s="81" t="s">
        <v>2347</v>
      </c>
      <c r="Q69" s="81" t="s">
        <v>2438</v>
      </c>
      <c r="R69" s="81" t="s">
        <v>2344</v>
      </c>
    </row>
    <row r="70" spans="12:18">
      <c r="L70" s="81">
        <v>66</v>
      </c>
      <c r="M70" s="81"/>
      <c r="N70" s="81" t="s">
        <v>2347</v>
      </c>
      <c r="O70" s="81" t="s">
        <v>2347</v>
      </c>
      <c r="P70" s="81" t="s">
        <v>2439</v>
      </c>
      <c r="Q70" s="81" t="s">
        <v>2415</v>
      </c>
      <c r="R70" s="81" t="s">
        <v>2344</v>
      </c>
    </row>
    <row r="71" spans="12:18">
      <c r="L71" s="81">
        <v>67</v>
      </c>
      <c r="M71" s="81"/>
      <c r="N71" s="81" t="s">
        <v>2347</v>
      </c>
      <c r="O71" s="81" t="s">
        <v>2347</v>
      </c>
      <c r="P71" s="81" t="s">
        <v>2347</v>
      </c>
      <c r="Q71" s="81" t="s">
        <v>2416</v>
      </c>
      <c r="R71" s="81" t="s">
        <v>2344</v>
      </c>
    </row>
    <row r="72" spans="12:18">
      <c r="L72" s="81">
        <v>68</v>
      </c>
      <c r="M72" s="81"/>
      <c r="N72" s="81" t="s">
        <v>2347</v>
      </c>
      <c r="O72" s="81" t="s">
        <v>2347</v>
      </c>
      <c r="P72" s="81" t="s">
        <v>2440</v>
      </c>
      <c r="Q72" s="81" t="s">
        <v>2441</v>
      </c>
      <c r="R72" s="81" t="s">
        <v>2344</v>
      </c>
    </row>
    <row r="73" spans="12:18">
      <c r="L73" s="81">
        <v>69</v>
      </c>
      <c r="M73" s="81"/>
      <c r="N73" s="81" t="s">
        <v>2347</v>
      </c>
      <c r="O73" s="81" t="s">
        <v>2347</v>
      </c>
      <c r="P73" s="81" t="s">
        <v>2347</v>
      </c>
      <c r="Q73" s="81" t="s">
        <v>2442</v>
      </c>
      <c r="R73" s="81" t="s">
        <v>2344</v>
      </c>
    </row>
    <row r="74" spans="12:18">
      <c r="L74" s="81">
        <v>70</v>
      </c>
      <c r="M74" s="81"/>
      <c r="N74" s="81" t="s">
        <v>2347</v>
      </c>
      <c r="O74" s="81" t="s">
        <v>2347</v>
      </c>
      <c r="P74" s="81" t="s">
        <v>2347</v>
      </c>
      <c r="Q74" s="81" t="s">
        <v>2443</v>
      </c>
      <c r="R74" s="81" t="s">
        <v>2344</v>
      </c>
    </row>
    <row r="75" spans="12:18">
      <c r="L75" s="81">
        <v>71</v>
      </c>
      <c r="M75" s="81"/>
      <c r="N75" s="81" t="s">
        <v>2347</v>
      </c>
      <c r="O75" s="81" t="s">
        <v>2347</v>
      </c>
      <c r="P75" s="81" t="s">
        <v>2444</v>
      </c>
      <c r="Q75" s="81" t="s">
        <v>2445</v>
      </c>
      <c r="R75" s="81" t="s">
        <v>2344</v>
      </c>
    </row>
    <row r="76" spans="12:18">
      <c r="L76" s="81">
        <v>72</v>
      </c>
      <c r="M76" s="81"/>
      <c r="N76" s="81" t="s">
        <v>2347</v>
      </c>
      <c r="O76" s="81" t="s">
        <v>2347</v>
      </c>
      <c r="P76" s="81" t="s">
        <v>2347</v>
      </c>
      <c r="Q76" s="81" t="s">
        <v>2446</v>
      </c>
      <c r="R76" s="81" t="s">
        <v>2344</v>
      </c>
    </row>
    <row r="77" spans="12:18">
      <c r="L77" s="81">
        <v>73</v>
      </c>
      <c r="M77" s="81"/>
      <c r="N77" s="81" t="s">
        <v>2347</v>
      </c>
      <c r="O77" s="81" t="s">
        <v>2447</v>
      </c>
      <c r="P77" s="81" t="s">
        <v>2448</v>
      </c>
      <c r="Q77" s="81" t="s">
        <v>2449</v>
      </c>
      <c r="R77" s="81" t="s">
        <v>2344</v>
      </c>
    </row>
    <row r="78" spans="12:18">
      <c r="L78" s="81">
        <v>74</v>
      </c>
      <c r="M78" s="81"/>
      <c r="N78" s="81" t="s">
        <v>2347</v>
      </c>
      <c r="O78" s="81" t="s">
        <v>2347</v>
      </c>
      <c r="P78" s="81" t="s">
        <v>2347</v>
      </c>
      <c r="Q78" s="81" t="s">
        <v>2434</v>
      </c>
      <c r="R78" s="81" t="s">
        <v>2344</v>
      </c>
    </row>
    <row r="79" spans="12:18">
      <c r="L79" s="81">
        <v>75</v>
      </c>
      <c r="M79" s="81"/>
      <c r="N79" s="81" t="s">
        <v>2347</v>
      </c>
      <c r="O79" s="81" t="s">
        <v>2347</v>
      </c>
      <c r="P79" s="81" t="s">
        <v>2347</v>
      </c>
      <c r="Q79" s="81" t="s">
        <v>2436</v>
      </c>
      <c r="R79" s="81" t="s">
        <v>2344</v>
      </c>
    </row>
    <row r="80" spans="12:18">
      <c r="L80" s="81">
        <v>76</v>
      </c>
      <c r="M80" s="81"/>
      <c r="N80" s="81" t="s">
        <v>2347</v>
      </c>
      <c r="O80" s="81" t="s">
        <v>2347</v>
      </c>
      <c r="P80" s="81" t="s">
        <v>2347</v>
      </c>
      <c r="Q80" s="81" t="s">
        <v>2437</v>
      </c>
      <c r="R80" s="81" t="s">
        <v>2344</v>
      </c>
    </row>
    <row r="81" spans="12:18">
      <c r="L81" s="81">
        <v>77</v>
      </c>
      <c r="M81" s="81"/>
      <c r="N81" s="81" t="s">
        <v>2347</v>
      </c>
      <c r="O81" s="81" t="s">
        <v>2347</v>
      </c>
      <c r="P81" s="81" t="s">
        <v>2347</v>
      </c>
      <c r="Q81" s="81" t="s">
        <v>2450</v>
      </c>
      <c r="R81" s="81" t="s">
        <v>2344</v>
      </c>
    </row>
    <row r="82" spans="12:18">
      <c r="L82" s="81">
        <v>78</v>
      </c>
      <c r="M82" s="81"/>
      <c r="N82" s="81" t="s">
        <v>2347</v>
      </c>
      <c r="O82" s="81" t="s">
        <v>2347</v>
      </c>
      <c r="P82" s="81" t="s">
        <v>2451</v>
      </c>
      <c r="Q82" s="81" t="s">
        <v>2415</v>
      </c>
      <c r="R82" s="81" t="s">
        <v>2344</v>
      </c>
    </row>
    <row r="83" spans="12:18">
      <c r="L83" s="81">
        <v>79</v>
      </c>
      <c r="M83" s="81"/>
      <c r="N83" s="81" t="s">
        <v>2347</v>
      </c>
      <c r="O83" s="81" t="s">
        <v>2347</v>
      </c>
      <c r="P83" s="81" t="s">
        <v>2347</v>
      </c>
      <c r="Q83" s="81" t="s">
        <v>2416</v>
      </c>
      <c r="R83" s="81" t="s">
        <v>2344</v>
      </c>
    </row>
    <row r="84" spans="12:18">
      <c r="L84" s="81">
        <v>80</v>
      </c>
      <c r="M84" s="81"/>
      <c r="N84" s="81" t="s">
        <v>2347</v>
      </c>
      <c r="O84" s="81" t="s">
        <v>2347</v>
      </c>
      <c r="P84" s="81" t="s">
        <v>2452</v>
      </c>
      <c r="Q84" s="81" t="s">
        <v>2441</v>
      </c>
      <c r="R84" s="81" t="s">
        <v>2344</v>
      </c>
    </row>
    <row r="85" spans="12:18">
      <c r="L85" s="81">
        <v>81</v>
      </c>
      <c r="M85" s="81"/>
      <c r="N85" s="81" t="s">
        <v>2347</v>
      </c>
      <c r="O85" s="81" t="s">
        <v>2347</v>
      </c>
      <c r="P85" s="81" t="s">
        <v>2347</v>
      </c>
      <c r="Q85" s="81" t="s">
        <v>2442</v>
      </c>
      <c r="R85" s="81" t="s">
        <v>2344</v>
      </c>
    </row>
    <row r="86" spans="12:18">
      <c r="L86" s="81">
        <v>82</v>
      </c>
      <c r="M86" s="81"/>
      <c r="N86" s="81" t="s">
        <v>2347</v>
      </c>
      <c r="O86" s="81" t="s">
        <v>2347</v>
      </c>
      <c r="P86" s="81" t="s">
        <v>2347</v>
      </c>
      <c r="Q86" s="81" t="s">
        <v>2443</v>
      </c>
      <c r="R86" s="81" t="s">
        <v>2344</v>
      </c>
    </row>
    <row r="87" spans="12:18">
      <c r="L87" s="81">
        <v>83</v>
      </c>
      <c r="M87" s="81"/>
      <c r="N87" s="81" t="s">
        <v>2347</v>
      </c>
      <c r="O87" s="81" t="s">
        <v>2347</v>
      </c>
      <c r="P87" s="81" t="s">
        <v>2453</v>
      </c>
      <c r="Q87" s="81" t="s">
        <v>2454</v>
      </c>
      <c r="R87" s="81" t="s">
        <v>2344</v>
      </c>
    </row>
    <row r="88" spans="12:18">
      <c r="L88" s="81">
        <v>84</v>
      </c>
      <c r="M88" s="81"/>
      <c r="N88" s="81" t="s">
        <v>2347</v>
      </c>
      <c r="O88" s="81" t="s">
        <v>2347</v>
      </c>
      <c r="P88" s="81" t="s">
        <v>2347</v>
      </c>
      <c r="Q88" s="81" t="s">
        <v>2446</v>
      </c>
      <c r="R88" s="81" t="s">
        <v>2344</v>
      </c>
    </row>
    <row r="89" spans="12:18">
      <c r="L89" s="81">
        <v>85</v>
      </c>
      <c r="M89" s="81"/>
      <c r="N89" s="81" t="s">
        <v>2347</v>
      </c>
      <c r="O89" s="81" t="s">
        <v>2347</v>
      </c>
      <c r="P89" s="81" t="s">
        <v>2455</v>
      </c>
      <c r="Q89" s="81" t="s">
        <v>2456</v>
      </c>
      <c r="R89" s="81" t="s">
        <v>2344</v>
      </c>
    </row>
    <row r="90" spans="12:18">
      <c r="L90" s="81">
        <v>86</v>
      </c>
      <c r="M90" s="81"/>
      <c r="N90" s="81" t="s">
        <v>2347</v>
      </c>
      <c r="O90" s="81" t="s">
        <v>2347</v>
      </c>
      <c r="P90" s="81" t="s">
        <v>2347</v>
      </c>
      <c r="Q90" s="81" t="s">
        <v>2457</v>
      </c>
      <c r="R90" s="81" t="s">
        <v>2344</v>
      </c>
    </row>
    <row r="91" spans="12:18">
      <c r="L91" s="81">
        <v>87</v>
      </c>
      <c r="M91" s="81"/>
      <c r="N91" s="81" t="s">
        <v>2347</v>
      </c>
      <c r="O91" s="81" t="s">
        <v>2347</v>
      </c>
      <c r="P91" s="81" t="s">
        <v>2347</v>
      </c>
      <c r="Q91" s="81" t="s">
        <v>2458</v>
      </c>
      <c r="R91" s="81" t="s">
        <v>2344</v>
      </c>
    </row>
    <row r="92" spans="12:18">
      <c r="L92" s="81">
        <v>88</v>
      </c>
      <c r="M92" s="81"/>
      <c r="N92" s="81" t="s">
        <v>2347</v>
      </c>
      <c r="O92" s="81" t="s">
        <v>2347</v>
      </c>
      <c r="P92" s="81" t="s">
        <v>2347</v>
      </c>
      <c r="Q92" s="81" t="s">
        <v>2459</v>
      </c>
      <c r="R92" s="81" t="s">
        <v>2344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5598-F128-491D-A837-356AF2396AFE}">
  <dimension ref="G1:Y225"/>
  <sheetViews>
    <sheetView workbookViewId="0">
      <selection activeCell="L17" sqref="L17"/>
    </sheetView>
  </sheetViews>
  <sheetFormatPr defaultRowHeight="15"/>
  <cols>
    <col min="10" max="10" width="84" customWidth="1"/>
    <col min="11" max="11" width="31.42578125" customWidth="1"/>
    <col min="12" max="12" width="67.85546875" customWidth="1"/>
    <col min="25" max="25" width="69.42578125" customWidth="1"/>
  </cols>
  <sheetData>
    <row r="1" spans="7:25">
      <c r="G1">
        <v>1</v>
      </c>
      <c r="J1" s="87" t="s">
        <v>2460</v>
      </c>
      <c r="K1" s="83"/>
      <c r="L1" s="87" t="s">
        <v>2461</v>
      </c>
      <c r="Q1">
        <f>COUNTIFS($Y:$Y,L1)</f>
        <v>1</v>
      </c>
      <c r="Y1" s="93" t="s">
        <v>2462</v>
      </c>
    </row>
    <row r="2" spans="7:25">
      <c r="G2">
        <v>2</v>
      </c>
      <c r="J2" s="84" t="s">
        <v>2463</v>
      </c>
      <c r="K2" s="85"/>
      <c r="L2" s="84" t="s">
        <v>2464</v>
      </c>
      <c r="Q2">
        <f t="shared" ref="Q2:Q42" si="0">COUNTIFS($Y:$Y,L2)</f>
        <v>0</v>
      </c>
      <c r="Y2" s="94" t="s">
        <v>2465</v>
      </c>
    </row>
    <row r="3" spans="7:25">
      <c r="G3">
        <v>3</v>
      </c>
      <c r="J3" s="84" t="s">
        <v>2466</v>
      </c>
      <c r="K3" s="85"/>
      <c r="L3" s="84" t="s">
        <v>2467</v>
      </c>
      <c r="Q3">
        <f t="shared" si="0"/>
        <v>1</v>
      </c>
      <c r="Y3" s="94" t="s">
        <v>2468</v>
      </c>
    </row>
    <row r="4" spans="7:25">
      <c r="G4">
        <v>4</v>
      </c>
      <c r="J4" s="84" t="s">
        <v>2469</v>
      </c>
      <c r="K4" s="85"/>
      <c r="L4" s="84" t="s">
        <v>2470</v>
      </c>
      <c r="Q4">
        <f t="shared" si="0"/>
        <v>1</v>
      </c>
      <c r="Y4" s="94" t="s">
        <v>2471</v>
      </c>
    </row>
    <row r="5" spans="7:25">
      <c r="G5">
        <v>5</v>
      </c>
      <c r="J5" s="84" t="s">
        <v>2472</v>
      </c>
      <c r="K5" s="85"/>
      <c r="L5" s="84" t="s">
        <v>2473</v>
      </c>
      <c r="Q5">
        <f t="shared" si="0"/>
        <v>1</v>
      </c>
      <c r="Y5" s="94" t="s">
        <v>2474</v>
      </c>
    </row>
    <row r="6" spans="7:25">
      <c r="G6">
        <v>6</v>
      </c>
      <c r="J6" s="84" t="s">
        <v>2475</v>
      </c>
      <c r="K6" s="85"/>
      <c r="L6" s="84" t="s">
        <v>2476</v>
      </c>
      <c r="Q6">
        <f t="shared" si="0"/>
        <v>1</v>
      </c>
      <c r="Y6" s="94" t="s">
        <v>2477</v>
      </c>
    </row>
    <row r="7" spans="7:25">
      <c r="G7">
        <v>7</v>
      </c>
      <c r="J7" s="84" t="s">
        <v>2478</v>
      </c>
      <c r="K7" s="85"/>
      <c r="L7" s="84" t="s">
        <v>2479</v>
      </c>
      <c r="Q7">
        <f t="shared" si="0"/>
        <v>1</v>
      </c>
      <c r="Y7" s="94" t="s">
        <v>2480</v>
      </c>
    </row>
    <row r="8" spans="7:25">
      <c r="G8">
        <v>8</v>
      </c>
      <c r="J8" s="84" t="s">
        <v>2481</v>
      </c>
      <c r="K8" s="85"/>
      <c r="L8" s="84" t="s">
        <v>2482</v>
      </c>
      <c r="Q8">
        <f t="shared" si="0"/>
        <v>1</v>
      </c>
      <c r="Y8" s="94" t="s">
        <v>2483</v>
      </c>
    </row>
    <row r="9" spans="7:25">
      <c r="G9">
        <v>9</v>
      </c>
      <c r="J9" s="84" t="s">
        <v>2484</v>
      </c>
      <c r="K9" s="85"/>
      <c r="L9" s="84" t="s">
        <v>2485</v>
      </c>
      <c r="Q9">
        <f t="shared" si="0"/>
        <v>1</v>
      </c>
      <c r="Y9" s="95" t="s">
        <v>2486</v>
      </c>
    </row>
    <row r="10" spans="7:25">
      <c r="G10">
        <v>10</v>
      </c>
      <c r="J10" s="84" t="s">
        <v>2487</v>
      </c>
      <c r="K10" s="85"/>
      <c r="L10" s="84" t="s">
        <v>2488</v>
      </c>
      <c r="Q10">
        <f t="shared" si="0"/>
        <v>1</v>
      </c>
      <c r="Y10" s="95" t="s">
        <v>2489</v>
      </c>
    </row>
    <row r="11" spans="7:25">
      <c r="G11">
        <v>11</v>
      </c>
      <c r="J11" s="84" t="s">
        <v>2490</v>
      </c>
      <c r="K11" s="85"/>
      <c r="L11" s="84" t="s">
        <v>2491</v>
      </c>
      <c r="Q11">
        <f t="shared" si="0"/>
        <v>1</v>
      </c>
      <c r="Y11" s="95" t="s">
        <v>2492</v>
      </c>
    </row>
    <row r="12" spans="7:25">
      <c r="G12">
        <v>12</v>
      </c>
      <c r="J12" s="84" t="s">
        <v>2493</v>
      </c>
      <c r="K12" s="85"/>
      <c r="L12" s="84" t="s">
        <v>2494</v>
      </c>
      <c r="Q12">
        <f t="shared" si="0"/>
        <v>1</v>
      </c>
      <c r="Y12" s="95" t="s">
        <v>2495</v>
      </c>
    </row>
    <row r="13" spans="7:25">
      <c r="G13">
        <v>13</v>
      </c>
      <c r="J13" s="84" t="s">
        <v>2496</v>
      </c>
      <c r="K13" s="85"/>
      <c r="L13" s="84" t="s">
        <v>2497</v>
      </c>
      <c r="Q13">
        <f t="shared" si="0"/>
        <v>1</v>
      </c>
      <c r="Y13" s="95" t="s">
        <v>2498</v>
      </c>
    </row>
    <row r="14" spans="7:25">
      <c r="G14">
        <v>14</v>
      </c>
      <c r="J14" s="84" t="s">
        <v>2499</v>
      </c>
      <c r="K14" s="85"/>
      <c r="L14" s="84" t="s">
        <v>2500</v>
      </c>
      <c r="Q14">
        <f t="shared" si="0"/>
        <v>0</v>
      </c>
      <c r="Y14" s="96" t="s">
        <v>2501</v>
      </c>
    </row>
    <row r="15" spans="7:25">
      <c r="G15">
        <v>15</v>
      </c>
      <c r="J15" s="84" t="s">
        <v>2502</v>
      </c>
      <c r="K15" s="85"/>
      <c r="L15" s="84" t="s">
        <v>2503</v>
      </c>
      <c r="Q15">
        <f t="shared" si="0"/>
        <v>1</v>
      </c>
      <c r="Y15" s="97" t="s">
        <v>2504</v>
      </c>
    </row>
    <row r="16" spans="7:25">
      <c r="G16">
        <v>16</v>
      </c>
      <c r="J16" s="84" t="s">
        <v>2505</v>
      </c>
      <c r="K16" s="85"/>
      <c r="L16" s="84" t="s">
        <v>2506</v>
      </c>
      <c r="Q16">
        <f t="shared" si="0"/>
        <v>1</v>
      </c>
      <c r="Y16" s="94" t="s">
        <v>2507</v>
      </c>
    </row>
    <row r="17" spans="7:25">
      <c r="G17">
        <v>17</v>
      </c>
      <c r="J17" s="84" t="s">
        <v>2508</v>
      </c>
      <c r="K17" s="85"/>
      <c r="L17" s="84" t="s">
        <v>2509</v>
      </c>
      <c r="Q17">
        <f t="shared" si="0"/>
        <v>0</v>
      </c>
      <c r="Y17" s="94" t="s">
        <v>2510</v>
      </c>
    </row>
    <row r="18" spans="7:25">
      <c r="G18">
        <v>18</v>
      </c>
      <c r="J18" s="84" t="s">
        <v>2511</v>
      </c>
      <c r="K18" s="85"/>
      <c r="L18" s="84" t="s">
        <v>2512</v>
      </c>
      <c r="Q18">
        <f t="shared" si="0"/>
        <v>0</v>
      </c>
      <c r="Y18" s="94" t="s">
        <v>2513</v>
      </c>
    </row>
    <row r="19" spans="7:25">
      <c r="G19">
        <v>20</v>
      </c>
      <c r="J19" s="84" t="s">
        <v>2514</v>
      </c>
      <c r="K19" s="85"/>
      <c r="L19" s="84" t="s">
        <v>2513</v>
      </c>
      <c r="Q19">
        <f t="shared" si="0"/>
        <v>1</v>
      </c>
      <c r="Y19" s="94" t="s">
        <v>2515</v>
      </c>
    </row>
    <row r="20" spans="7:25">
      <c r="G20">
        <v>21</v>
      </c>
      <c r="J20" s="84" t="s">
        <v>2516</v>
      </c>
      <c r="K20" s="85"/>
      <c r="L20" s="84" t="s">
        <v>2489</v>
      </c>
      <c r="Q20">
        <f t="shared" si="0"/>
        <v>1</v>
      </c>
      <c r="Y20" s="94" t="s">
        <v>2517</v>
      </c>
    </row>
    <row r="21" spans="7:25">
      <c r="G21">
        <v>22</v>
      </c>
      <c r="J21" s="84" t="s">
        <v>2518</v>
      </c>
      <c r="K21" s="85"/>
      <c r="L21" s="84" t="s">
        <v>2462</v>
      </c>
      <c r="Q21">
        <f t="shared" si="0"/>
        <v>1</v>
      </c>
      <c r="Y21" s="94" t="s">
        <v>2519</v>
      </c>
    </row>
    <row r="22" spans="7:25">
      <c r="G22">
        <v>23</v>
      </c>
      <c r="J22" s="84" t="s">
        <v>2520</v>
      </c>
      <c r="K22" s="85"/>
      <c r="L22" s="84" t="s">
        <v>2465</v>
      </c>
      <c r="Q22">
        <f t="shared" si="0"/>
        <v>1</v>
      </c>
      <c r="Y22" s="84" t="s">
        <v>2485</v>
      </c>
    </row>
    <row r="23" spans="7:25">
      <c r="G23">
        <v>24</v>
      </c>
      <c r="J23" s="84" t="s">
        <v>2521</v>
      </c>
      <c r="K23" s="85"/>
      <c r="L23" s="84" t="s">
        <v>2468</v>
      </c>
      <c r="Q23">
        <f t="shared" si="0"/>
        <v>1</v>
      </c>
      <c r="Y23" s="94" t="s">
        <v>2494</v>
      </c>
    </row>
    <row r="24" spans="7:25">
      <c r="G24">
        <v>25</v>
      </c>
      <c r="J24" s="84" t="s">
        <v>2522</v>
      </c>
      <c r="K24" s="85"/>
      <c r="L24" s="84" t="s">
        <v>2474</v>
      </c>
      <c r="Q24">
        <f t="shared" si="0"/>
        <v>1</v>
      </c>
      <c r="Y24" s="91" t="s">
        <v>2467</v>
      </c>
    </row>
    <row r="25" spans="7:25">
      <c r="G25">
        <v>26</v>
      </c>
      <c r="J25" s="84" t="s">
        <v>2523</v>
      </c>
      <c r="K25" s="85"/>
      <c r="L25" s="84" t="s">
        <v>2480</v>
      </c>
      <c r="Q25">
        <f t="shared" si="0"/>
        <v>1</v>
      </c>
      <c r="Y25" s="91" t="s">
        <v>2503</v>
      </c>
    </row>
    <row r="26" spans="7:25">
      <c r="G26">
        <v>27</v>
      </c>
      <c r="J26" s="84" t="s">
        <v>2524</v>
      </c>
      <c r="K26" s="85"/>
      <c r="L26" s="84" t="s">
        <v>2477</v>
      </c>
      <c r="Q26">
        <f t="shared" si="0"/>
        <v>1</v>
      </c>
      <c r="Y26" s="91" t="s">
        <v>2470</v>
      </c>
    </row>
    <row r="27" spans="7:25">
      <c r="G27">
        <v>28</v>
      </c>
      <c r="J27" s="84" t="s">
        <v>2525</v>
      </c>
      <c r="K27" s="85"/>
      <c r="L27" s="84" t="s">
        <v>2494</v>
      </c>
      <c r="Q27">
        <f t="shared" si="0"/>
        <v>1</v>
      </c>
      <c r="Y27" s="94" t="s">
        <v>2526</v>
      </c>
    </row>
    <row r="28" spans="7:25">
      <c r="G28">
        <v>29</v>
      </c>
      <c r="J28" s="84" t="s">
        <v>2527</v>
      </c>
      <c r="K28" s="85"/>
      <c r="L28" s="84" t="s">
        <v>2528</v>
      </c>
      <c r="Q28">
        <f t="shared" si="0"/>
        <v>1</v>
      </c>
      <c r="Y28" s="94" t="s">
        <v>2528</v>
      </c>
    </row>
    <row r="29" spans="7:25">
      <c r="G29">
        <v>30</v>
      </c>
      <c r="J29" s="84" t="s">
        <v>2529</v>
      </c>
      <c r="K29" s="85"/>
      <c r="L29" s="84" t="s">
        <v>2526</v>
      </c>
      <c r="Q29">
        <f t="shared" si="0"/>
        <v>1</v>
      </c>
      <c r="Y29" s="84" t="s">
        <v>2473</v>
      </c>
    </row>
    <row r="30" spans="7:25">
      <c r="G30">
        <v>31</v>
      </c>
      <c r="J30" s="84" t="s">
        <v>2530</v>
      </c>
      <c r="K30" s="85"/>
      <c r="L30" s="84" t="s">
        <v>2495</v>
      </c>
      <c r="Q30">
        <f t="shared" si="0"/>
        <v>1</v>
      </c>
      <c r="Y30" s="91" t="s">
        <v>2476</v>
      </c>
    </row>
    <row r="31" spans="7:25">
      <c r="G31">
        <v>32</v>
      </c>
      <c r="J31" s="84" t="s">
        <v>2531</v>
      </c>
      <c r="K31" s="85"/>
      <c r="L31" s="84" t="s">
        <v>2498</v>
      </c>
      <c r="Q31">
        <f t="shared" si="0"/>
        <v>1</v>
      </c>
      <c r="Y31" s="91" t="s">
        <v>2506</v>
      </c>
    </row>
    <row r="32" spans="7:25">
      <c r="G32">
        <v>33</v>
      </c>
      <c r="J32" s="84" t="s">
        <v>2532</v>
      </c>
      <c r="K32" s="85"/>
      <c r="L32" s="84" t="s">
        <v>2492</v>
      </c>
      <c r="Q32">
        <f t="shared" si="0"/>
        <v>1</v>
      </c>
      <c r="Y32" s="91" t="s">
        <v>2482</v>
      </c>
    </row>
    <row r="33" spans="7:25">
      <c r="G33">
        <v>34</v>
      </c>
      <c r="J33" s="84" t="s">
        <v>2533</v>
      </c>
      <c r="K33" s="85"/>
      <c r="L33" s="84" t="s">
        <v>2486</v>
      </c>
      <c r="Q33">
        <f t="shared" si="0"/>
        <v>1</v>
      </c>
      <c r="Y33" s="91" t="s">
        <v>2461</v>
      </c>
    </row>
    <row r="34" spans="7:25">
      <c r="G34">
        <v>35</v>
      </c>
      <c r="J34" s="84" t="s">
        <v>2534</v>
      </c>
      <c r="K34" s="85"/>
      <c r="L34" s="84" t="s">
        <v>2483</v>
      </c>
      <c r="Q34">
        <f t="shared" si="0"/>
        <v>1</v>
      </c>
      <c r="Y34" s="91" t="s">
        <v>2497</v>
      </c>
    </row>
    <row r="35" spans="7:25">
      <c r="G35">
        <v>36</v>
      </c>
      <c r="J35" s="84" t="s">
        <v>2535</v>
      </c>
      <c r="K35" s="85"/>
      <c r="L35" s="84" t="s">
        <v>2519</v>
      </c>
      <c r="Q35">
        <f t="shared" si="0"/>
        <v>1</v>
      </c>
      <c r="Y35" s="91" t="s">
        <v>2479</v>
      </c>
    </row>
    <row r="36" spans="7:25">
      <c r="G36">
        <v>37</v>
      </c>
      <c r="J36" s="84" t="s">
        <v>2536</v>
      </c>
      <c r="K36" s="85"/>
      <c r="L36" s="84" t="s">
        <v>2507</v>
      </c>
      <c r="Q36">
        <f t="shared" si="0"/>
        <v>1</v>
      </c>
      <c r="Y36" s="84" t="s">
        <v>2488</v>
      </c>
    </row>
    <row r="37" spans="7:25">
      <c r="G37">
        <v>38</v>
      </c>
      <c r="J37" s="84" t="s">
        <v>2537</v>
      </c>
      <c r="K37" s="85"/>
      <c r="L37" s="84" t="s">
        <v>2510</v>
      </c>
      <c r="Q37">
        <f t="shared" si="0"/>
        <v>1</v>
      </c>
      <c r="Y37" s="94" t="s">
        <v>2491</v>
      </c>
    </row>
    <row r="38" spans="7:25">
      <c r="G38">
        <v>39</v>
      </c>
      <c r="J38" s="84" t="s">
        <v>2538</v>
      </c>
      <c r="K38" s="85"/>
      <c r="L38" s="84" t="s">
        <v>2517</v>
      </c>
      <c r="Q38">
        <f t="shared" si="0"/>
        <v>1</v>
      </c>
    </row>
    <row r="39" spans="7:25">
      <c r="G39">
        <v>40</v>
      </c>
      <c r="J39" s="84" t="s">
        <v>2539</v>
      </c>
      <c r="K39" s="85"/>
      <c r="L39" s="84" t="s">
        <v>2515</v>
      </c>
      <c r="Q39">
        <f t="shared" si="0"/>
        <v>1</v>
      </c>
    </row>
    <row r="40" spans="7:25">
      <c r="G40">
        <v>41</v>
      </c>
      <c r="J40" s="84" t="s">
        <v>2540</v>
      </c>
      <c r="K40" s="85"/>
      <c r="L40" s="84" t="s">
        <v>2501</v>
      </c>
      <c r="Q40">
        <f t="shared" si="0"/>
        <v>1</v>
      </c>
    </row>
    <row r="41" spans="7:25">
      <c r="G41">
        <v>42</v>
      </c>
      <c r="J41" s="87" t="s">
        <v>2541</v>
      </c>
      <c r="K41" s="85"/>
      <c r="L41" s="84" t="s">
        <v>2504</v>
      </c>
      <c r="Q41">
        <f t="shared" si="0"/>
        <v>1</v>
      </c>
    </row>
    <row r="42" spans="7:25">
      <c r="G42">
        <v>43</v>
      </c>
      <c r="J42" s="92"/>
      <c r="K42" s="83"/>
      <c r="L42" s="87" t="s">
        <v>2471</v>
      </c>
      <c r="Q42">
        <f t="shared" si="0"/>
        <v>1</v>
      </c>
    </row>
    <row r="83" spans="11:12">
      <c r="K83" s="98"/>
      <c r="L83" s="98"/>
    </row>
    <row r="84" spans="11:12">
      <c r="K84" s="98"/>
      <c r="L84" s="98"/>
    </row>
    <row r="85" spans="11:12">
      <c r="K85" s="99"/>
      <c r="L85" s="99"/>
    </row>
    <row r="86" spans="11:12">
      <c r="K86" s="88" t="s">
        <v>2542</v>
      </c>
      <c r="L86" s="94" t="s">
        <v>2543</v>
      </c>
    </row>
    <row r="87" spans="11:12">
      <c r="K87" s="98"/>
      <c r="L87" s="98"/>
    </row>
    <row r="88" spans="11:12">
      <c r="K88" s="98"/>
      <c r="L88" s="98"/>
    </row>
    <row r="89" spans="11:12">
      <c r="K89" s="98"/>
      <c r="L89" s="98"/>
    </row>
    <row r="90" spans="11:12">
      <c r="K90" s="98"/>
      <c r="L90" s="98"/>
    </row>
    <row r="91" spans="11:12">
      <c r="K91" s="98"/>
      <c r="L91" s="98"/>
    </row>
    <row r="92" spans="11:12">
      <c r="K92" s="99"/>
      <c r="L92" s="99"/>
    </row>
    <row r="93" spans="11:12">
      <c r="K93" s="88" t="s">
        <v>2542</v>
      </c>
      <c r="L93" s="94" t="s">
        <v>2543</v>
      </c>
    </row>
    <row r="94" spans="11:12">
      <c r="K94" s="98"/>
      <c r="L94" s="98"/>
    </row>
    <row r="95" spans="11:12">
      <c r="K95" s="98"/>
      <c r="L95" s="98"/>
    </row>
    <row r="96" spans="11:12">
      <c r="K96" s="98"/>
      <c r="L96" s="98"/>
    </row>
    <row r="97" spans="11:12">
      <c r="K97" s="98"/>
      <c r="L97" s="98"/>
    </row>
    <row r="98" spans="11:12">
      <c r="K98" s="98"/>
      <c r="L98" s="98"/>
    </row>
    <row r="99" spans="11:12">
      <c r="K99" s="99"/>
      <c r="L99" s="99"/>
    </row>
    <row r="100" spans="11:12">
      <c r="K100" s="88" t="s">
        <v>2544</v>
      </c>
      <c r="L100" s="94" t="s">
        <v>2545</v>
      </c>
    </row>
    <row r="101" spans="11:12">
      <c r="K101" s="98"/>
      <c r="L101" s="98"/>
    </row>
    <row r="102" spans="11:12">
      <c r="K102" s="98"/>
      <c r="L102" s="98"/>
    </row>
    <row r="103" spans="11:12">
      <c r="K103" s="98"/>
      <c r="L103" s="98"/>
    </row>
    <row r="104" spans="11:12">
      <c r="K104" s="98"/>
      <c r="L104" s="98"/>
    </row>
    <row r="105" spans="11:12">
      <c r="K105" s="98"/>
      <c r="L105" s="98"/>
    </row>
    <row r="106" spans="11:12">
      <c r="K106" s="99"/>
      <c r="L106" s="99"/>
    </row>
    <row r="107" spans="11:12">
      <c r="K107" s="88" t="s">
        <v>2544</v>
      </c>
      <c r="L107" s="94" t="s">
        <v>2545</v>
      </c>
    </row>
    <row r="108" spans="11:12">
      <c r="K108" s="98"/>
      <c r="L108" s="98"/>
    </row>
    <row r="109" spans="11:12">
      <c r="K109" s="98"/>
      <c r="L109" s="98"/>
    </row>
    <row r="110" spans="11:12">
      <c r="K110" s="98"/>
      <c r="L110" s="98"/>
    </row>
    <row r="111" spans="11:12">
      <c r="K111" s="98"/>
      <c r="L111" s="98"/>
    </row>
    <row r="112" spans="11:12">
      <c r="K112" s="98"/>
      <c r="L112" s="98"/>
    </row>
    <row r="113" spans="11:12">
      <c r="K113" s="99"/>
      <c r="L113" s="99"/>
    </row>
    <row r="114" spans="11:12">
      <c r="K114" s="88" t="s">
        <v>2542</v>
      </c>
      <c r="L114" s="94" t="s">
        <v>2543</v>
      </c>
    </row>
    <row r="115" spans="11:12">
      <c r="K115" s="98"/>
      <c r="L115" s="98"/>
    </row>
    <row r="116" spans="11:12">
      <c r="K116" s="98"/>
      <c r="L116" s="98"/>
    </row>
    <row r="117" spans="11:12">
      <c r="K117" s="98"/>
      <c r="L117" s="98"/>
    </row>
    <row r="118" spans="11:12">
      <c r="K118" s="98"/>
      <c r="L118" s="98"/>
    </row>
    <row r="119" spans="11:12">
      <c r="K119" s="98"/>
      <c r="L119" s="98"/>
    </row>
    <row r="120" spans="11:12">
      <c r="K120" s="99"/>
      <c r="L120" s="99"/>
    </row>
    <row r="121" spans="11:12">
      <c r="K121" s="88" t="s">
        <v>2544</v>
      </c>
      <c r="L121" s="94" t="s">
        <v>2545</v>
      </c>
    </row>
    <row r="122" spans="11:12">
      <c r="K122" s="98"/>
      <c r="L122" s="98"/>
    </row>
    <row r="123" spans="11:12">
      <c r="K123" s="98"/>
      <c r="L123" s="98"/>
    </row>
    <row r="124" spans="11:12">
      <c r="K124" s="98"/>
      <c r="L124" s="98"/>
    </row>
    <row r="125" spans="11:12">
      <c r="K125" s="98"/>
      <c r="L125" s="98"/>
    </row>
    <row r="126" spans="11:12">
      <c r="K126" s="98"/>
      <c r="L126" s="98"/>
    </row>
    <row r="127" spans="11:12">
      <c r="K127" s="99"/>
      <c r="L127" s="99"/>
    </row>
    <row r="128" spans="11:12">
      <c r="K128" s="88" t="s">
        <v>2544</v>
      </c>
      <c r="L128" s="94" t="s">
        <v>2545</v>
      </c>
    </row>
    <row r="129" spans="11:12">
      <c r="K129" s="98"/>
      <c r="L129" s="98"/>
    </row>
    <row r="130" spans="11:12">
      <c r="K130" s="98"/>
      <c r="L130" s="98"/>
    </row>
    <row r="131" spans="11:12">
      <c r="K131" s="98"/>
      <c r="L131" s="98"/>
    </row>
    <row r="132" spans="11:12">
      <c r="K132" s="98"/>
      <c r="L132" s="98"/>
    </row>
    <row r="133" spans="11:12">
      <c r="K133" s="98"/>
      <c r="L133" s="98"/>
    </row>
    <row r="134" spans="11:12">
      <c r="K134" s="99"/>
      <c r="L134" s="99"/>
    </row>
    <row r="135" spans="11:12">
      <c r="K135" s="88" t="s">
        <v>2544</v>
      </c>
      <c r="L135" s="94" t="s">
        <v>2545</v>
      </c>
    </row>
    <row r="136" spans="11:12">
      <c r="K136" s="98"/>
      <c r="L136" s="98"/>
    </row>
    <row r="137" spans="11:12">
      <c r="K137" s="98"/>
      <c r="L137" s="98"/>
    </row>
    <row r="138" spans="11:12">
      <c r="K138" s="98"/>
      <c r="L138" s="98"/>
    </row>
    <row r="139" spans="11:12">
      <c r="K139" s="98"/>
      <c r="L139" s="98"/>
    </row>
    <row r="140" spans="11:12">
      <c r="K140" s="98"/>
      <c r="L140" s="98"/>
    </row>
    <row r="141" spans="11:12">
      <c r="K141" s="99"/>
      <c r="L141" s="99"/>
    </row>
    <row r="142" spans="11:12">
      <c r="K142" s="90" t="s">
        <v>8</v>
      </c>
      <c r="L142" s="100" t="s">
        <v>2546</v>
      </c>
    </row>
    <row r="143" spans="11:12">
      <c r="K143" s="101"/>
      <c r="L143" s="101"/>
    </row>
    <row r="144" spans="11:12">
      <c r="K144" s="101"/>
      <c r="L144" s="101"/>
    </row>
    <row r="145" spans="11:12">
      <c r="K145" s="101"/>
      <c r="L145" s="101"/>
    </row>
    <row r="146" spans="11:12">
      <c r="K146" s="101"/>
      <c r="L146" s="101"/>
    </row>
    <row r="147" spans="11:12">
      <c r="K147" s="101"/>
      <c r="L147" s="101"/>
    </row>
    <row r="148" spans="11:12">
      <c r="K148" s="102"/>
      <c r="L148" s="102"/>
    </row>
    <row r="149" spans="11:12">
      <c r="K149" s="89" t="s">
        <v>8</v>
      </c>
      <c r="L149" s="94" t="s">
        <v>2546</v>
      </c>
    </row>
    <row r="150" spans="11:12">
      <c r="K150" s="98"/>
      <c r="L150" s="98"/>
    </row>
    <row r="151" spans="11:12">
      <c r="K151" s="98"/>
      <c r="L151" s="98"/>
    </row>
    <row r="152" spans="11:12">
      <c r="K152" s="98"/>
      <c r="L152" s="98"/>
    </row>
    <row r="153" spans="11:12">
      <c r="K153" s="98"/>
      <c r="L153" s="98"/>
    </row>
    <row r="154" spans="11:12">
      <c r="K154" s="98"/>
      <c r="L154" s="98"/>
    </row>
    <row r="155" spans="11:12">
      <c r="K155" s="99"/>
      <c r="L155" s="99"/>
    </row>
    <row r="156" spans="11:12">
      <c r="K156" s="89" t="s">
        <v>8</v>
      </c>
      <c r="L156" s="94" t="s">
        <v>2546</v>
      </c>
    </row>
    <row r="157" spans="11:12">
      <c r="K157" s="98"/>
      <c r="L157" s="98"/>
    </row>
    <row r="158" spans="11:12">
      <c r="K158" s="98"/>
      <c r="L158" s="98"/>
    </row>
    <row r="159" spans="11:12">
      <c r="K159" s="98"/>
      <c r="L159" s="98"/>
    </row>
    <row r="160" spans="11:12">
      <c r="K160" s="98"/>
      <c r="L160" s="98"/>
    </row>
    <row r="161" spans="11:12">
      <c r="K161" s="98"/>
      <c r="L161" s="98"/>
    </row>
    <row r="162" spans="11:12">
      <c r="K162" s="99"/>
      <c r="L162" s="99"/>
    </row>
    <row r="163" spans="11:12">
      <c r="K163" s="89" t="s">
        <v>8</v>
      </c>
      <c r="L163" s="94" t="s">
        <v>2546</v>
      </c>
    </row>
    <row r="164" spans="11:12">
      <c r="K164" s="98"/>
      <c r="L164" s="98"/>
    </row>
    <row r="165" spans="11:12">
      <c r="K165" s="98"/>
      <c r="L165" s="98"/>
    </row>
    <row r="166" spans="11:12">
      <c r="K166" s="98"/>
      <c r="L166" s="98"/>
    </row>
    <row r="167" spans="11:12">
      <c r="K167" s="98"/>
      <c r="L167" s="98"/>
    </row>
    <row r="168" spans="11:12">
      <c r="K168" s="98"/>
      <c r="L168" s="98"/>
    </row>
    <row r="169" spans="11:12">
      <c r="K169" s="99"/>
      <c r="L169" s="99"/>
    </row>
    <row r="170" spans="11:12">
      <c r="K170" s="88" t="s">
        <v>2542</v>
      </c>
      <c r="L170" s="94" t="s">
        <v>2546</v>
      </c>
    </row>
    <row r="171" spans="11:12">
      <c r="K171" s="98"/>
      <c r="L171" s="98"/>
    </row>
    <row r="172" spans="11:12">
      <c r="K172" s="98"/>
      <c r="L172" s="98"/>
    </row>
    <row r="173" spans="11:12">
      <c r="K173" s="98"/>
      <c r="L173" s="98"/>
    </row>
    <row r="174" spans="11:12">
      <c r="K174" s="98"/>
      <c r="L174" s="98"/>
    </row>
    <row r="175" spans="11:12">
      <c r="K175" s="98"/>
      <c r="L175" s="98"/>
    </row>
    <row r="176" spans="11:12">
      <c r="K176" s="99"/>
      <c r="L176" s="99"/>
    </row>
    <row r="177" spans="11:12">
      <c r="K177" s="89" t="s">
        <v>8</v>
      </c>
      <c r="L177" s="94" t="s">
        <v>2546</v>
      </c>
    </row>
    <row r="178" spans="11:12">
      <c r="K178" s="98"/>
      <c r="L178" s="98"/>
    </row>
    <row r="179" spans="11:12">
      <c r="K179" s="98"/>
      <c r="L179" s="98"/>
    </row>
    <row r="180" spans="11:12">
      <c r="K180" s="98"/>
      <c r="L180" s="98"/>
    </row>
    <row r="181" spans="11:12">
      <c r="K181" s="98"/>
      <c r="L181" s="98"/>
    </row>
    <row r="182" spans="11:12">
      <c r="K182" s="98"/>
      <c r="L182" s="98"/>
    </row>
    <row r="183" spans="11:12">
      <c r="K183" s="99"/>
      <c r="L183" s="99"/>
    </row>
    <row r="184" spans="11:12">
      <c r="K184" s="89" t="s">
        <v>8</v>
      </c>
      <c r="L184" s="94" t="s">
        <v>2546</v>
      </c>
    </row>
    <row r="185" spans="11:12">
      <c r="K185" s="98"/>
      <c r="L185" s="98"/>
    </row>
    <row r="186" spans="11:12">
      <c r="K186" s="98"/>
      <c r="L186" s="98"/>
    </row>
    <row r="187" spans="11:12">
      <c r="K187" s="98"/>
      <c r="L187" s="98"/>
    </row>
    <row r="188" spans="11:12">
      <c r="K188" s="98"/>
      <c r="L188" s="98"/>
    </row>
    <row r="189" spans="11:12">
      <c r="K189" s="98"/>
      <c r="L189" s="98"/>
    </row>
    <row r="190" spans="11:12">
      <c r="K190" s="99"/>
      <c r="L190" s="99"/>
    </row>
    <row r="191" spans="11:12">
      <c r="K191" s="89" t="s">
        <v>8</v>
      </c>
      <c r="L191" s="94" t="s">
        <v>2546</v>
      </c>
    </row>
    <row r="192" spans="11:12">
      <c r="K192" s="98"/>
      <c r="L192" s="98"/>
    </row>
    <row r="193" spans="11:12">
      <c r="K193" s="98"/>
      <c r="L193" s="98"/>
    </row>
    <row r="194" spans="11:12">
      <c r="K194" s="98"/>
      <c r="L194" s="98"/>
    </row>
    <row r="195" spans="11:12">
      <c r="K195" s="98"/>
      <c r="L195" s="98"/>
    </row>
    <row r="196" spans="11:12">
      <c r="K196" s="98"/>
      <c r="L196" s="98"/>
    </row>
    <row r="197" spans="11:12">
      <c r="K197" s="99"/>
      <c r="L197" s="99"/>
    </row>
    <row r="198" spans="11:12">
      <c r="K198" s="88" t="s">
        <v>2547</v>
      </c>
      <c r="L198" s="94" t="s">
        <v>2543</v>
      </c>
    </row>
    <row r="199" spans="11:12">
      <c r="K199" s="98"/>
      <c r="L199" s="98"/>
    </row>
    <row r="200" spans="11:12">
      <c r="K200" s="99"/>
      <c r="L200" s="99"/>
    </row>
    <row r="201" spans="11:12">
      <c r="K201" s="88" t="s">
        <v>2544</v>
      </c>
      <c r="L201" s="94" t="s">
        <v>2545</v>
      </c>
    </row>
    <row r="202" spans="11:12">
      <c r="K202" s="98"/>
      <c r="L202" s="98"/>
    </row>
    <row r="203" spans="11:12">
      <c r="K203" s="98"/>
      <c r="L203" s="98"/>
    </row>
    <row r="204" spans="11:12">
      <c r="K204" s="98"/>
      <c r="L204" s="98"/>
    </row>
    <row r="205" spans="11:12">
      <c r="K205" s="99"/>
      <c r="L205" s="99"/>
    </row>
    <row r="206" spans="11:12">
      <c r="K206" s="86" t="s">
        <v>2548</v>
      </c>
      <c r="L206" s="84" t="s">
        <v>2543</v>
      </c>
    </row>
    <row r="207" spans="11:12">
      <c r="K207" s="86" t="s">
        <v>2549</v>
      </c>
      <c r="L207" s="84" t="s">
        <v>2550</v>
      </c>
    </row>
    <row r="208" spans="11:12">
      <c r="K208" s="86" t="s">
        <v>2548</v>
      </c>
      <c r="L208" s="84" t="s">
        <v>2543</v>
      </c>
    </row>
    <row r="209" spans="11:12">
      <c r="K209" s="88" t="s">
        <v>2544</v>
      </c>
      <c r="L209" s="94" t="s">
        <v>2545</v>
      </c>
    </row>
    <row r="210" spans="11:12">
      <c r="K210" s="98"/>
      <c r="L210" s="98"/>
    </row>
    <row r="211" spans="11:12">
      <c r="K211" s="99"/>
      <c r="L211" s="99"/>
    </row>
    <row r="212" spans="11:12">
      <c r="K212" s="88" t="s">
        <v>2544</v>
      </c>
      <c r="L212" s="94" t="s">
        <v>2545</v>
      </c>
    </row>
    <row r="213" spans="11:12">
      <c r="K213" s="98"/>
      <c r="L213" s="98"/>
    </row>
    <row r="214" spans="11:12">
      <c r="K214" s="99"/>
      <c r="L214" s="99"/>
    </row>
    <row r="215" spans="11:12">
      <c r="K215" s="86" t="s">
        <v>2548</v>
      </c>
      <c r="L215" s="84" t="s">
        <v>2543</v>
      </c>
    </row>
    <row r="216" spans="11:12">
      <c r="K216" s="86" t="s">
        <v>2548</v>
      </c>
      <c r="L216" s="84" t="s">
        <v>2543</v>
      </c>
    </row>
    <row r="217" spans="11:12">
      <c r="K217" s="86" t="s">
        <v>2549</v>
      </c>
      <c r="L217" s="84" t="s">
        <v>2551</v>
      </c>
    </row>
    <row r="218" spans="11:12">
      <c r="K218" s="86" t="s">
        <v>2547</v>
      </c>
      <c r="L218" s="84" t="s">
        <v>2543</v>
      </c>
    </row>
    <row r="219" spans="11:12">
      <c r="K219" s="86" t="s">
        <v>2552</v>
      </c>
      <c r="L219" s="84" t="s">
        <v>2543</v>
      </c>
    </row>
    <row r="220" spans="11:12">
      <c r="K220" s="86" t="s">
        <v>2544</v>
      </c>
      <c r="L220" s="84" t="s">
        <v>2545</v>
      </c>
    </row>
    <row r="221" spans="11:12">
      <c r="K221" s="86" t="s">
        <v>2547</v>
      </c>
      <c r="L221" s="84" t="s">
        <v>2543</v>
      </c>
    </row>
    <row r="222" spans="11:12">
      <c r="K222" s="86" t="s">
        <v>2542</v>
      </c>
      <c r="L222" s="84" t="s">
        <v>2543</v>
      </c>
    </row>
    <row r="223" spans="11:12">
      <c r="K223" s="88" t="s">
        <v>2542</v>
      </c>
      <c r="L223" s="94" t="s">
        <v>2543</v>
      </c>
    </row>
    <row r="224" spans="11:12">
      <c r="K224" s="98"/>
      <c r="L224" s="98"/>
    </row>
    <row r="225" spans="11:12">
      <c r="K225" s="99"/>
      <c r="L225" s="99"/>
    </row>
  </sheetData>
  <hyperlinks>
    <hyperlink ref="J1" r:id="rId1" xr:uid="{96D62F5D-4EB7-4511-9D77-4DC1A3EE8BB7}"/>
    <hyperlink ref="L1" r:id="rId2" xr:uid="{F099B2AD-6E59-4302-B854-89266961C119}"/>
    <hyperlink ref="J2" r:id="rId3" xr:uid="{E66AA409-AC3D-412F-9081-0CC58BCF23D0}"/>
    <hyperlink ref="L2" r:id="rId4" xr:uid="{8EF1920A-E6F7-4F80-BF77-77B06B05F5B4}"/>
    <hyperlink ref="J3" r:id="rId5" xr:uid="{B9A20E4C-FFCC-401F-8B57-5AD2AEF18BED}"/>
    <hyperlink ref="L3" r:id="rId6" xr:uid="{E2BFB7BD-1ED5-469E-A3FE-829D1A463FF8}"/>
    <hyperlink ref="J4" r:id="rId7" xr:uid="{35C2277D-40A4-4C85-B671-6206535F98D9}"/>
    <hyperlink ref="L4" r:id="rId8" xr:uid="{35C15025-3DDF-435A-AAE8-0CFD3C8B39C1}"/>
    <hyperlink ref="J5" r:id="rId9" xr:uid="{42736DCE-D145-4B83-8FF0-B5A24F18ED1A}"/>
    <hyperlink ref="L5" r:id="rId10" xr:uid="{50020224-32CE-46E4-AA49-778B7FB9DB32}"/>
    <hyperlink ref="J6" r:id="rId11" xr:uid="{D05DD949-3C70-4CF0-8D0E-C2F781898595}"/>
    <hyperlink ref="L6" r:id="rId12" xr:uid="{DB1788DF-6A66-4958-BA51-334CAFFFA376}"/>
    <hyperlink ref="J7" r:id="rId13" xr:uid="{6BC06C6F-DDF5-4FFF-83A0-23DDADD9089D}"/>
    <hyperlink ref="L7" r:id="rId14" xr:uid="{3B329C03-B107-4E97-8D75-ABE791261DF4}"/>
    <hyperlink ref="J8" r:id="rId15" xr:uid="{2B3AA8CA-F7F8-4E75-8BA7-226571CF161B}"/>
    <hyperlink ref="L8" r:id="rId16" xr:uid="{F2F11391-81E3-4C57-9D3A-6C91FC5F205E}"/>
    <hyperlink ref="J9" r:id="rId17" xr:uid="{3E26F358-52A2-4E11-98F2-5D71BE8C6CFE}"/>
    <hyperlink ref="L9" r:id="rId18" xr:uid="{706D96DE-41FD-4118-8905-700E90CEAEB8}"/>
    <hyperlink ref="J10" r:id="rId19" xr:uid="{70BEC665-20C6-4EB2-80C6-5D2725DDF9A7}"/>
    <hyperlink ref="L10" r:id="rId20" xr:uid="{8008DDBE-8EC7-4900-8168-9A19DD0418B7}"/>
    <hyperlink ref="J11" r:id="rId21" xr:uid="{737A68D6-51AA-4A05-BE7A-462F5DF2B852}"/>
    <hyperlink ref="L11" r:id="rId22" xr:uid="{F1D4FDB5-0BB6-4DD5-BA58-148BD9EED8D8}"/>
    <hyperlink ref="J12" r:id="rId23" xr:uid="{0B460F8B-3CE2-4F7C-ABC0-05D16B7BB0D0}"/>
    <hyperlink ref="L12" r:id="rId24" xr:uid="{290B2057-0E9B-4274-B40F-C2CE8DBEFA9A}"/>
    <hyperlink ref="J13" r:id="rId25" xr:uid="{BACA3D7F-3BB2-4C2F-A15F-626552C0A279}"/>
    <hyperlink ref="L13" r:id="rId26" xr:uid="{9B4D3AAB-9273-4D78-8C6C-7AB6F7F32EBF}"/>
    <hyperlink ref="J14" r:id="rId27" xr:uid="{8ED340C0-7854-4171-BE59-FB54F4887745}"/>
    <hyperlink ref="L14" r:id="rId28" xr:uid="{D30B2F42-1325-4C5F-B051-BCC66D4C9A33}"/>
    <hyperlink ref="J15" r:id="rId29" xr:uid="{ECC3C9CC-933D-4743-88F9-7AC8DF690128}"/>
    <hyperlink ref="L15" r:id="rId30" xr:uid="{FF0F598A-1CEF-488A-A697-4D0247C4FD28}"/>
    <hyperlink ref="J16" r:id="rId31" xr:uid="{9EC3FAED-71F0-4776-A721-9C571B01B955}"/>
    <hyperlink ref="L16" r:id="rId32" xr:uid="{7E9FBDF9-8BBF-453A-BE91-4B6AB03CEDF2}"/>
    <hyperlink ref="J17" r:id="rId33" xr:uid="{68B1EC9A-E33B-4672-853E-5599A3588877}"/>
    <hyperlink ref="L17" r:id="rId34" xr:uid="{0ADE2029-D630-4EB5-9ECB-8CBD3B4E4A9D}"/>
    <hyperlink ref="J18" r:id="rId35" xr:uid="{040E3713-C110-40D2-A2FE-85BF627808FE}"/>
    <hyperlink ref="L18" r:id="rId36" xr:uid="{88BB4193-A967-46C0-A02E-EF3254C4E349}"/>
    <hyperlink ref="J19" r:id="rId37" xr:uid="{1520B79F-3178-4B96-81DD-8F69046B1A2C}"/>
    <hyperlink ref="L19" r:id="rId38" xr:uid="{F2772D81-1FCE-45CB-A60B-E111C7DACD8E}"/>
    <hyperlink ref="J20" r:id="rId39" xr:uid="{DD69B2B4-EE20-4677-8D97-F353BC46154B}"/>
    <hyperlink ref="L20" r:id="rId40" xr:uid="{39162179-DE09-48F0-BE56-199B47665753}"/>
    <hyperlink ref="J21" r:id="rId41" xr:uid="{8FE76923-9FCE-4571-A94B-7DEB830A3CDF}"/>
    <hyperlink ref="L21" r:id="rId42" xr:uid="{D0A8020F-0A43-4743-A30B-D0D70BEC4B16}"/>
    <hyperlink ref="J22" r:id="rId43" xr:uid="{857C7F90-F200-4D27-A9CF-4DD8573180D9}"/>
    <hyperlink ref="L22" r:id="rId44" xr:uid="{CB972DA6-048C-4B35-8AC9-296CFABAFCCE}"/>
    <hyperlink ref="J23" r:id="rId45" xr:uid="{68C383D8-D0D7-404B-A13D-7DFF13912242}"/>
    <hyperlink ref="L23" r:id="rId46" xr:uid="{48CBB7DD-3188-4DE3-93C2-6D6950F57037}"/>
    <hyperlink ref="J24" r:id="rId47" xr:uid="{794E5122-B0F2-4FD1-B3F4-F7B9D8E121D8}"/>
    <hyperlink ref="L24" r:id="rId48" xr:uid="{06C95CAD-E739-4CBD-9666-71DB07B21C76}"/>
    <hyperlink ref="J25" r:id="rId49" xr:uid="{1A995DE5-8B02-4764-8A4D-47290D2DFE2A}"/>
    <hyperlink ref="L25" r:id="rId50" xr:uid="{D86FDF54-9C02-4AA3-B53D-CBF270416CA7}"/>
    <hyperlink ref="J26" r:id="rId51" xr:uid="{CD672ABD-F7A3-4B85-8508-C33CF016ED16}"/>
    <hyperlink ref="L26" r:id="rId52" xr:uid="{40D8BBD0-8F49-4EA4-B761-6310D688C04C}"/>
    <hyperlink ref="L27" r:id="rId53" xr:uid="{BE8DF29D-7532-465A-8B16-FB7F3A3CA062}"/>
    <hyperlink ref="J27" r:id="rId54" xr:uid="{9AD6F79E-E856-4445-950C-C240341F9B42}"/>
    <hyperlink ref="L28" r:id="rId55" xr:uid="{1CB215A6-F0C1-4F58-AF44-B9881073EF55}"/>
    <hyperlink ref="J28" r:id="rId56" xr:uid="{B9D85B06-2B3B-4F19-B2F3-0779842DB62D}"/>
    <hyperlink ref="L29" r:id="rId57" xr:uid="{5925578A-44E4-4369-ACA4-5B2DAD2210D1}"/>
    <hyperlink ref="J29" r:id="rId58" xr:uid="{04B7646C-5EF5-427C-9C22-9816997C7986}"/>
    <hyperlink ref="L30" r:id="rId59" xr:uid="{766C22EB-9A1E-40D6-9365-A0DE0C128A80}"/>
    <hyperlink ref="J30" r:id="rId60" xr:uid="{7729B63F-8BAA-4885-AC34-80B44C127E76}"/>
    <hyperlink ref="L31" r:id="rId61" xr:uid="{5D3B95C5-1FF3-4DCC-BA1F-E099CE7DF240}"/>
    <hyperlink ref="J31" r:id="rId62" xr:uid="{D7B26130-A3CA-4F3D-BA5E-BAA5CBC0AF78}"/>
    <hyperlink ref="L32" r:id="rId63" xr:uid="{B4FEAD0B-D41F-4B81-AC0B-51789CAF1223}"/>
    <hyperlink ref="J32" r:id="rId64" xr:uid="{21E4E5E2-9695-44AD-BD8C-C612A0EA9446}"/>
    <hyperlink ref="L33" r:id="rId65" xr:uid="{F4B68286-9255-4E5E-99E6-AC42485D1741}"/>
    <hyperlink ref="J33" r:id="rId66" xr:uid="{CB9CF98E-1882-4372-BFE1-75EE801DD0F8}"/>
    <hyperlink ref="L34" r:id="rId67" xr:uid="{B8DF950C-3644-4BD4-97F0-924D8E6F56EB}"/>
    <hyperlink ref="J34" r:id="rId68" xr:uid="{159D641F-65F4-4CDF-9B36-18585E1BAFEF}"/>
    <hyperlink ref="L35" r:id="rId69" xr:uid="{BF261CD3-2293-4D17-85F7-1FC189A2B756}"/>
    <hyperlink ref="J35" r:id="rId70" xr:uid="{547556D4-8EC1-4E54-ADBA-584EB856E2E4}"/>
    <hyperlink ref="L36" r:id="rId71" xr:uid="{C5F77CD3-5C99-40CB-B540-AB0C43FBD799}"/>
    <hyperlink ref="J36" r:id="rId72" xr:uid="{34888D5F-E7B8-418C-9986-67184E0716B5}"/>
    <hyperlink ref="L37" r:id="rId73" xr:uid="{947B2B6E-77B4-4ED7-817B-4CE87A909B78}"/>
    <hyperlink ref="J37" r:id="rId74" xr:uid="{B7D219A3-740F-452A-B6E6-9DBDF7333536}"/>
    <hyperlink ref="L38" r:id="rId75" xr:uid="{4CE4D478-57B0-4353-9F5A-AEA02788AC93}"/>
    <hyperlink ref="J38" r:id="rId76" xr:uid="{2E85A24E-FD6C-4F0D-85F6-6F52F31A19B5}"/>
    <hyperlink ref="L39" r:id="rId77" xr:uid="{ED740159-79AE-420F-A59B-6D59A1E6E008}"/>
    <hyperlink ref="J39" r:id="rId78" xr:uid="{80D8AE9D-F011-4BB8-99FC-A288EB9F03A8}"/>
    <hyperlink ref="L40" r:id="rId79" xr:uid="{D45F1923-7E99-4026-BA76-3E95F0F4BA38}"/>
    <hyperlink ref="J40" r:id="rId80" xr:uid="{4CD8C3F6-C982-4900-B1CD-20FAE0678DB7}"/>
    <hyperlink ref="L41" r:id="rId81" xr:uid="{CEA128BD-C965-4073-9805-6E08A4C31DFA}"/>
    <hyperlink ref="J41" r:id="rId82" xr:uid="{078FE4BB-CFEC-4DBE-9922-8BA5249074CA}"/>
    <hyperlink ref="L42" r:id="rId83" xr:uid="{F6048E45-334F-4C11-9E48-1C038B6B5116}"/>
    <hyperlink ref="L86" r:id="rId84" xr:uid="{0C526245-1EDC-4830-AA4C-5E3335B22939}"/>
    <hyperlink ref="L93" r:id="rId85" xr:uid="{5001A93F-80E5-4AAF-97FF-028A1CCE34FD}"/>
    <hyperlink ref="L100" r:id="rId86" xr:uid="{95B1D1A5-9143-4CBD-A25A-2B775547D1A7}"/>
    <hyperlink ref="L107" r:id="rId87" xr:uid="{349A0BD3-EBB0-4F21-A566-E576D633494A}"/>
    <hyperlink ref="L114" r:id="rId88" xr:uid="{F359DC6C-88A2-4968-A1BC-208FD60257DF}"/>
    <hyperlink ref="L121" r:id="rId89" xr:uid="{6110FB78-ABDD-4997-967F-8E561FFDF14B}"/>
    <hyperlink ref="L128" r:id="rId90" xr:uid="{4E14C2E7-EC39-460E-9842-B0B0AA56CF1D}"/>
    <hyperlink ref="L135" r:id="rId91" xr:uid="{6D1FC4AD-A4E3-4995-B2FC-2F06407CFC26}"/>
    <hyperlink ref="L142" r:id="rId92" xr:uid="{7D8DBCF6-796E-412C-800D-A260BC28612F}"/>
    <hyperlink ref="L149" r:id="rId93" xr:uid="{2BC8AF24-DD11-4B4A-9AA1-E4CC44EC10CE}"/>
    <hyperlink ref="L156" r:id="rId94" xr:uid="{CC0ED901-C719-475B-9B6C-C29DCE8B3BCF}"/>
    <hyperlink ref="L163" r:id="rId95" xr:uid="{51DDE311-F86F-446D-9850-6021269D6D68}"/>
    <hyperlink ref="L170" r:id="rId96" xr:uid="{6E105E99-18A3-4E5C-AA79-4C6AB7DD729B}"/>
    <hyperlink ref="L177" r:id="rId97" xr:uid="{ACDB751D-FFFF-4509-A36F-D5E126E9360E}"/>
    <hyperlink ref="L184" r:id="rId98" xr:uid="{25CC6A9A-1E1A-4184-8EB2-DA1FDDCBC6D9}"/>
    <hyperlink ref="L191" r:id="rId99" xr:uid="{701B64D4-8B29-45A9-B376-B30FF0D0C2B2}"/>
    <hyperlink ref="L198" r:id="rId100" xr:uid="{F685741F-50FA-4B85-8458-30820FBD2879}"/>
    <hyperlink ref="L201" r:id="rId101" xr:uid="{0C77D42A-5BA0-4818-B847-15A82ED7F9D7}"/>
    <hyperlink ref="L206" r:id="rId102" xr:uid="{7E292E10-5C88-4CC1-A552-64B6801C1974}"/>
    <hyperlink ref="L207" r:id="rId103" xr:uid="{95DD2ABA-0F7F-4B23-A8EC-DBF0383286C5}"/>
    <hyperlink ref="L208" r:id="rId104" xr:uid="{28B9FF34-66A4-44C9-B25A-4E20427C1658}"/>
    <hyperlink ref="L209" r:id="rId105" xr:uid="{2C2DC2EE-3F5C-4AA7-9BC9-B45C1344FD3C}"/>
    <hyperlink ref="L212" r:id="rId106" xr:uid="{C7B2617B-7234-4394-B89C-544EECE2E1C4}"/>
    <hyperlink ref="L215" r:id="rId107" xr:uid="{0BE187F1-8E11-40C0-A162-F692A422DE6F}"/>
    <hyperlink ref="L216" r:id="rId108" xr:uid="{88EBD04C-DCCD-4B39-BBA5-0BAA721BD6AB}"/>
    <hyperlink ref="L217" r:id="rId109" xr:uid="{46F4A0FD-160D-4575-A89E-6DD46D4EA00D}"/>
    <hyperlink ref="L218" r:id="rId110" xr:uid="{AAE6C43C-97E9-4B08-87E7-EEB238BFCE58}"/>
    <hyperlink ref="L219" r:id="rId111" xr:uid="{52AD0E06-7B33-4327-B70A-2545EC23B980}"/>
    <hyperlink ref="L220" r:id="rId112" xr:uid="{370B60A2-91AB-4029-87BC-F53412DB81EC}"/>
    <hyperlink ref="L221" r:id="rId113" xr:uid="{60327404-7CBC-4E8D-9193-776EA21F8D3C}"/>
    <hyperlink ref="L222" r:id="rId114" xr:uid="{C27DC884-F4CC-4419-B961-033A7319D1B3}"/>
    <hyperlink ref="L223" r:id="rId115" xr:uid="{84647998-7282-44C0-8934-D34764019D5B}"/>
    <hyperlink ref="Y1" r:id="rId116" xr:uid="{F067C97C-3C31-4916-86AD-826971FE3003}"/>
    <hyperlink ref="Y2" r:id="rId117" xr:uid="{A1BADBB6-9F5D-4E29-B349-04C5B2673BD4}"/>
    <hyperlink ref="Y3" r:id="rId118" xr:uid="{25C6F72C-78D0-49F1-818F-63B67CD502BE}"/>
    <hyperlink ref="Y4" r:id="rId119" xr:uid="{7FD85128-C61A-4C73-AE1F-CC158AC92070}"/>
    <hyperlink ref="Y5" r:id="rId120" xr:uid="{C7D8E4C2-4689-42E2-ABE3-CBF71335972B}"/>
    <hyperlink ref="Y6" r:id="rId121" xr:uid="{F3990BDB-58A9-4D3E-9C10-CD613D9335C2}"/>
    <hyperlink ref="Y7" r:id="rId122" xr:uid="{35888EF1-2547-40F9-B12F-289811A60165}"/>
    <hyperlink ref="Y8" r:id="rId123" xr:uid="{108A95EB-FE1E-4D29-83DE-105441B58CEA}"/>
    <hyperlink ref="Y9" r:id="rId124" xr:uid="{221E7F22-12C9-476D-9138-8AA7951C7905}"/>
    <hyperlink ref="Y10" r:id="rId125" xr:uid="{6C39E6B8-25EE-4242-842E-519ECA7925EA}"/>
    <hyperlink ref="Y11" r:id="rId126" xr:uid="{ED0DBD3F-6A3C-47CE-B4B9-C461D366B0B7}"/>
    <hyperlink ref="Y12" r:id="rId127" xr:uid="{55E01C1D-F0A5-4232-B46B-D714F0D3FFEA}"/>
    <hyperlink ref="Y13" r:id="rId128" xr:uid="{22D7254A-05A9-4963-A731-63AD1F0DDC9F}"/>
    <hyperlink ref="Y14" r:id="rId129" xr:uid="{9FEBE154-EAEA-4C1B-B751-0AC7C128CCCC}"/>
    <hyperlink ref="Y15" r:id="rId130" xr:uid="{359C45CD-9FAE-4C2A-9305-AC8F1E2154A1}"/>
    <hyperlink ref="Y16" r:id="rId131" xr:uid="{C202D31F-09DB-41BD-AA17-7A41BF59BEC9}"/>
    <hyperlink ref="Y17" r:id="rId132" xr:uid="{B6B3607C-B2C6-4DE8-A98B-5C3449992B35}"/>
    <hyperlink ref="Y18" r:id="rId133" xr:uid="{9519C2A2-DF42-42D2-B205-1D8D2EBDAB26}"/>
    <hyperlink ref="Y19" r:id="rId134" xr:uid="{A1C58209-7A67-4715-9B31-9B21EB3386B7}"/>
    <hyperlink ref="Y20" r:id="rId135" xr:uid="{0D81D275-FA63-4333-B95A-009196CB5FB8}"/>
    <hyperlink ref="Y21" r:id="rId136" xr:uid="{B3556470-A0F1-4E30-A470-F3750117288C}"/>
    <hyperlink ref="Y22" r:id="rId137" xr:uid="{36E6AA8F-8F3D-47B8-9E9E-0DD032D609FC}"/>
    <hyperlink ref="Y23" r:id="rId138" xr:uid="{7AE1A700-C512-4121-B051-8D2EC14CD94A}"/>
    <hyperlink ref="Y24" r:id="rId139" xr:uid="{C287B112-9ABB-48DB-9F21-EA8C84D486E1}"/>
    <hyperlink ref="Y25" r:id="rId140" xr:uid="{0BBFE079-A6DA-4985-9E17-625AF926C570}"/>
    <hyperlink ref="Y26" r:id="rId141" xr:uid="{5A802DF7-F4F2-4D59-BF64-E28174EA7351}"/>
    <hyperlink ref="Y27" r:id="rId142" xr:uid="{D2F45F05-AFB0-461B-A47E-A6A2038DC70D}"/>
    <hyperlink ref="Y28" r:id="rId143" xr:uid="{1AEAB820-3A25-45E3-AFCF-6A617DADBA6F}"/>
    <hyperlink ref="Y29" r:id="rId144" xr:uid="{E70C0F29-F01B-4003-8A9D-E934C941AB34}"/>
    <hyperlink ref="Y30" r:id="rId145" xr:uid="{8D898D5F-5951-4DFE-8222-D5AD4867B9BB}"/>
    <hyperlink ref="Y31" r:id="rId146" xr:uid="{78D2D457-1393-41D2-92AA-70106B0515C1}"/>
    <hyperlink ref="Y32" r:id="rId147" xr:uid="{1431CC0D-60F1-434E-AFC6-23E375D0BD0E}"/>
    <hyperlink ref="Y33" r:id="rId148" xr:uid="{10DF7DAA-53D2-4E54-B4CC-6B684DBD4B77}"/>
    <hyperlink ref="Y34" r:id="rId149" xr:uid="{EA67166C-386F-4C40-A58A-6B672BE7CCA2}"/>
    <hyperlink ref="Y35" r:id="rId150" xr:uid="{46011289-2E5F-4FA4-9588-17171605DB3F}"/>
    <hyperlink ref="Y36" r:id="rId151" xr:uid="{C4912F1A-081A-4621-BC58-5DA97B7776B7}"/>
    <hyperlink ref="Y37" r:id="rId152" xr:uid="{6D4CD4CE-FE41-439E-8E47-A086E29DC6C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BA3E-0726-46B4-84C1-33BBFB14E8C7}">
  <dimension ref="F1:R30"/>
  <sheetViews>
    <sheetView workbookViewId="0">
      <selection activeCell="AE9" sqref="AE9"/>
    </sheetView>
  </sheetViews>
  <sheetFormatPr defaultRowHeight="15"/>
  <cols>
    <col min="6" max="6" width="49" customWidth="1"/>
    <col min="18" max="18" width="56" customWidth="1"/>
  </cols>
  <sheetData>
    <row r="1" spans="6:18">
      <c r="F1" t="s">
        <v>2553</v>
      </c>
      <c r="R1" t="s">
        <v>2554</v>
      </c>
    </row>
    <row r="2" spans="6:18">
      <c r="F2" t="s">
        <v>2555</v>
      </c>
      <c r="R2" t="s">
        <v>2556</v>
      </c>
    </row>
    <row r="3" spans="6:18">
      <c r="R3" t="s">
        <v>2557</v>
      </c>
    </row>
    <row r="4" spans="6:18">
      <c r="F4" t="s">
        <v>2558</v>
      </c>
      <c r="R4" t="s">
        <v>2559</v>
      </c>
    </row>
    <row r="5" spans="6:18">
      <c r="F5" t="s">
        <v>2560</v>
      </c>
      <c r="R5" t="s">
        <v>2561</v>
      </c>
    </row>
    <row r="6" spans="6:18">
      <c r="F6" t="s">
        <v>2562</v>
      </c>
      <c r="R6" t="s">
        <v>2563</v>
      </c>
    </row>
    <row r="7" spans="6:18">
      <c r="F7" t="s">
        <v>2564</v>
      </c>
      <c r="R7" t="s">
        <v>2565</v>
      </c>
    </row>
    <row r="8" spans="6:18">
      <c r="F8" t="s">
        <v>2566</v>
      </c>
    </row>
    <row r="9" spans="6:18">
      <c r="F9" t="s">
        <v>2567</v>
      </c>
      <c r="R9" t="s">
        <v>2568</v>
      </c>
    </row>
    <row r="10" spans="6:18">
      <c r="F10" t="s">
        <v>2569</v>
      </c>
      <c r="R10" t="s">
        <v>2570</v>
      </c>
    </row>
    <row r="11" spans="6:18">
      <c r="R11" t="s">
        <v>2571</v>
      </c>
    </row>
    <row r="12" spans="6:18">
      <c r="F12" t="s">
        <v>2572</v>
      </c>
      <c r="R12" t="s">
        <v>2573</v>
      </c>
    </row>
    <row r="13" spans="6:18">
      <c r="F13" t="s">
        <v>2574</v>
      </c>
      <c r="R13" t="s">
        <v>2575</v>
      </c>
    </row>
    <row r="14" spans="6:18">
      <c r="F14" t="s">
        <v>2576</v>
      </c>
    </row>
    <row r="15" spans="6:18">
      <c r="R15" t="s">
        <v>2577</v>
      </c>
    </row>
    <row r="16" spans="6:18">
      <c r="F16" t="s">
        <v>2578</v>
      </c>
      <c r="R16" t="s">
        <v>2579</v>
      </c>
    </row>
    <row r="17" spans="6:18">
      <c r="F17" t="s">
        <v>2580</v>
      </c>
      <c r="R17" t="s">
        <v>2581</v>
      </c>
    </row>
    <row r="19" spans="6:18">
      <c r="F19" t="s">
        <v>2582</v>
      </c>
      <c r="R19" t="s">
        <v>2583</v>
      </c>
    </row>
    <row r="21" spans="6:18">
      <c r="F21" t="s">
        <v>2584</v>
      </c>
      <c r="R21" t="s">
        <v>2585</v>
      </c>
    </row>
    <row r="22" spans="6:18">
      <c r="F22" t="s">
        <v>2586</v>
      </c>
      <c r="R22" t="s">
        <v>2587</v>
      </c>
    </row>
    <row r="23" spans="6:18">
      <c r="F23" t="s">
        <v>2588</v>
      </c>
      <c r="R23" t="s">
        <v>2589</v>
      </c>
    </row>
    <row r="24" spans="6:18">
      <c r="R24" t="s">
        <v>2590</v>
      </c>
    </row>
    <row r="25" spans="6:18">
      <c r="F25" t="s">
        <v>2591</v>
      </c>
      <c r="R25" t="s">
        <v>2592</v>
      </c>
    </row>
    <row r="27" spans="6:18">
      <c r="R27" t="s">
        <v>2593</v>
      </c>
    </row>
    <row r="29" spans="6:18">
      <c r="R29" t="s">
        <v>2594</v>
      </c>
    </row>
    <row r="30" spans="6:18">
      <c r="R30" t="s">
        <v>2595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5E2D-6B6A-4379-BED1-E3BF8230007C}">
  <dimension ref="V6:Y24"/>
  <sheetViews>
    <sheetView workbookViewId="0">
      <selection activeCell="W25" sqref="W25"/>
    </sheetView>
  </sheetViews>
  <sheetFormatPr defaultRowHeight="15"/>
  <sheetData>
    <row r="6" spans="22:25">
      <c r="V6">
        <v>291</v>
      </c>
    </row>
    <row r="7" spans="22:25">
      <c r="W7">
        <v>190</v>
      </c>
      <c r="X7">
        <f>0.2*V6</f>
        <v>58.2</v>
      </c>
      <c r="Y7">
        <f>V6-W7-X7</f>
        <v>42.8</v>
      </c>
    </row>
    <row r="10" spans="22:25">
      <c r="W10">
        <v>90</v>
      </c>
    </row>
    <row r="11" spans="22:25">
      <c r="X11" t="s">
        <v>2596</v>
      </c>
    </row>
    <row r="14" spans="22:25">
      <c r="W14" s="103">
        <f>V6/2</f>
        <v>145.5</v>
      </c>
      <c r="X14" s="104">
        <f>W14-23</f>
        <v>122.5</v>
      </c>
    </row>
    <row r="18" spans="23:23">
      <c r="W18">
        <f>W10-12</f>
        <v>78</v>
      </c>
    </row>
    <row r="24" spans="23:23">
      <c r="W24">
        <f>W10-22</f>
        <v>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EC09-02CF-40FB-95FD-45397152092A}">
  <dimension ref="F4:M36"/>
  <sheetViews>
    <sheetView workbookViewId="0">
      <selection activeCell="M7" sqref="M7"/>
    </sheetView>
  </sheetViews>
  <sheetFormatPr defaultRowHeight="15"/>
  <cols>
    <col min="13" max="14" width="24.28515625" customWidth="1"/>
  </cols>
  <sheetData>
    <row r="4" spans="6:13">
      <c r="F4" t="s">
        <v>2597</v>
      </c>
    </row>
    <row r="6" spans="6:13">
      <c r="L6" t="s">
        <v>2598</v>
      </c>
    </row>
    <row r="7" spans="6:13">
      <c r="M7" t="s">
        <v>2599</v>
      </c>
    </row>
    <row r="19" spans="12:12">
      <c r="L19" t="s">
        <v>2600</v>
      </c>
    </row>
    <row r="36" spans="12:12">
      <c r="L36" t="s">
        <v>2601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DF11-91CF-4424-8827-43379B1F5469}">
  <dimension ref="D5:Y72"/>
  <sheetViews>
    <sheetView topLeftCell="U36" workbookViewId="0">
      <selection activeCell="AL85" sqref="AL85"/>
    </sheetView>
  </sheetViews>
  <sheetFormatPr defaultColWidth="9.140625" defaultRowHeight="15"/>
  <cols>
    <col min="4" max="4" width="9.140625" hidden="1" customWidth="1"/>
    <col min="5" max="5" width="48.42578125" hidden="1" customWidth="1"/>
    <col min="6" max="6" width="16.85546875" hidden="1" customWidth="1"/>
    <col min="7" max="7" width="28.5703125" hidden="1" customWidth="1"/>
    <col min="8" max="10" width="16.140625" hidden="1" customWidth="1"/>
    <col min="11" max="12" width="20.85546875" hidden="1" customWidth="1"/>
    <col min="13" max="13" width="0" hidden="1" customWidth="1"/>
    <col min="20" max="20" width="22.85546875" customWidth="1"/>
    <col min="21" max="21" width="54.85546875" customWidth="1"/>
    <col min="22" max="22" width="26.42578125" customWidth="1"/>
    <col min="23" max="23" width="30.5703125" customWidth="1"/>
    <col min="24" max="24" width="51.42578125" customWidth="1"/>
    <col min="25" max="25" width="21" customWidth="1"/>
  </cols>
  <sheetData>
    <row r="5" spans="20:24">
      <c r="T5" t="s">
        <v>2602</v>
      </c>
    </row>
    <row r="6" spans="20:24">
      <c r="U6" t="s">
        <v>2603</v>
      </c>
    </row>
    <row r="7" spans="20:24">
      <c r="V7" t="s">
        <v>2604</v>
      </c>
    </row>
    <row r="8" spans="20:24">
      <c r="W8" t="s">
        <v>2605</v>
      </c>
      <c r="X8" t="s">
        <v>2606</v>
      </c>
    </row>
    <row r="11" spans="20:24">
      <c r="U11" t="s">
        <v>2607</v>
      </c>
      <c r="V11" t="s">
        <v>2608</v>
      </c>
      <c r="W11" t="s">
        <v>2609</v>
      </c>
    </row>
    <row r="12" spans="20:24">
      <c r="T12" t="s">
        <v>2610</v>
      </c>
    </row>
    <row r="18" spans="20:23">
      <c r="T18" s="18" t="s">
        <v>2611</v>
      </c>
      <c r="U18" s="18"/>
      <c r="V18" s="18"/>
      <c r="W18" s="18"/>
    </row>
    <row r="19" spans="20:23">
      <c r="T19" s="18"/>
      <c r="U19" s="18" t="s">
        <v>2612</v>
      </c>
      <c r="V19" s="107" t="s">
        <v>2613</v>
      </c>
      <c r="W19" s="18" t="s">
        <v>2614</v>
      </c>
    </row>
    <row r="20" spans="20:23">
      <c r="T20" s="18"/>
      <c r="U20" s="18" t="s">
        <v>2615</v>
      </c>
      <c r="V20" s="18"/>
      <c r="W20" s="18"/>
    </row>
    <row r="21" spans="20:23">
      <c r="T21" s="18"/>
      <c r="U21" s="18" t="s">
        <v>2616</v>
      </c>
      <c r="V21" s="18" t="s">
        <v>2617</v>
      </c>
      <c r="W21" s="18" t="s">
        <v>2618</v>
      </c>
    </row>
    <row r="22" spans="20:23">
      <c r="T22" s="18" t="s">
        <v>2619</v>
      </c>
      <c r="U22" s="18"/>
      <c r="V22" s="18"/>
      <c r="W22" s="18"/>
    </row>
    <row r="23" spans="20:23">
      <c r="T23" s="18"/>
      <c r="U23" s="18" t="s">
        <v>2620</v>
      </c>
      <c r="V23" s="18"/>
      <c r="W23" s="18"/>
    </row>
    <row r="24" spans="20:23">
      <c r="T24" s="18"/>
      <c r="U24" s="106" t="s">
        <v>2621</v>
      </c>
      <c r="V24" s="18" t="s">
        <v>2622</v>
      </c>
      <c r="W24" s="18"/>
    </row>
    <row r="25" spans="20:23">
      <c r="T25" s="18"/>
      <c r="U25" s="106" t="s">
        <v>2623</v>
      </c>
      <c r="V25" s="18" t="s">
        <v>2624</v>
      </c>
      <c r="W25" s="18" t="s">
        <v>2625</v>
      </c>
    </row>
    <row r="26" spans="20:23">
      <c r="T26" s="18"/>
      <c r="U26" s="18" t="s">
        <v>2616</v>
      </c>
      <c r="V26" s="18" t="s">
        <v>2617</v>
      </c>
      <c r="W26" s="18"/>
    </row>
    <row r="27" spans="20:23">
      <c r="T27" s="18"/>
      <c r="U27" s="18"/>
      <c r="V27" s="18"/>
      <c r="W27" s="18"/>
    </row>
    <row r="28" spans="20:23">
      <c r="T28" s="18" t="s">
        <v>2626</v>
      </c>
      <c r="U28" s="18"/>
      <c r="V28" s="18"/>
      <c r="W28" s="18"/>
    </row>
    <row r="32" spans="20:23">
      <c r="T32" t="s">
        <v>65</v>
      </c>
    </row>
    <row r="33" spans="21:25">
      <c r="U33" t="s">
        <v>2627</v>
      </c>
    </row>
    <row r="34" spans="21:25">
      <c r="U34" t="s">
        <v>2628</v>
      </c>
    </row>
    <row r="35" spans="21:25">
      <c r="V35" t="s">
        <v>2629</v>
      </c>
    </row>
    <row r="36" spans="21:25">
      <c r="V36" s="105" t="s">
        <v>2630</v>
      </c>
      <c r="W36" t="s">
        <v>2631</v>
      </c>
    </row>
    <row r="37" spans="21:25">
      <c r="V37" s="105" t="s">
        <v>2632</v>
      </c>
      <c r="W37" t="s">
        <v>2633</v>
      </c>
    </row>
    <row r="38" spans="21:25">
      <c r="V38" s="105"/>
      <c r="W38" t="s">
        <v>2634</v>
      </c>
    </row>
    <row r="39" spans="21:25">
      <c r="W39" t="s">
        <v>2635</v>
      </c>
      <c r="X39" t="s">
        <v>2636</v>
      </c>
      <c r="Y39" t="s">
        <v>2637</v>
      </c>
    </row>
    <row r="40" spans="21:25">
      <c r="W40" t="s">
        <v>2638</v>
      </c>
    </row>
    <row r="44" spans="21:25">
      <c r="U44" t="s">
        <v>2639</v>
      </c>
    </row>
    <row r="48" spans="21:25">
      <c r="V48" t="s">
        <v>2640</v>
      </c>
    </row>
    <row r="49" spans="22:24">
      <c r="W49" s="108" t="s">
        <v>2641</v>
      </c>
    </row>
    <row r="50" spans="22:24">
      <c r="X50" s="108" t="s">
        <v>2642</v>
      </c>
    </row>
    <row r="51" spans="22:24">
      <c r="X51" s="108" t="s">
        <v>2643</v>
      </c>
    </row>
    <row r="52" spans="22:24">
      <c r="X52" s="108" t="s">
        <v>2644</v>
      </c>
    </row>
    <row r="53" spans="22:24">
      <c r="X53" s="108" t="s">
        <v>2645</v>
      </c>
    </row>
    <row r="54" spans="22:24">
      <c r="W54" t="s">
        <v>2646</v>
      </c>
    </row>
    <row r="57" spans="22:24">
      <c r="V57" t="s">
        <v>2647</v>
      </c>
    </row>
    <row r="58" spans="22:24">
      <c r="W58" t="s">
        <v>2602</v>
      </c>
    </row>
    <row r="59" spans="22:24">
      <c r="X59" t="s">
        <v>2648</v>
      </c>
    </row>
    <row r="60" spans="22:24">
      <c r="X60" t="s">
        <v>2649</v>
      </c>
    </row>
    <row r="63" spans="22:24">
      <c r="W63" t="s">
        <v>2650</v>
      </c>
      <c r="X63" t="s">
        <v>2648</v>
      </c>
    </row>
    <row r="64" spans="22:24">
      <c r="X64" t="s">
        <v>2649</v>
      </c>
    </row>
    <row r="68" spans="22:24">
      <c r="W68" t="s">
        <v>2651</v>
      </c>
      <c r="X68" t="s">
        <v>2648</v>
      </c>
    </row>
    <row r="69" spans="22:24">
      <c r="X69" t="s">
        <v>2649</v>
      </c>
    </row>
    <row r="72" spans="22:24">
      <c r="V72" t="s">
        <v>77</v>
      </c>
      <c r="W72" t="s">
        <v>80</v>
      </c>
      <c r="X72" s="109" t="s">
        <v>2652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221C-B4D6-4EB4-9EE9-755C3CB47CD5}">
  <dimension ref="B1:W22"/>
  <sheetViews>
    <sheetView tabSelected="1" workbookViewId="0">
      <selection activeCell="G21" sqref="G21"/>
    </sheetView>
  </sheetViews>
  <sheetFormatPr defaultRowHeight="18.75"/>
  <cols>
    <col min="1" max="1" width="9.140625" style="7"/>
    <col min="2" max="2" width="37.140625" style="117" customWidth="1"/>
    <col min="3" max="3" width="39.28515625" style="117" customWidth="1"/>
    <col min="4" max="4" width="24.28515625" style="7" customWidth="1"/>
    <col min="5" max="5" width="17.28515625" style="7" customWidth="1"/>
    <col min="6" max="7" width="20.42578125" style="7" customWidth="1"/>
    <col min="8" max="21" width="6.140625" style="7" customWidth="1"/>
    <col min="22" max="22" width="10.5703125" style="7" customWidth="1"/>
    <col min="23" max="23" width="34.85546875" style="7" customWidth="1"/>
    <col min="24" max="26" width="9.140625" style="7"/>
    <col min="27" max="27" width="42.140625" style="7" customWidth="1"/>
    <col min="28" max="28" width="25.42578125" style="7" customWidth="1"/>
    <col min="29" max="16384" width="9.140625" style="7"/>
  </cols>
  <sheetData>
    <row r="1" spans="2:23">
      <c r="B1" s="125" t="s">
        <v>2653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</row>
    <row r="2" spans="2:23"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</row>
    <row r="3" spans="2:23"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</row>
    <row r="4" spans="2:23"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5"/>
    </row>
    <row r="5" spans="2:23" s="110" customFormat="1" ht="70.5" customHeight="1">
      <c r="B5" s="115" t="s">
        <v>2654</v>
      </c>
      <c r="C5" s="115" t="s">
        <v>2655</v>
      </c>
      <c r="D5" s="115" t="s">
        <v>2656</v>
      </c>
      <c r="E5" s="115" t="s">
        <v>2657</v>
      </c>
      <c r="F5" s="115" t="s">
        <v>2658</v>
      </c>
      <c r="G5" s="115" t="s">
        <v>2659</v>
      </c>
      <c r="H5" s="114" t="s">
        <v>2660</v>
      </c>
      <c r="I5" s="114" t="s">
        <v>2660</v>
      </c>
      <c r="J5" s="114" t="s">
        <v>2661</v>
      </c>
      <c r="K5" s="114" t="s">
        <v>2662</v>
      </c>
      <c r="L5" s="114" t="s">
        <v>2663</v>
      </c>
      <c r="M5" s="114" t="s">
        <v>2664</v>
      </c>
      <c r="N5" s="114" t="s">
        <v>2665</v>
      </c>
      <c r="O5" s="114" t="s">
        <v>2666</v>
      </c>
      <c r="P5" s="114" t="s">
        <v>2667</v>
      </c>
      <c r="Q5" s="114" t="s">
        <v>2668</v>
      </c>
      <c r="R5" s="114" t="s">
        <v>2669</v>
      </c>
      <c r="S5" s="114" t="s">
        <v>2670</v>
      </c>
      <c r="T5" s="114" t="s">
        <v>2671</v>
      </c>
      <c r="U5" s="114" t="s">
        <v>2672</v>
      </c>
      <c r="V5" s="116" t="s">
        <v>2673</v>
      </c>
      <c r="W5" s="114" t="s">
        <v>2674</v>
      </c>
    </row>
    <row r="6" spans="2:23" s="110" customFormat="1" ht="37.5" customHeight="1">
      <c r="B6" s="124" t="s">
        <v>2675</v>
      </c>
      <c r="C6" s="124" t="s">
        <v>2676</v>
      </c>
      <c r="D6" s="111">
        <v>2</v>
      </c>
      <c r="E6" s="111"/>
      <c r="F6" s="111">
        <v>2</v>
      </c>
      <c r="G6" s="111">
        <f>D6*F6</f>
        <v>4</v>
      </c>
      <c r="H6" s="111" t="s">
        <v>2677</v>
      </c>
      <c r="I6" s="111" t="s">
        <v>2677</v>
      </c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8"/>
      <c r="W6" s="111"/>
    </row>
    <row r="7" spans="2:23" s="110" customFormat="1" ht="37.5" customHeight="1">
      <c r="B7" s="124" t="s">
        <v>2678</v>
      </c>
      <c r="C7" s="124"/>
      <c r="D7" s="111"/>
      <c r="E7" s="111"/>
      <c r="F7" s="111"/>
      <c r="G7" s="111"/>
      <c r="H7" s="111"/>
      <c r="I7" s="111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8"/>
      <c r="W7" s="111"/>
    </row>
    <row r="8" spans="2:23" s="110" customFormat="1" ht="37.5" customHeight="1">
      <c r="B8" s="124"/>
      <c r="C8" s="124" t="s">
        <v>2679</v>
      </c>
      <c r="D8" s="111">
        <v>1</v>
      </c>
      <c r="E8" s="111" t="s">
        <v>2680</v>
      </c>
      <c r="F8" s="111">
        <v>2</v>
      </c>
      <c r="G8" s="111">
        <f>D8*F8</f>
        <v>2</v>
      </c>
      <c r="H8" s="111"/>
      <c r="I8" s="111"/>
      <c r="J8" s="112" t="s">
        <v>2677</v>
      </c>
      <c r="K8" s="112" t="s">
        <v>2677</v>
      </c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8"/>
      <c r="W8" s="111"/>
    </row>
    <row r="9" spans="2:23" s="110" customFormat="1" ht="63.75" customHeight="1">
      <c r="B9" s="124"/>
      <c r="C9" s="124" t="s">
        <v>2681</v>
      </c>
      <c r="E9" s="113" t="s">
        <v>2682</v>
      </c>
      <c r="F9" s="111">
        <v>5</v>
      </c>
      <c r="G9" s="111"/>
      <c r="H9" s="111"/>
      <c r="I9" s="111"/>
      <c r="J9" s="112"/>
      <c r="K9" s="112"/>
      <c r="L9" s="112" t="s">
        <v>2677</v>
      </c>
      <c r="M9" s="112" t="s">
        <v>2677</v>
      </c>
      <c r="N9" s="112" t="s">
        <v>2677</v>
      </c>
      <c r="O9" s="112" t="s">
        <v>2677</v>
      </c>
      <c r="P9" s="112" t="s">
        <v>2677</v>
      </c>
      <c r="Q9" s="112"/>
      <c r="R9" s="112"/>
      <c r="S9" s="112"/>
      <c r="T9" s="112"/>
      <c r="U9" s="112"/>
      <c r="V9" s="118"/>
      <c r="W9" s="113" t="s">
        <v>2683</v>
      </c>
    </row>
    <row r="10" spans="2:23" s="110" customFormat="1" ht="57.75" customHeight="1">
      <c r="B10" s="124"/>
      <c r="C10" s="124" t="s">
        <v>2684</v>
      </c>
      <c r="D10" s="111">
        <v>2</v>
      </c>
      <c r="E10" s="111" t="s">
        <v>2680</v>
      </c>
      <c r="F10" s="111">
        <v>2</v>
      </c>
      <c r="G10" s="111">
        <f t="shared" ref="G10:G14" si="0">D10*F10</f>
        <v>4</v>
      </c>
      <c r="H10" s="111"/>
      <c r="I10" s="111"/>
      <c r="J10" s="112"/>
      <c r="K10" s="112"/>
      <c r="L10" s="112"/>
      <c r="M10" s="112"/>
      <c r="N10" s="112"/>
      <c r="O10" s="112"/>
      <c r="P10" s="112"/>
      <c r="Q10" s="112" t="s">
        <v>2677</v>
      </c>
      <c r="R10" s="112" t="s">
        <v>2677</v>
      </c>
      <c r="S10" s="112"/>
      <c r="T10" s="112"/>
      <c r="U10" s="112"/>
      <c r="V10" s="118"/>
      <c r="W10" s="111"/>
    </row>
    <row r="11" spans="2:23" s="110" customFormat="1" ht="37.5" customHeight="1">
      <c r="B11" s="124" t="s">
        <v>2685</v>
      </c>
      <c r="C11" s="124"/>
      <c r="D11" s="111"/>
      <c r="E11" s="111"/>
      <c r="F11" s="111"/>
      <c r="G11" s="111"/>
      <c r="H11" s="111"/>
      <c r="I11" s="111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8"/>
      <c r="W11" s="111"/>
    </row>
    <row r="12" spans="2:23" s="110" customFormat="1" ht="72.75" customHeight="1">
      <c r="B12" s="124"/>
      <c r="C12" s="124" t="s">
        <v>2686</v>
      </c>
      <c r="D12" s="111">
        <v>1</v>
      </c>
      <c r="E12" s="111" t="s">
        <v>2680</v>
      </c>
      <c r="F12" s="111">
        <v>2</v>
      </c>
      <c r="G12" s="111">
        <f t="shared" si="0"/>
        <v>2</v>
      </c>
      <c r="H12" s="111"/>
      <c r="I12" s="111"/>
      <c r="J12" s="112"/>
      <c r="K12" s="112"/>
      <c r="L12" s="112"/>
      <c r="M12" s="112"/>
      <c r="N12" s="112"/>
      <c r="O12" s="112"/>
      <c r="P12" s="112"/>
      <c r="Q12" s="112"/>
      <c r="R12" s="112"/>
      <c r="S12" s="112" t="s">
        <v>2677</v>
      </c>
      <c r="T12" s="112" t="s">
        <v>2677</v>
      </c>
      <c r="U12" s="112"/>
      <c r="V12" s="118"/>
      <c r="W12" s="111"/>
    </row>
    <row r="13" spans="2:23" s="110" customFormat="1" ht="37.5" customHeight="1">
      <c r="B13" s="124"/>
      <c r="C13" s="124" t="s">
        <v>2687</v>
      </c>
      <c r="D13" s="111">
        <v>3</v>
      </c>
      <c r="E13" s="111" t="s">
        <v>2680</v>
      </c>
      <c r="F13" s="111">
        <v>1</v>
      </c>
      <c r="G13" s="111">
        <f t="shared" si="0"/>
        <v>3</v>
      </c>
      <c r="H13" s="111"/>
      <c r="I13" s="111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 t="s">
        <v>2677</v>
      </c>
      <c r="V13" s="118"/>
      <c r="W13" s="111"/>
    </row>
    <row r="14" spans="2:23" s="110" customFormat="1" ht="37.5" customHeight="1">
      <c r="B14" s="124" t="s">
        <v>2688</v>
      </c>
      <c r="C14" s="124"/>
      <c r="D14" s="111">
        <v>1</v>
      </c>
      <c r="E14" s="111"/>
      <c r="F14" s="111">
        <v>30</v>
      </c>
      <c r="G14" s="111">
        <f t="shared" si="0"/>
        <v>30</v>
      </c>
      <c r="H14" s="111"/>
      <c r="I14" s="111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8" t="s">
        <v>2677</v>
      </c>
      <c r="W14" s="111"/>
    </row>
    <row r="17" spans="2:4" ht="56.25">
      <c r="B17" s="119" t="s">
        <v>2689</v>
      </c>
      <c r="C17" s="120" t="s">
        <v>2690</v>
      </c>
      <c r="D17" s="120" t="s">
        <v>2691</v>
      </c>
    </row>
    <row r="18" spans="2:4">
      <c r="B18" s="111" t="s">
        <v>2692</v>
      </c>
      <c r="C18" s="111">
        <v>4</v>
      </c>
      <c r="D18" s="12">
        <v>4</v>
      </c>
    </row>
    <row r="19" spans="2:4" ht="19.5">
      <c r="B19" s="113" t="s">
        <v>2678</v>
      </c>
      <c r="C19" s="111">
        <v>6</v>
      </c>
      <c r="D19" s="12">
        <v>6</v>
      </c>
    </row>
    <row r="20" spans="2:4" ht="19.5">
      <c r="B20" s="113" t="s">
        <v>2685</v>
      </c>
      <c r="C20" s="111">
        <v>5</v>
      </c>
      <c r="D20" s="12">
        <v>5</v>
      </c>
    </row>
    <row r="21" spans="2:4">
      <c r="B21" s="111" t="s">
        <v>2693</v>
      </c>
      <c r="C21" s="111">
        <v>30</v>
      </c>
      <c r="D21" s="12">
        <v>15</v>
      </c>
    </row>
    <row r="22" spans="2:4">
      <c r="B22" s="121"/>
      <c r="C22" s="122" t="s">
        <v>202</v>
      </c>
      <c r="D22" s="123">
        <f>SUM(D18:D21)</f>
        <v>30</v>
      </c>
    </row>
  </sheetData>
  <mergeCells count="1">
    <mergeCell ref="B1:W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EC3117F9B097B4EA4B65012A598FFAB" ma:contentTypeVersion="3" ma:contentTypeDescription="새 문서를 만듭니다." ma:contentTypeScope="" ma:versionID="76e3c491a0349d484c03e3d928e24ab6">
  <xsd:schema xmlns:xsd="http://www.w3.org/2001/XMLSchema" xmlns:xs="http://www.w3.org/2001/XMLSchema" xmlns:p="http://schemas.microsoft.com/office/2006/metadata/properties" xmlns:ns2="c320bdb1-3c48-4d99-b955-83c338bb9697" targetNamespace="http://schemas.microsoft.com/office/2006/metadata/properties" ma:root="true" ma:fieldsID="2fae0e4a9934fb624fe86eeb284022cb" ns2:_="">
    <xsd:import namespace="c320bdb1-3c48-4d99-b955-83c338bb9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0bdb1-3c48-4d99-b955-83c338bb96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BAC400-DC92-4FF5-B466-F4333D06A50D}"/>
</file>

<file path=customXml/itemProps2.xml><?xml version="1.0" encoding="utf-8"?>
<ds:datastoreItem xmlns:ds="http://schemas.openxmlformats.org/officeDocument/2006/customXml" ds:itemID="{F7679CE4-CD76-4096-9A74-C84944302FC1}"/>
</file>

<file path=customXml/itemProps3.xml><?xml version="1.0" encoding="utf-8"?>
<ds:datastoreItem xmlns:ds="http://schemas.openxmlformats.org/officeDocument/2006/customXml" ds:itemID="{096E8435-627C-43BF-9B03-633C81D86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2025-07-09T09:28:56Z</dcterms:created>
  <dcterms:modified xsi:type="dcterms:W3CDTF">2026-05-25T10:16:31Z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0x0101005EC3117F9B097B4EA4B65012A598FFAB</vt:lpwstr>
  </property>
</Properties>
</file>