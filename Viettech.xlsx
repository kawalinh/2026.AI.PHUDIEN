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xr:revisionPtr revIDLastSave="0" documentId="8_{CE0FACF5-AE15-4B54-B516-510B734D3059}" xr6:coauthVersionLast="47" xr6:coauthVersionMax="47" xr10:uidLastSave="{00000000-0000-0000-0000-000000000000}"/>
  <bookViews>
    <workbookView xWindow="240" yWindow="105" windowWidth="14805" windowHeight="8010" firstSheet="10" activeTab="10" xr2:uid="{00000000-000D-0000-FFFF-FFFF00000000}"/>
  </bookViews>
  <sheets>
    <sheet name="04.08" sheetId="6" r:id="rId1"/>
    <sheet name="18.08" sheetId="8" r:id="rId2"/>
    <sheet name="Resource" sheetId="9" r:id="rId3"/>
    <sheet name="KH&amp;CP AI" sheetId="34" r:id="rId4"/>
    <sheet name="FN" sheetId="35" r:id="rId5"/>
    <sheet name="Trang_tính1" sheetId="36" r:id="rId6"/>
    <sheet name="Trang_tính2" sheetId="37" r:id="rId7"/>
    <sheet name="SP7_1006" sheetId="38" r:id="rId8"/>
    <sheet name="Monitor Enterprise" sheetId="39" r:id="rId9"/>
    <sheet name="Trang_tính3" sheetId="40" r:id="rId10"/>
    <sheet name="Viettech" sheetId="4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1" l="1"/>
  <c r="M1" i="41" s="1"/>
  <c r="L34" i="41"/>
  <c r="K60" i="41"/>
  <c r="K27" i="41"/>
  <c r="L27" i="41" s="1"/>
  <c r="K28" i="41"/>
  <c r="L28" i="41" s="1"/>
  <c r="K29" i="41"/>
  <c r="L29" i="41" s="1"/>
  <c r="K30" i="41"/>
  <c r="L30" i="41" s="1"/>
  <c r="K32" i="41"/>
  <c r="L32" i="41" s="1"/>
  <c r="K33" i="41"/>
  <c r="L33" i="41" s="1"/>
  <c r="K35" i="41"/>
  <c r="L35" i="41" s="1"/>
  <c r="K36" i="41"/>
  <c r="L36" i="41" s="1"/>
  <c r="K37" i="41"/>
  <c r="L37" i="41" s="1"/>
  <c r="K38" i="41"/>
  <c r="L38" i="41" s="1"/>
  <c r="K39" i="41"/>
  <c r="L39" i="41" s="1"/>
  <c r="K40" i="41"/>
  <c r="L40" i="41" s="1"/>
  <c r="K41" i="41"/>
  <c r="L41" i="41" s="1"/>
  <c r="K42" i="41"/>
  <c r="L42" i="41" s="1"/>
  <c r="K43" i="41"/>
  <c r="L43" i="41" s="1"/>
  <c r="K44" i="41"/>
  <c r="L44" i="41" s="1"/>
  <c r="K45" i="41"/>
  <c r="L45" i="41" s="1"/>
  <c r="K47" i="41"/>
  <c r="L47" i="41" s="1"/>
  <c r="K48" i="41"/>
  <c r="L48" i="41" s="1"/>
  <c r="K49" i="41"/>
  <c r="L49" i="41" s="1"/>
  <c r="K50" i="41"/>
  <c r="L50" i="41" s="1"/>
  <c r="K51" i="41"/>
  <c r="L51" i="41" s="1"/>
  <c r="K52" i="41"/>
  <c r="K53" i="41"/>
  <c r="K54" i="41"/>
  <c r="K55" i="41"/>
  <c r="K56" i="41"/>
  <c r="K57" i="41"/>
  <c r="K58" i="41"/>
  <c r="K59" i="41"/>
  <c r="K26" i="41"/>
  <c r="L26" i="41" s="1"/>
  <c r="K25" i="41"/>
  <c r="L25" i="41" s="1"/>
  <c r="K24" i="41"/>
  <c r="L24" i="41" s="1"/>
  <c r="K23" i="41"/>
  <c r="L23" i="41" s="1"/>
  <c r="K22" i="41"/>
  <c r="L22" i="41" s="1"/>
  <c r="K21" i="41"/>
  <c r="L21" i="41" s="1"/>
  <c r="K19" i="41"/>
  <c r="L19" i="41" s="1"/>
  <c r="K18" i="41"/>
  <c r="L18" i="41" s="1"/>
  <c r="K17" i="41"/>
  <c r="L17" i="41" s="1"/>
  <c r="K16" i="41"/>
  <c r="L16" i="41" s="1"/>
  <c r="K15" i="41"/>
  <c r="L15" i="41" s="1"/>
  <c r="K13" i="41"/>
  <c r="L13" i="41" s="1"/>
  <c r="K12" i="41"/>
  <c r="L12" i="41" s="1"/>
  <c r="K11" i="41"/>
  <c r="L11" i="41" s="1"/>
  <c r="K10" i="41"/>
  <c r="L10" i="41" s="1"/>
  <c r="K8" i="41"/>
  <c r="L8" i="41" s="1"/>
  <c r="K7" i="41"/>
  <c r="L7" i="41" s="1"/>
  <c r="K6" i="41"/>
  <c r="N6" i="40"/>
  <c r="N7" i="40"/>
  <c r="N8" i="40"/>
  <c r="N5" i="40"/>
  <c r="Q28" i="38"/>
  <c r="P28" i="38"/>
  <c r="O28" i="38"/>
  <c r="N28" i="38"/>
  <c r="L28" i="38"/>
  <c r="K28" i="38"/>
  <c r="J28" i="38"/>
  <c r="M28" i="38"/>
  <c r="R28" i="38" s="1"/>
  <c r="H28" i="38"/>
  <c r="Q27" i="38"/>
  <c r="P27" i="38"/>
  <c r="O27" i="38"/>
  <c r="N27" i="38"/>
  <c r="L27" i="38"/>
  <c r="K27" i="38"/>
  <c r="J27" i="38"/>
  <c r="M27" i="38"/>
  <c r="R27" i="38" s="1"/>
  <c r="H27" i="38"/>
  <c r="Q26" i="38"/>
  <c r="P26" i="38"/>
  <c r="O26" i="38"/>
  <c r="N26" i="38"/>
  <c r="L26" i="38"/>
  <c r="K26" i="38"/>
  <c r="J26" i="38"/>
  <c r="M26" i="38"/>
  <c r="R26" i="38" s="1"/>
  <c r="H26" i="38"/>
  <c r="Q25" i="38"/>
  <c r="P25" i="38"/>
  <c r="O25" i="38"/>
  <c r="N25" i="38"/>
  <c r="L25" i="38"/>
  <c r="K25" i="38"/>
  <c r="J25" i="38"/>
  <c r="M25" i="38"/>
  <c r="H25" i="38"/>
  <c r="Q24" i="38"/>
  <c r="P24" i="38"/>
  <c r="O24" i="38"/>
  <c r="N24" i="38"/>
  <c r="L24" i="38"/>
  <c r="K24" i="38"/>
  <c r="J24" i="38"/>
  <c r="M24" i="38"/>
  <c r="H24" i="38"/>
  <c r="Q23" i="38"/>
  <c r="P23" i="38"/>
  <c r="O23" i="38"/>
  <c r="N23" i="38"/>
  <c r="L23" i="38"/>
  <c r="K23" i="38"/>
  <c r="J23" i="38"/>
  <c r="M23" i="38"/>
  <c r="H23" i="38"/>
  <c r="Q22" i="38"/>
  <c r="P22" i="38"/>
  <c r="O22" i="38"/>
  <c r="N22" i="38"/>
  <c r="L22" i="38"/>
  <c r="K22" i="38"/>
  <c r="J22" i="38"/>
  <c r="M22" i="38"/>
  <c r="H22" i="38"/>
  <c r="Q21" i="38"/>
  <c r="P21" i="38"/>
  <c r="O21" i="38"/>
  <c r="N21" i="38"/>
  <c r="L21" i="38"/>
  <c r="K21" i="38"/>
  <c r="J21" i="38"/>
  <c r="M21" i="38"/>
  <c r="H21" i="38"/>
  <c r="O5" i="38"/>
  <c r="N5" i="38"/>
  <c r="K5" i="38"/>
  <c r="P5" i="38"/>
  <c r="Q5" i="38"/>
  <c r="L5" i="38"/>
  <c r="J5" i="38"/>
  <c r="M5" i="38"/>
  <c r="O4" i="38"/>
  <c r="N4" i="38"/>
  <c r="K4" i="38"/>
  <c r="P4" i="38"/>
  <c r="Q4" i="38"/>
  <c r="L4" i="38"/>
  <c r="J4" i="38"/>
  <c r="M4" i="38"/>
  <c r="O3" i="38"/>
  <c r="N3" i="38"/>
  <c r="K3" i="38"/>
  <c r="P3" i="38"/>
  <c r="Q3" i="38"/>
  <c r="L3" i="38"/>
  <c r="J3" i="38"/>
  <c r="M3" i="38"/>
  <c r="O2" i="38"/>
  <c r="N2" i="38"/>
  <c r="K2" i="38"/>
  <c r="P2" i="38"/>
  <c r="Q2" i="38"/>
  <c r="L2" i="38"/>
  <c r="J2" i="38"/>
  <c r="M2" i="38"/>
  <c r="H2" i="38"/>
  <c r="H3" i="38"/>
  <c r="H4" i="38"/>
  <c r="H5" i="38"/>
  <c r="D22" i="34"/>
  <c r="G6" i="34"/>
  <c r="G10" i="34"/>
  <c r="G12" i="34"/>
  <c r="G13" i="34"/>
  <c r="G14" i="34"/>
  <c r="G8" i="34"/>
  <c r="L6" i="41" l="1"/>
  <c r="L3" i="41" s="1"/>
  <c r="L1" i="41" s="1"/>
  <c r="K3" i="41"/>
  <c r="K1" i="41" s="1"/>
  <c r="R25" i="38"/>
  <c r="R24" i="38"/>
  <c r="R5" i="38"/>
  <c r="R21" i="38"/>
  <c r="R22" i="38"/>
  <c r="R23" i="38"/>
  <c r="R4" i="38"/>
  <c r="R2" i="38"/>
  <c r="R3" i="38"/>
</calcChain>
</file>

<file path=xl/sharedStrings.xml><?xml version="1.0" encoding="utf-8"?>
<sst xmlns="http://schemas.openxmlformats.org/spreadsheetml/2006/main" count="862" uniqueCount="464">
  <si>
    <t>Task</t>
  </si>
  <si>
    <t>Status</t>
  </si>
  <si>
    <t>Thứ 3</t>
  </si>
  <si>
    <t>Thứ 4</t>
  </si>
  <si>
    <t>Thứ 5</t>
  </si>
  <si>
    <t>Thứ 6</t>
  </si>
  <si>
    <t>T2</t>
  </si>
  <si>
    <t>Nhắc Enterprise  lập báo cáo tuần</t>
  </si>
  <si>
    <t>Done</t>
  </si>
  <si>
    <t>T3</t>
  </si>
  <si>
    <t>Nhắc Boot lập báo cáo tuần</t>
  </si>
  <si>
    <t>T4</t>
  </si>
  <si>
    <t>Check task Enterprise</t>
  </si>
  <si>
    <t>T5</t>
  </si>
  <si>
    <t>T6</t>
  </si>
  <si>
    <t>CoE Team Weekly</t>
  </si>
  <si>
    <t>Check task Boot</t>
  </si>
  <si>
    <t>Weekly Enterprise</t>
  </si>
  <si>
    <t>1PM</t>
  </si>
  <si>
    <t>Cập nhật task Enterprise</t>
  </si>
  <si>
    <t>Weekly Boot</t>
  </si>
  <si>
    <t>2PM</t>
  </si>
  <si>
    <t>Cập nhật task Boot</t>
  </si>
  <si>
    <t>Transfer Boot</t>
  </si>
  <si>
    <t>Check QA task nếu có</t>
  </si>
  <si>
    <t>Check task AIDD</t>
  </si>
  <si>
    <t>Udemy - Sáng</t>
  </si>
  <si>
    <t>Retro T6 / 2 weeks</t>
  </si>
  <si>
    <t>Báo cáo Tuần - TL</t>
  </si>
  <si>
    <t>Review doc</t>
  </si>
  <si>
    <t>T7</t>
  </si>
  <si>
    <t>Gưi report Boot cùng retro</t>
  </si>
  <si>
    <t>Retro Boot</t>
  </si>
  <si>
    <t>Review Code</t>
  </si>
  <si>
    <t>Đóng/ mở sprint</t>
  </si>
  <si>
    <t>Rà soát ứng dụng vs Sang</t>
  </si>
  <si>
    <t>Udemy - Chiều</t>
  </si>
  <si>
    <t>Check task liên quan đến FE của Boot</t>
  </si>
  <si>
    <t>Check task liên quan đến FE của Enterprise</t>
  </si>
  <si>
    <t>Doing</t>
  </si>
  <si>
    <t>Udemy</t>
  </si>
  <si>
    <t>Điều chỉnh kế hoạch T56; gửi lại kế hoạch vào thứ 2 tuần sau</t>
  </si>
  <si>
    <t>Mail Kickoff dự án</t>
  </si>
  <si>
    <t>Add status trên file chung - ds CoE transfer trên wire wiki</t>
  </si>
  <si>
    <t>Review tài liệu của Tuấn - Mail</t>
  </si>
  <si>
    <t>Add story vào trong task Dương mới tạo;</t>
  </si>
  <si>
    <t>Tạo task cho Trung vs Ánh trên Enterprise</t>
  </si>
  <si>
    <t>REview code Sang -&gt; Tùng</t>
  </si>
  <si>
    <t>Tâm transfer</t>
  </si>
  <si>
    <t>Báo giá hóa đơn</t>
  </si>
  <si>
    <t>Lý thuyết</t>
  </si>
  <si>
    <t>Open</t>
  </si>
  <si>
    <t>Tài liệu hóa đơn - Kien truc + tech stack</t>
  </si>
  <si>
    <t>Tài liệu lộ trình học lập trình</t>
  </si>
  <si>
    <t>Enterprise</t>
  </si>
  <si>
    <t>https://lgcns-my.sharepoint.com/:x:/r/personal/linhlt_lgcns_com/_layouts/15/doc2.aspx?sourcedoc=%7B839D656F-5388-4071-9840-C3285FE839E0%7D&amp;file=Detail%20Task%20Phase2.xlsx&amp;fromShare=true&amp;action=default&amp;mobileredirect=true</t>
  </si>
  <si>
    <t>Boot</t>
  </si>
  <si>
    <t>https://lgcns.sharepoint.com/:x:/r/sites/SolutionCoEGroup-1/_layouts/15/Doc.aspx?sourcedoc=%7BF6DDE3D3-61F4-45A7-9133-2D7FEBB76970%7D&amp;file=Plan%20T6.xlsx&amp;action=default&amp;mobileredirect=true</t>
  </si>
  <si>
    <t>Taif lieuej session 2 - Enterprise</t>
  </si>
  <si>
    <t>Step2. cache, log, online-transaction, transaction control - CoE_DOE_DevOn Enterprise - WIRE-Wiki</t>
  </si>
  <si>
    <t>Report Retro</t>
  </si>
  <si>
    <t>Sang</t>
  </si>
  <si>
    <t>Tùng</t>
  </si>
  <si>
    <t>Ánh</t>
  </si>
  <si>
    <t>Trọng</t>
  </si>
  <si>
    <t>Trung</t>
  </si>
  <si>
    <t>AIDD - AI Agent</t>
  </si>
  <si>
    <t>Họp team đưa giải pháp mình vào AI Agent</t>
  </si>
  <si>
    <t>Tuần này họp về: AI Agent;</t>
  </si>
  <si>
    <t>Dương</t>
  </si>
  <si>
    <t>- Tài liệu; sharing tự học</t>
  </si>
  <si>
    <t>Cường</t>
  </si>
  <si>
    <t>Lâm</t>
  </si>
  <si>
    <t>Tâm</t>
  </si>
  <si>
    <t>Linh</t>
  </si>
  <si>
    <t>Task phát triển song song với Training</t>
  </si>
  <si>
    <t>Nga</t>
  </si>
  <si>
    <t>- Kế hoạch trong thời gian tới;</t>
  </si>
  <si>
    <t>Phượng</t>
  </si>
  <si>
    <t>2 Members mới;</t>
  </si>
  <si>
    <t>Tân</t>
  </si>
  <si>
    <t>Đức</t>
  </si>
  <si>
    <t>1 Tuần - common components</t>
  </si>
  <si>
    <t>2 Task - Bài tập</t>
  </si>
  <si>
    <t>3 Hạ tầng</t>
  </si>
  <si>
    <t>4 Function list</t>
  </si>
  <si>
    <t>5 Solution hoàn thiện</t>
  </si>
  <si>
    <t>2 Members mới</t>
  </si>
  <si>
    <t>Training</t>
  </si>
  <si>
    <t>AI Agents</t>
  </si>
  <si>
    <t>3 members cũ</t>
  </si>
  <si>
    <t>1 Tuần - common components
2 Task - Bài tập
3 Hạ tầng
4 Function list
5 Solution hoàn thiện</t>
  </si>
  <si>
    <t>Nghiên cữu extension - Intellij</t>
  </si>
  <si>
    <t>1 tuần</t>
  </si>
  <si>
    <t>Phân tích kế hoạch và chi phí thực hiện</t>
  </si>
  <si>
    <t>Hạng mục
(1)</t>
  </si>
  <si>
    <t>Bước thực hiện
(2)</t>
  </si>
  <si>
    <t>Số lượng cán bộ thực hiện
(3)</t>
  </si>
  <si>
    <t>Đơn vị thực hiện
(4)</t>
  </si>
  <si>
    <t>Số ngày thực hiện
(5)</t>
  </si>
  <si>
    <t>Tổng số ngày (Manday) 
(3) x (5)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</si>
  <si>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</si>
  <si>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</si>
  <si>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</si>
  <si>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</si>
  <si>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</si>
  <si>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</si>
  <si>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</si>
  <si>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</si>
  <si>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</si>
  <si>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</si>
  <si>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</si>
  <si>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</si>
  <si>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</si>
  <si>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 + 30</t>
  </si>
  <si>
    <t>Ghi chú</t>
  </si>
  <si>
    <t>Tư vấn</t>
  </si>
  <si>
    <t>Thực hiện tiếp xúc &amp; đề xuất triển khai trường trình</t>
  </si>
  <si>
    <t>x</t>
  </si>
  <si>
    <t>Chuẩn bị trước đào tạo</t>
  </si>
  <si>
    <t>Tạo file khảo sát</t>
  </si>
  <si>
    <t>ĐV triển khai</t>
  </si>
  <si>
    <t xml:space="preserve">Thực hiện khảo sát </t>
  </si>
  <si>
    <t>2 đơn vị</t>
  </si>
  <si>
    <t>Không giới hạn cán bộ trên địa bàn phường quản lý</t>
  </si>
  <si>
    <t>Phân tích kết quả khảo sát - đề xuất nội dung khóa học</t>
  </si>
  <si>
    <t>Triển khai đào tạo</t>
  </si>
  <si>
    <t>Nội dung cơ bản &amp; Nội dung chuyên môn dựa trên kết quả khảo sát</t>
  </si>
  <si>
    <t>Triển khai</t>
  </si>
  <si>
    <t>Hỗ trợ sau Đào tạo</t>
  </si>
  <si>
    <t>Hạng mục</t>
  </si>
  <si>
    <t>Thời gian 
(Tổng Manday)</t>
  </si>
  <si>
    <t>Chi phí dự kiến
(Triệu VND)</t>
  </si>
  <si>
    <t>Tổng thời gian tiếp xúc tư vấn</t>
  </si>
  <si>
    <t>Hỗ trợ sau đào tạo</t>
  </si>
  <si>
    <t>Tổng</t>
  </si>
  <si>
    <t>STT</t>
  </si>
  <si>
    <t xml:space="preserve">Nội dung </t>
  </si>
  <si>
    <t>Task / Màn hình</t>
  </si>
  <si>
    <t>Chi tiết</t>
  </si>
  <si>
    <t>Codebase</t>
  </si>
  <si>
    <t>Dựng BE</t>
  </si>
  <si>
    <t>Dựng FE</t>
  </si>
  <si>
    <t>Dựng DB</t>
  </si>
  <si>
    <t>Dựng AI</t>
  </si>
  <si>
    <t>Lựa chọn AI - mô hình triển khai</t>
  </si>
  <si>
    <t>Infa</t>
  </si>
  <si>
    <t>Licence</t>
  </si>
  <si>
    <t>Dashboard</t>
  </si>
  <si>
    <t>Giao diện các chỉ số chính</t>
  </si>
  <si>
    <t>Ds chỉ số cần khai thác</t>
  </si>
  <si>
    <t>04 biểu đồ thể hiện biến đổi / tỷ lệ chỉ tiêu quan trọng của hệ thống</t>
  </si>
  <si>
    <t>Click cho phép tra cứu chi tiết</t>
  </si>
  <si>
    <t>Quản trị hệ thống</t>
  </si>
  <si>
    <t>Role</t>
  </si>
  <si>
    <t>Menu</t>
  </si>
  <si>
    <t>Menu-Role</t>
  </si>
  <si>
    <t>Group Role</t>
  </si>
  <si>
    <t>User</t>
  </si>
  <si>
    <t>Assign User - Group Role - List menu</t>
  </si>
  <si>
    <t>Master data</t>
  </si>
  <si>
    <t>Master</t>
  </si>
  <si>
    <t>Group Master</t>
  </si>
  <si>
    <t>Đơn vị</t>
  </si>
  <si>
    <t>Phòng ban</t>
  </si>
  <si>
    <t>Nhân viên</t>
  </si>
  <si>
    <t>Loại tài liệu...</t>
  </si>
  <si>
    <t>Quản lý Pdf file</t>
  </si>
  <si>
    <t>Upload</t>
  </si>
  <si>
    <t>Paste file directly into a share  forlder on server</t>
  </si>
  <si>
    <t>Không làm chức năng</t>
  </si>
  <si>
    <t>Job scan and move into Business folder</t>
  </si>
  <si>
    <t>Private folder cannot access from user</t>
  </si>
  <si>
    <t>Tạo job đọc file Pdf theo từng folder: Cấp folder chi tiết từ ... đến .... theo cấu trúc
Phân loại đánh dấu</t>
  </si>
  <si>
    <t>Phân loại/ đánh dấu trạng thái xử lý/ chưa xử lý
Xử lý: Đọc dữ liệu vào db</t>
  </si>
  <si>
    <t>Job scan data - Ask AI</t>
  </si>
  <si>
    <t>Separate into nhiều request AI - max text - by file = 2000 ký tự
Cập nhật dữ liệu vào bảng nghiệp vụ - Children json
Nếu ít file -&gt; cập nhật dữ liệu thẳng vào json nghiệp vụ</t>
  </si>
  <si>
    <t>Job tổng hợp toàn bộ dữ liệu vào Json nghiệp vụ -&gt; có thể hỏi AI</t>
  </si>
  <si>
    <t>Tổng hợp dữ liệu vào bảng nghiệp vụ</t>
  </si>
  <si>
    <t>Quản lý thông tin</t>
  </si>
  <si>
    <t>Phân công việc cho người review</t>
  </si>
  <si>
    <t>List all - phân công; hỗ trợ chọn theo một số tiêu chí/ chưa xử lý/ loại tài liệu -&gt; tích chọn nhiều/
Phân theo tick all - paging cho chọn option đến 50 để hỗ trợ phân theo người phụ trách review đến 50 files/ lần submit</t>
  </si>
  <si>
    <t>Hỗ trợ màn hình preview PDF file - compare với bảng dữ liệu được hiển thị thông tin chi tiết từ bảng nghiệp vụ</t>
  </si>
  <si>
    <t>Cho phép sửa thông tin
Đánh dấu file sửa
Ghi nhận người sửa/ phân quyền sửa
Hỗ trợ việc phân quyền lại by Teamlead</t>
  </si>
  <si>
    <t>No</t>
  </si>
  <si>
    <t>Criterial</t>
  </si>
  <si>
    <t>Expectation</t>
  </si>
  <si>
    <t>Monitoring By</t>
  </si>
  <si>
    <t>Queue:
Size and Quality of Consumers</t>
  </si>
  <si>
    <t>Đề xuất số lượng Item trong Blocking Queue &lt;=90% Queue Size</t>
  </si>
  <si>
    <t>Sửa ứng dụng cho phép trích xuất và ghi nhận Queue size vào database - hỗ trợ hiển thị sau
Sau khi có dữ liệu: Kết xuất data dạng time(10s) / Queue size
Tăng số lượng consumer nếu thấy hiện tượng Queue đầy - est Queue size không vượt quá 90%</t>
  </si>
  <si>
    <t>CPU</t>
  </si>
  <si>
    <t>Không quá 80%</t>
  </si>
  <si>
    <t>RAM</t>
  </si>
  <si>
    <t>Number of Transaction</t>
  </si>
  <si>
    <t>Số lượng Transaction thành công &gt;=90%</t>
  </si>
  <si>
    <t>Response Time</t>
  </si>
  <si>
    <t>Độ trễ AS IS Environment - TOBE Environment &gt;=0.05ms</t>
  </si>
  <si>
    <t>Kích bản kiểm thử</t>
  </si>
  <si>
    <t>Run on AS IS Environment</t>
  </si>
  <si>
    <t>Run on TOBE  Environment</t>
  </si>
  <si>
    <t>Mục tiêu</t>
  </si>
  <si>
    <t>100 CCU</t>
  </si>
  <si>
    <t>So sánh 2 tham số; điều chỉnh và tìm ra số lượng consumer phù hợp</t>
  </si>
  <si>
    <t>200 CCU</t>
  </si>
  <si>
    <t>300 CCU</t>
  </si>
  <si>
    <t>item</t>
  </si>
  <si>
    <t>Description</t>
  </si>
  <si>
    <t>Custom code to capture data for monitor criterials for report(Queue size)</t>
  </si>
  <si>
    <t>Prepare environment</t>
  </si>
  <si>
    <t>POC/BE</t>
  </si>
  <si>
    <t>Cut verion code &amp; Deploy Application</t>
  </si>
  <si>
    <t>Source code BE/BE/DB</t>
  </si>
  <si>
    <t>Create jmeter script</t>
  </si>
  <si>
    <t>Run test</t>
  </si>
  <si>
    <t>Report</t>
  </si>
  <si>
    <t>Member</t>
  </si>
  <si>
    <t>IN PROGRESS</t>
  </si>
  <si>
    <t>In Checking</t>
  </si>
  <si>
    <t>3rd party TEST</t>
  </si>
  <si>
    <t>USER ACCEPTANCE TEST</t>
  </si>
  <si>
    <t>Closed</t>
  </si>
  <si>
    <t>canceled</t>
  </si>
  <si>
    <t>DOE202504-2026</t>
  </si>
  <si>
    <t>[R26007] SP7: Dashboard -&gt; Trace List, Trace Detail &amp; Span Detail</t>
  </si>
  <si>
    <t>LE THI NGA Specialist/(Part) Solution Test</t>
  </si>
  <si>
    <t>DOAN HUNG CUONG Specialist/(Part) DevOn R&amp;D</t>
  </si>
  <si>
    <t>DOE202504-2033</t>
  </si>
  <si>
    <t>[R26007] SP7: Instrumentation-&gt; Convert data into Json &amp; OTLP push</t>
  </si>
  <si>
    <t>김희주 책임/DevOn솔루션팀</t>
  </si>
  <si>
    <t>THAI ANH LAM Specialist/(Part) DevOn R&amp;D</t>
  </si>
  <si>
    <t>DOE202504-2035</t>
  </si>
  <si>
    <t>[R26007] SP7: Backend-&gt; Receiver &amp; Analyze Json into Statistic DB</t>
  </si>
  <si>
    <t>NGUYEN DUC TAM Specialist/(Part) DevOn R&amp;D</t>
  </si>
  <si>
    <t>DOE202504-2038</t>
  </si>
  <si>
    <t>[SP7] Improvements</t>
  </si>
  <si>
    <t>LE TRONG LINH Professional/(Part) DevOn R&amp;D</t>
  </si>
  <si>
    <t>TAO HOAI DUONG Professional/(Part) DevOn R&amp;D</t>
  </si>
  <si>
    <t>DOE202504-2039</t>
  </si>
  <si>
    <t>[MNG6][Daemon Service] Search by Daemon ID not working</t>
  </si>
  <si>
    <t>DOE202504-2040</t>
  </si>
  <si>
    <t>[MNG6][Int Deferred Biz Mng] Last Deferred Serial Number should also be editable</t>
  </si>
  <si>
    <t>DOE202504-2043</t>
  </si>
  <si>
    <t>[MNG6][Telegram Item] The title of the search results table has been hidden.</t>
  </si>
  <si>
    <t>DOE202504-2044</t>
  </si>
  <si>
    <t>[MNG6][Common] 1 step refresh function in Refresh Service does not working</t>
  </si>
  <si>
    <t>DOE202504-2045</t>
  </si>
  <si>
    <t>[MNG6][Common] Display two screens when you click the screen name on the Favorites page.</t>
  </si>
  <si>
    <t>FPT Software company limited</t>
  </si>
  <si>
    <t>DOE202504-2046</t>
  </si>
  <si>
    <t>[MNG6][Transaction Permissions] UI pop up "Add Transaction" function incorrect</t>
  </si>
  <si>
    <t>DOE202504-2049</t>
  </si>
  <si>
    <t>[MNG6][Transaction Link Parameter] Display 2 message when create duplicate Tran. link parameter ID</t>
  </si>
  <si>
    <t>DOE202504-2051</t>
  </si>
  <si>
    <t>[MNG6][Transaction Control Rule] Can not add record in tab Control Element and Target Transaction</t>
  </si>
  <si>
    <t>DOE202504-2052</t>
  </si>
  <si>
    <t>[MNG6][Transaction log] Text in Response Code search does not fully displayed</t>
  </si>
  <si>
    <t>DOE202504-2053</t>
  </si>
  <si>
    <t>[MNG6][Job Node] text in pop up Delete incorrect</t>
  </si>
  <si>
    <t>DOE202504-2055</t>
  </si>
  <si>
    <t>[MNG6][Ledger Management] Search Target Table Name working incorrect</t>
  </si>
  <si>
    <t>DOE202504-2056</t>
  </si>
  <si>
    <t>[MNG6][Interface Parameter] Display the appropriate message when clear data in Async Tab</t>
  </si>
  <si>
    <t>DOE202504-2057</t>
  </si>
  <si>
    <t>[MNG6][Interface Adaptor] Language mismatch between Send Rule ID field in table and Modify modal</t>
  </si>
  <si>
    <t>DOE202504-2058</t>
  </si>
  <si>
    <t>[MNG6][Interface Loopback] Record Interface Loopback Detail does not flowing Interface Transaction ID</t>
  </si>
  <si>
    <t>DOE202504-2059</t>
  </si>
  <si>
    <t>[MNG6][CenterCut] Add New function does not working</t>
  </si>
  <si>
    <t>DOE202504-2060</t>
  </si>
  <si>
    <t>[MNG6][Daemon Main] New record does not the first position</t>
  </si>
  <si>
    <t>DOE202504-2062</t>
  </si>
  <si>
    <t>[MNG6][Int Deferred Data] Display missing record</t>
  </si>
  <si>
    <t>DOE202504-2063</t>
  </si>
  <si>
    <t>[MNG6][Batch Main] Display wrong message when add duplicate parame in Param Information Tab</t>
  </si>
  <si>
    <t>DOE202504-2064</t>
  </si>
  <si>
    <t>[MNG6][Batch Step] Pop up delete does not display exactly with unique key</t>
  </si>
  <si>
    <t>DOE202504-2065</t>
  </si>
  <si>
    <t>[MNG6][Batch Step] Can not add second record in tab File Info</t>
  </si>
  <si>
    <t>DOE202504-2066</t>
  </si>
  <si>
    <t>[MNG6][Batch History] Job ID search does not working</t>
  </si>
  <si>
    <t>DOE202504-2067</t>
  </si>
  <si>
    <t>[MNG6][Download Template] Open duplicate screen when click "Go To Upload/Download screen " button</t>
  </si>
  <si>
    <t>DOE202504-2068</t>
  </si>
  <si>
    <t>[MNG6][Download] Can not Download with Message, Link Transaction and Batch service</t>
  </si>
  <si>
    <t>DOE202504-2069</t>
  </si>
  <si>
    <t>[MNG6][Parameter Import/Parameter Export] Can not Import and Export</t>
  </si>
  <si>
    <t>DOE202504-2070</t>
  </si>
  <si>
    <t>[MNG6][Agent Server] Display error message when edit record</t>
  </si>
  <si>
    <t>DOE202504-2072</t>
  </si>
  <si>
    <t>[R26007] SP7: Dashboard-&gt; Performance Test</t>
  </si>
  <si>
    <t>DOE202504-2086</t>
  </si>
  <si>
    <t>[Dashboard][Trace List] Text vị che khuất ở thanh bar Span Data</t>
  </si>
  <si>
    <t>DOE202504-2087</t>
  </si>
  <si>
    <t>[R26007] Instrumentation - no value in instance_id.</t>
  </si>
  <si>
    <t>DOE202504-2088</t>
  </si>
  <si>
    <t>[R26007] METRIC_TRACE - Differences between the design document and the actual table</t>
  </si>
  <si>
    <t>DOE202504-2093</t>
  </si>
  <si>
    <t>Testing Improvement on Master</t>
  </si>
  <si>
    <t>DOE202504-2096</t>
  </si>
  <si>
    <t>[R26007] METRIC_TRACE_AGG_1M - DURATION_MS is strange</t>
  </si>
  <si>
    <t>DOE202504-2097</t>
  </si>
  <si>
    <t>[R26007] METRIC_SPAN_ATTRIBUTE - attr_value_str is empty</t>
  </si>
  <si>
    <t>11h14</t>
  </si>
  <si>
    <t>Quản lý thông tin File</t>
  </si>
  <si>
    <t>ID</t>
  </si>
  <si>
    <t>Pathfile</t>
  </si>
  <si>
    <t>Code</t>
  </si>
  <si>
    <t>Filename</t>
  </si>
  <si>
    <t>CreateDate</t>
  </si>
  <si>
    <t>FileContent</t>
  </si>
  <si>
    <t>ErrorMessage</t>
  </si>
  <si>
    <t>Parent FileName</t>
  </si>
  <si>
    <t>Children Json</t>
  </si>
  <si>
    <t>D01.26.01_THANH PHO LONG XUYEN\2015\HINH SU\QD.01.2015.QDPT-HS.Nguyen Van A</t>
  </si>
  <si>
    <t>FIle001</t>
  </si>
  <si>
    <t>Đã xử lý</t>
  </si>
  <si>
    <t>plain text</t>
  </si>
  <si>
    <t>FIle001.pdf</t>
  </si>
  <si>
    <t>json1</t>
  </si>
  <si>
    <t>FIle002</t>
  </si>
  <si>
    <t>Đang xử lý</t>
  </si>
  <si>
    <t>FIle002.pdf
FIle003.pdf
FIle004.pdf</t>
  </si>
  <si>
    <t>json2</t>
  </si>
  <si>
    <t>FIle003</t>
  </si>
  <si>
    <t>FIle004</t>
  </si>
  <si>
    <t>Quản lý json final</t>
  </si>
  <si>
    <t>ParentID</t>
  </si>
  <si>
    <t>Họ tên</t>
  </si>
  <si>
    <t>Json Data</t>
  </si>
  <si>
    <t>TC1</t>
  </si>
  <si>
    <t>TC2</t>
  </si>
  <si>
    <t>TC3</t>
  </si>
  <si>
    <t>Nguyễn Văn A</t>
  </si>
  <si>
    <t>Json = json1+json1</t>
  </si>
  <si>
    <t>tc1</t>
  </si>
  <si>
    <t>tc2</t>
  </si>
  <si>
    <t>tc3</t>
  </si>
  <si>
    <t>Total</t>
  </si>
  <si>
    <t>Total manday</t>
  </si>
  <si>
    <t>ManDay DEV</t>
  </si>
  <si>
    <t>BA/ Test</t>
  </si>
  <si>
    <t>Dev FE</t>
  </si>
  <si>
    <t>Dev BE</t>
  </si>
  <si>
    <t>Manday
Đầy đủ</t>
  </si>
  <si>
    <t>Manday priority features</t>
  </si>
  <si>
    <t>Đăng nhập</t>
  </si>
  <si>
    <t>Truy cập vào hệ thống</t>
  </si>
  <si>
    <t>Thông báo trang chủ</t>
  </si>
  <si>
    <t>Thông báo - danh sách thông báo/ xem thông báo</t>
  </si>
  <si>
    <t>Thời gian</t>
  </si>
  <si>
    <t>M1</t>
  </si>
  <si>
    <t>M2</t>
  </si>
  <si>
    <t>M3</t>
  </si>
  <si>
    <t>M4</t>
  </si>
  <si>
    <t>M5</t>
  </si>
  <si>
    <t>M6</t>
  </si>
  <si>
    <t>Phân tích đánh giá lại Hệ thống hiện tại/ tài liệu hóa nghiệp vụ</t>
  </si>
  <si>
    <t>Thiết kế hệ thống</t>
  </si>
  <si>
    <t>Thực hiện phân tích chi tiêt - thiết kế theme/ template/ biểu mẫu dự án</t>
  </si>
  <si>
    <t>Phát triển</t>
  </si>
  <si>
    <t>Tích hợp dữ liệu hệ thống cũ</t>
  </si>
  <si>
    <t>Kiểm thử UAT: Đào tạo người dùng cuối kiểm thử/ thực hiện đánh giá/ chỉnh sửa</t>
  </si>
  <si>
    <t>Cut verion hệ thống cũ - chuyển sang hệ thống mới</t>
  </si>
  <si>
    <t>Tích hợp</t>
  </si>
  <si>
    <t>Hỗ trợ vận hành 02 tháng</t>
  </si>
  <si>
    <t>Vận hàng hệ thống</t>
  </si>
  <si>
    <t>Chi phí server: 2tr/ tháng</t>
  </si>
  <si>
    <t>Chi phí vận hành: 7tr/ tháng ( Monitor hệ thống/ backup / ghi nhận và xử lý sự cố)</t>
  </si>
  <si>
    <t>Quản lý Email Template</t>
  </si>
  <si>
    <t>Quản lý lịch sử gửi mail</t>
  </si>
  <si>
    <t>Gửi phiếu thu cho KH</t>
  </si>
  <si>
    <t>Quản lý khách hàng</t>
  </si>
  <si>
    <t>Khởi tạo khách hàng</t>
  </si>
  <si>
    <t>Tạo hồ sơ khách hàng mới</t>
  </si>
  <si>
    <t>Theo dõi và quản lý thông tin khách hàng</t>
  </si>
  <si>
    <t>Quản lý nhóm khách hàng</t>
  </si>
  <si>
    <t>Phân nhóm khách hàng theo tiêu chí</t>
  </si>
  <si>
    <t>Quản lý xét nghiệm</t>
  </si>
  <si>
    <t>Giai đoạn</t>
  </si>
  <si>
    <t>Nghiệp vụ chính</t>
  </si>
  <si>
    <t>Ý nghĩa / Mục tiêu</t>
  </si>
  <si>
    <t>Kết quả đầu ra</t>
  </si>
  <si>
    <t>1. Đăng ký mẫu</t>
  </si>
  <si>
    <t>- Tạo yêu cầu xét nghiệm - Nhập thông tin khách hàng, loại mẫu, mã mẫu</t>
  </si>
  <si>
    <t>Xác định mẫu cần xét nghiệm và thông tin liên quan</t>
  </si>
  <si>
    <t>Mã yêu cầu xét nghiệm (ID mẫu)</t>
  </si>
  <si>
    <t>2. Vận chuyển mẫu</t>
  </si>
  <si>
    <t>- Ghi nhận quá trình vận chuyển - Theo dõi trạng thái mẫu từ nơi lấy đến phòng xét nghiệm</t>
  </si>
  <si>
    <t>Đảm bảo mẫu được vận chuyển đúng quy trình, không hư hỏng</t>
  </si>
  <si>
    <t>Trạng thái “Đã nhận mẫu”</t>
  </si>
  <si>
    <t>3. Kiểm mẫu</t>
  </si>
  <si>
    <t>- Kiểm tra tính hợp lệ của mẫu - Loại bỏ mẫu lỗi hoặc không đạt yêu cầu</t>
  </si>
  <si>
    <t>Đảm bảo chất lượng mẫu trước khi xét nghiệm</t>
  </si>
  <si>
    <t>Danh sách mẫu hợp lệ</t>
  </si>
  <si>
    <t>4. Phân nhóm XN</t>
  </si>
  <si>
    <t>- Phân loại mẫu theo loại xét nghiệm (PCR, ELISA, Vi sinh, Hóa sinh...)</t>
  </si>
  <si>
    <t>Tối ưu quy trình xử lý theo nhóm chuyên môn</t>
  </si>
  <si>
    <t>Nhóm xét nghiệm được xác định</t>
  </si>
  <si>
    <t>5. Xử lý mẫu</t>
  </si>
  <si>
    <t>- Chuẩn bị mẫu (pha loãng, chiết tách, đánh dấu...)</t>
  </si>
  <si>
    <t>Đưa mẫu về trạng thái sẵn sàng cho xét nghiệm</t>
  </si>
  <si>
    <t>Mẫu đã xử lý đạt chuẩn</t>
  </si>
  <si>
    <t>6. Thực hiện xét nghiệm</t>
  </si>
  <si>
    <t>- Tiến hành xét nghiệm theo quy trình kỹ thuật - Ghi nhận kết quả thô</t>
  </si>
  <si>
    <t>Tạo dữ liệu kết quả ban đầu</t>
  </si>
  <si>
    <t>Kết quả xét nghiệm (raw data)</t>
  </si>
  <si>
    <t>7. Đánh giá kết quả</t>
  </si>
  <si>
    <t>- Kiểm tra, xác nhận độ chính xác - So sánh với ngưỡng chuẩn</t>
  </si>
  <si>
    <t>Đảm bảo kết quả đáng tin cậy</t>
  </si>
  <si>
    <t>Kết quả được xác nhận</t>
  </si>
  <si>
    <t>8. Phê duyệt</t>
  </si>
  <si>
    <t>- Người có thẩm quyền duyệt kết quả - Ghi nhận chữ ký điện tử hoặc xác nhận</t>
  </si>
  <si>
    <t>Xác nhận hợp lệ để công bố</t>
  </si>
  <si>
    <t>Kết quả được phê duyệt</t>
  </si>
  <si>
    <t>9. Gửi kết quả</t>
  </si>
  <si>
    <t>- Xuất báo cáo, gửi cho khách hàng hoặc hệ thống quản lý</t>
  </si>
  <si>
    <t>Hoàn tất quy trình xét nghiệm</t>
  </si>
  <si>
    <t>Báo cáo kết quả chính thức</t>
  </si>
  <si>
    <t>Quản lý thú Y</t>
  </si>
  <si>
    <t>CN1</t>
  </si>
  <si>
    <t>Danh sách</t>
  </si>
  <si>
    <t>CN2</t>
  </si>
  <si>
    <t>Nhập thông tin chi tiết</t>
  </si>
  <si>
    <t>CN3</t>
  </si>
  <si>
    <t>Cập nhật</t>
  </si>
  <si>
    <t>CN4</t>
  </si>
  <si>
    <t>CN5</t>
  </si>
  <si>
    <t>Dashboard hỗ trợ - 06 chỉ số</t>
  </si>
  <si>
    <t>Quản lý công nợ</t>
  </si>
  <si>
    <t>Nhóm chức năng</t>
  </si>
  <si>
    <t>Tính năng cần có</t>
  </si>
  <si>
    <t>1. Ghi nhận chi phí</t>
  </si>
  <si>
    <t>- Tự động ghi nhận chi phí từ hóa đơn, phiếu nhập, dịch vụ - Cho phép phân loại chi phí theo nhóm</t>
  </si>
  <si>
    <t>Giảm sai sót nhập liệu, tiết kiệm thời gian</t>
  </si>
  <si>
    <t>Danh sách chi phí tự động cập nhật</t>
  </si>
  <si>
    <t>2. Kiểm soát trạng thái công nợ</t>
  </si>
  <si>
    <t>- Theo dõi trạng thái: chưa thanh toán, một phần, đã thanh toán - Cảnh báo nợ quá hạn</t>
  </si>
  <si>
    <t>Đảm bảo minh bạch, dễ quản lý</t>
  </si>
  <si>
    <t>Báo cáo trạng thái công nợ theo khách hàng</t>
  </si>
  <si>
    <t>3. Sinh phiếu thu + QR code</t>
  </si>
  <si>
    <t>- Tự động tạo phiếu thu - Tích hợp QR code thanh toán (BIDV hoặc đối tác)</t>
  </si>
  <si>
    <t>Tăng tiện lợi cho khách hàng, giảm thủ tục</t>
  </si>
  <si>
    <t>Phiếu thu điện tử + QR code thanh toán</t>
  </si>
  <si>
    <t>4. Ghi gạch nợ tự động</t>
  </si>
  <si>
    <t>- Tự động gạch nợ khi nhận thanh toán - Cho phép sửa/điều chỉnh thủ công</t>
  </si>
  <si>
    <t>Đảm bảo dữ liệu chính xác, linh hoạt</t>
  </si>
  <si>
    <t>Trạng thái công nợ được cập nhật tức thì</t>
  </si>
  <si>
    <t>5. Báo cáo đối soát</t>
  </si>
  <si>
    <t>- Đối soát công nợ theo khách hàng, theo thời gian - Xuất báo cáo Excel/PDF</t>
  </si>
  <si>
    <t>Giúp kiểm toán, minh bạch tài chính</t>
  </si>
  <si>
    <t>Báo cáo đối soát chi tiết, dễ chia sẻ</t>
  </si>
  <si>
    <t>Quản lý hóa đơn</t>
  </si>
  <si>
    <t>Tích hợp Hóa đơn điện tử</t>
  </si>
  <si>
    <t>Chưa thực hiện</t>
  </si>
  <si>
    <t>Danh sách phiếu thu - Hóa đơn lưu tạm</t>
  </si>
  <si>
    <t>Xuất hóa đơn</t>
  </si>
  <si>
    <t>Báo cáo đối soát Hóa đơn</t>
  </si>
  <si>
    <t>Quản lý kho</t>
  </si>
  <si>
    <t>Quản lý ds vật tư</t>
  </si>
  <si>
    <t>Quản lý phiếu mua hàng</t>
  </si>
  <si>
    <t>Quản lý phiếu nhập kho</t>
  </si>
  <si>
    <t>Quản lý phiếu xuất kho</t>
  </si>
  <si>
    <t>Báo cáo theo dõi 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</si>
</sst>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Times New Roman"/>
    </font>
    <font>
      <sz val="14"/>
      <color theme="1"/>
      <name val="Times New Roman"/>
    </font>
    <font>
      <b/>
      <sz val="14"/>
      <color theme="1"/>
      <name val="Times New Roman"/>
    </font>
    <font>
      <u/>
      <sz val="14"/>
      <color theme="10"/>
      <name val="Times New Roman"/>
    </font>
    <font>
      <b/>
      <sz val="12"/>
      <color theme="1"/>
      <name val="Times New Roman"/>
    </font>
    <font>
      <b/>
      <sz val="11"/>
      <color theme="1"/>
      <name val="Aptos Narrow"/>
      <family val="2"/>
      <scheme val="minor"/>
    </font>
    <font>
      <b/>
      <sz val="24"/>
      <color theme="1"/>
      <name val="Times New Roman"/>
    </font>
    <font>
      <sz val="12"/>
      <color theme="1"/>
      <name val="Times New Roman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8"/>
      <color rgb="FF0747A6"/>
      <name val="LG스마트체 Regular"/>
      <charset val="1"/>
    </font>
    <font>
      <b/>
      <sz val="8"/>
      <color rgb="FF006644"/>
      <name val="LG스마트체 Regular"/>
      <charset val="1"/>
    </font>
    <font>
      <b/>
      <sz val="8"/>
      <color rgb="FF42526E"/>
      <name val="LG스마트체 Regular"/>
      <charset val="1"/>
    </font>
    <font>
      <b/>
      <sz val="11"/>
      <color rgb="FF000000"/>
      <name val="Aptos Narrow"/>
      <scheme val="minor"/>
    </font>
    <font>
      <b/>
      <sz val="11"/>
      <color rgb="FF000000"/>
      <name val="Aptos Narrow"/>
      <charset val="1"/>
    </font>
    <font>
      <sz val="11"/>
      <color rgb="FF000000"/>
      <name val="Aptos Narrow"/>
      <scheme val="minor"/>
    </font>
    <font>
      <u/>
      <sz val="12"/>
      <color theme="10"/>
      <name val="Times New Roman"/>
    </font>
    <font>
      <sz val="9"/>
      <color theme="1"/>
      <name val="Times New Roman"/>
    </font>
    <font>
      <b/>
      <sz val="9"/>
      <color theme="1"/>
      <name val="Times New Roman"/>
    </font>
    <font>
      <i/>
      <sz val="12"/>
      <color theme="1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1C7D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6">
    <xf numFmtId="0" fontId="0" fillId="0" borderId="0" xfId="0"/>
    <xf numFmtId="0" fontId="1" fillId="0" borderId="0" xfId="1"/>
    <xf numFmtId="0" fontId="2" fillId="5" borderId="0" xfId="0" applyFont="1" applyFill="1"/>
    <xf numFmtId="0" fontId="2" fillId="5" borderId="8" xfId="0" applyFont="1" applyFill="1" applyBorder="1"/>
    <xf numFmtId="0" fontId="2" fillId="5" borderId="3" xfId="0" applyFont="1" applyFill="1" applyBorder="1"/>
    <xf numFmtId="0" fontId="2" fillId="5" borderId="2" xfId="0" applyFont="1" applyFill="1" applyBorder="1"/>
    <xf numFmtId="0" fontId="2" fillId="5" borderId="4" xfId="0" applyFont="1" applyFill="1" applyBorder="1"/>
    <xf numFmtId="0" fontId="3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5" fillId="0" borderId="0" xfId="1" applyFont="1"/>
    <xf numFmtId="0" fontId="3" fillId="6" borderId="1" xfId="0" applyFont="1" applyFill="1" applyBorder="1"/>
    <xf numFmtId="0" fontId="3" fillId="0" borderId="1" xfId="0" applyFont="1" applyBorder="1"/>
    <xf numFmtId="0" fontId="0" fillId="0" borderId="0" xfId="0" quotePrefix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4" fillId="9" borderId="1" xfId="0" applyFont="1" applyFill="1" applyBorder="1"/>
    <xf numFmtId="0" fontId="4" fillId="0" borderId="1" xfId="0" applyFont="1" applyBorder="1" applyAlignment="1">
      <alignment horizontal="left" vertical="center" wrapText="1"/>
    </xf>
    <xf numFmtId="0" fontId="7" fillId="10" borderId="1" xfId="0" applyFont="1" applyFill="1" applyBorder="1"/>
    <xf numFmtId="0" fontId="11" fillId="0" borderId="1" xfId="0" applyFont="1" applyBorder="1"/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10" borderId="1" xfId="0" applyFont="1" applyFill="1" applyBorder="1" applyAlignment="1">
      <alignment horizontal="right"/>
    </xf>
    <xf numFmtId="0" fontId="1" fillId="11" borderId="0" xfId="1" applyFill="1" applyAlignment="1"/>
    <xf numFmtId="0" fontId="12" fillId="11" borderId="0" xfId="0" applyFont="1" applyFill="1"/>
    <xf numFmtId="0" fontId="13" fillId="11" borderId="0" xfId="0" applyFont="1" applyFill="1"/>
    <xf numFmtId="0" fontId="1" fillId="11" borderId="10" xfId="1" applyFill="1" applyBorder="1" applyAlignment="1"/>
    <xf numFmtId="0" fontId="12" fillId="11" borderId="10" xfId="0" applyFont="1" applyFill="1" applyBorder="1"/>
    <xf numFmtId="0" fontId="14" fillId="11" borderId="0" xfId="0" applyFont="1" applyFill="1"/>
    <xf numFmtId="0" fontId="14" fillId="11" borderId="10" xfId="0" applyFont="1" applyFill="1" applyBorder="1"/>
    <xf numFmtId="0" fontId="1" fillId="11" borderId="0" xfId="1" applyFill="1" applyBorder="1" applyAlignment="1"/>
    <xf numFmtId="0" fontId="13" fillId="11" borderId="10" xfId="0" applyFont="1" applyFill="1" applyBorder="1"/>
    <xf numFmtId="0" fontId="12" fillId="11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1" fillId="11" borderId="1" xfId="1" applyFill="1" applyBorder="1" applyAlignment="1"/>
    <xf numFmtId="14" fontId="0" fillId="0" borderId="0" xfId="0" applyNumberFormat="1"/>
    <xf numFmtId="0" fontId="0" fillId="0" borderId="0" xfId="0" applyAlignment="1">
      <alignment vertical="center"/>
    </xf>
    <xf numFmtId="0" fontId="16" fillId="8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 wrapText="1"/>
    </xf>
    <xf numFmtId="0" fontId="16" fillId="8" borderId="9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15" fillId="10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6" fillId="10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9" xfId="0" applyBorder="1"/>
    <xf numFmtId="14" fontId="0" fillId="0" borderId="1" xfId="0" applyNumberFormat="1" applyBorder="1"/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9" xfId="0" applyFont="1" applyBorder="1" applyAlignment="1">
      <alignment wrapText="1"/>
    </xf>
    <xf numFmtId="0" fontId="6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wrapText="1"/>
    </xf>
    <xf numFmtId="0" fontId="9" fillId="0" borderId="0" xfId="0" applyFont="1"/>
    <xf numFmtId="0" fontId="18" fillId="0" borderId="1" xfId="1" applyFont="1" applyBorder="1"/>
    <xf numFmtId="0" fontId="9" fillId="0" borderId="0" xfId="0" applyFont="1" applyAlignment="1">
      <alignment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19" fillId="0" borderId="1" xfId="0" quotePrefix="1" applyFont="1" applyBorder="1" applyAlignment="1">
      <alignment wrapText="1"/>
    </xf>
    <xf numFmtId="0" fontId="9" fillId="0" borderId="8" xfId="0" applyFont="1" applyBorder="1"/>
    <xf numFmtId="0" fontId="18" fillId="0" borderId="8" xfId="1" applyFont="1" applyBorder="1"/>
    <xf numFmtId="0" fontId="19" fillId="0" borderId="8" xfId="0" quotePrefix="1" applyFont="1" applyBorder="1" applyAlignment="1">
      <alignment wrapText="1"/>
    </xf>
    <xf numFmtId="0" fontId="19" fillId="0" borderId="8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8" borderId="1" xfId="0" applyFont="1" applyFill="1" applyBorder="1"/>
    <xf numFmtId="0" fontId="6" fillId="0" borderId="9" xfId="0" applyFont="1" applyBorder="1" applyAlignment="1">
      <alignment horizontal="center" wrapText="1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1" fillId="0" borderId="0" xfId="0" applyFont="1"/>
    <xf numFmtId="0" fontId="6" fillId="10" borderId="11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</cellXfs>
  <cellStyles count="2">
    <cellStyle name="Bình thường" xfId="0" builtinId="0"/>
    <cellStyle name="Hyperlink" xfId="1" xr:uid="{00000000-000B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SP7_1006!$J$1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SP7_1006!$I$2:$I$5</c:f>
              <c:strCache>
                <c:ptCount val="4"/>
                <c:pt idx="0">
                  <c:v>DOAN HUNG CUONG Specialist/(Part) DevOn R&amp;D</c:v>
                </c:pt>
                <c:pt idx="1">
                  <c:v>THAI ANH LAM Specialist/(Part) DevOn R&amp;D</c:v>
                </c:pt>
                <c:pt idx="2">
                  <c:v>NGUYEN DUC TAM Specialist/(Part) DevOn R&amp;D</c:v>
                </c:pt>
                <c:pt idx="3">
                  <c:v>TAO HOAI DUONG Professional/(Part) DevOn R&amp;D</c:v>
                </c:pt>
              </c:strCache>
            </c:strRef>
          </c:cat>
          <c:val>
            <c:numRef>
              <c:f>SP7_1006!$J$2:$J$5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2-4C8B-9F18-62F42286AA42}"/>
            </c:ext>
          </c:extLst>
        </c:ser>
        <c:ser>
          <c:idx val="1"/>
          <c:order val="1"/>
          <c:tx>
            <c:strRef>
              <c:f>SP7_1006!$K$1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SP7_1006!$I$2:$I$5</c:f>
              <c:strCache>
                <c:ptCount val="4"/>
                <c:pt idx="0">
                  <c:v>DOAN HUNG CUONG Specialist/(Part) DevOn R&amp;D</c:v>
                </c:pt>
                <c:pt idx="1">
                  <c:v>THAI ANH LAM Specialist/(Part) DevOn R&amp;D</c:v>
                </c:pt>
                <c:pt idx="2">
                  <c:v>NGUYEN DUC TAM Specialist/(Part) DevOn R&amp;D</c:v>
                </c:pt>
                <c:pt idx="3">
                  <c:v>TAO HOAI DUONG Professional/(Part) DevOn R&amp;D</c:v>
                </c:pt>
              </c:strCache>
            </c:strRef>
          </c:cat>
          <c:val>
            <c:numRef>
              <c:f>SP7_1006!$K$2:$K$5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B2-4C8B-9F18-62F42286A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030983"/>
        <c:axId val="428033031"/>
      </c:barChart>
      <c:lineChart>
        <c:grouping val="standard"/>
        <c:varyColors val="0"/>
        <c:ser>
          <c:idx val="2"/>
          <c:order val="2"/>
          <c:tx>
            <c:strRef>
              <c:f>SP7_1006!$L$1</c:f>
              <c:strCache>
                <c:ptCount val="1"/>
                <c:pt idx="0">
                  <c:v>In Checking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SP7_1006!$I$2:$I$5</c:f>
              <c:strCache>
                <c:ptCount val="4"/>
                <c:pt idx="0">
                  <c:v>DOAN HUNG CUONG Specialist/(Part) DevOn R&amp;D</c:v>
                </c:pt>
                <c:pt idx="1">
                  <c:v>THAI ANH LAM Specialist/(Part) DevOn R&amp;D</c:v>
                </c:pt>
                <c:pt idx="2">
                  <c:v>NGUYEN DUC TAM Specialist/(Part) DevOn R&amp;D</c:v>
                </c:pt>
                <c:pt idx="3">
                  <c:v>TAO HOAI DUONG Professional/(Part) DevOn R&amp;D</c:v>
                </c:pt>
              </c:strCache>
            </c:strRef>
          </c:cat>
          <c:val>
            <c:numRef>
              <c:f>SP7_1006!$L$2:$L$5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B2-4C8B-9F18-62F42286A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030983"/>
        <c:axId val="428033031"/>
      </c:lineChart>
      <c:catAx>
        <c:axId val="42803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33031"/>
        <c:crosses val="autoZero"/>
        <c:auto val="1"/>
        <c:lblAlgn val="ctr"/>
        <c:lblOffset val="100"/>
        <c:noMultiLvlLbl val="0"/>
      </c:catAx>
      <c:valAx>
        <c:axId val="428033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309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6</xdr:row>
      <xdr:rowOff>47625</xdr:rowOff>
    </xdr:from>
    <xdr:to>
      <xdr:col>18</xdr:col>
      <xdr:colOff>76200</xdr:colOff>
      <xdr:row>41</xdr:row>
      <xdr:rowOff>38100</xdr:rowOff>
    </xdr:to>
    <xdr:graphicFrame macro="">
      <xdr:nvGraphicFramePr>
        <xdr:cNvPr id="2" name="Biểu đồ 1">
          <a:extLst>
            <a:ext uri="{FF2B5EF4-FFF2-40B4-BE49-F238E27FC236}">
              <a16:creationId xmlns:a16="http://schemas.microsoft.com/office/drawing/2014/main" id="{7C4F2197-FF55-5ACE-6BFC-018032F60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19</xdr:col>
      <xdr:colOff>571500</xdr:colOff>
      <xdr:row>35</xdr:row>
      <xdr:rowOff>180975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29CE9B3F-0F6F-C63A-1612-EB1124DE5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"/>
          <a:ext cx="13982700" cy="676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ire.lgcns.com/confluence/display/SVBPS10180422/Step2.+cache%2C+log%2C+online-transaction%2C+transaction+control" TargetMode="External"/><Relationship Id="rId2" Type="http://schemas.openxmlformats.org/officeDocument/2006/relationships/hyperlink" Target="https://lgcns.sharepoint.com/:x:/r/sites/SolutionCoEGroup-1/_layouts/15/Doc.aspx?sourcedoc=%7BF6DDE3D3-61F4-45A7-9133-2D7FEBB76970%7D&amp;file=Plan%20T6.xlsx&amp;action=default&amp;mobileredirect=true" TargetMode="External"/><Relationship Id="rId1" Type="http://schemas.openxmlformats.org/officeDocument/2006/relationships/hyperlink" Target="https://lgcns-my.sharepoint.com/:x:/r/personal/linhlt_lgcns_com/_layouts/15/doc2.aspx?sourcedoc=%7B839D656F-5388-4071-9840-C3285FE839E0%7D&amp;file=Detail%20Task%20Phase2.xlsx&amp;fromShare=true&amp;action=default&amp;mobileredirect=true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ire.lgcns.com/jira/browse/DOE202504-2045" TargetMode="External"/><Relationship Id="rId117" Type="http://schemas.openxmlformats.org/officeDocument/2006/relationships/hyperlink" Target="https://wire.lgcns.com/jira/secure/ViewProfile.jspa?name=A101817" TargetMode="External"/><Relationship Id="rId21" Type="http://schemas.openxmlformats.org/officeDocument/2006/relationships/hyperlink" Target="https://wire.lgcns.com/jira/secure/ViewProfile.jspa?name=63200546" TargetMode="External"/><Relationship Id="rId42" Type="http://schemas.openxmlformats.org/officeDocument/2006/relationships/hyperlink" Target="https://wire.lgcns.com/jira/secure/ViewProfile.jspa?name=63200646" TargetMode="External"/><Relationship Id="rId47" Type="http://schemas.openxmlformats.org/officeDocument/2006/relationships/hyperlink" Target="https://wire.lgcns.com/jira/browse/DOE202504-2056" TargetMode="External"/><Relationship Id="rId63" Type="http://schemas.openxmlformats.org/officeDocument/2006/relationships/hyperlink" Target="https://wire.lgcns.com/jira/secure/ViewProfile.jspa?name=A101817" TargetMode="External"/><Relationship Id="rId68" Type="http://schemas.openxmlformats.org/officeDocument/2006/relationships/hyperlink" Target="https://wire.lgcns.com/jira/browse/DOE202504-2064" TargetMode="External"/><Relationship Id="rId84" Type="http://schemas.openxmlformats.org/officeDocument/2006/relationships/hyperlink" Target="https://wire.lgcns.com/jira/secure/ViewProfile.jspa?name=63200125" TargetMode="External"/><Relationship Id="rId89" Type="http://schemas.openxmlformats.org/officeDocument/2006/relationships/hyperlink" Target="https://wire.lgcns.com/jira/browse/DOE202504-2072" TargetMode="External"/><Relationship Id="rId112" Type="http://schemas.openxmlformats.org/officeDocument/2006/relationships/hyperlink" Target="https://wire.lgcns.com/jira/secure/ViewProfile.jspa?name=63200125" TargetMode="External"/><Relationship Id="rId16" Type="http://schemas.openxmlformats.org/officeDocument/2006/relationships/hyperlink" Target="https://wire.lgcns.com/jira/browse/DOE202504-2040" TargetMode="External"/><Relationship Id="rId107" Type="http://schemas.openxmlformats.org/officeDocument/2006/relationships/hyperlink" Target="https://wire.lgcns.com/jira/browse/DOE202504-2097" TargetMode="External"/><Relationship Id="rId11" Type="http://schemas.openxmlformats.org/officeDocument/2006/relationships/hyperlink" Target="https://wire.lgcns.com/jira/browse/DOE202504-2038" TargetMode="External"/><Relationship Id="rId32" Type="http://schemas.openxmlformats.org/officeDocument/2006/relationships/hyperlink" Target="https://wire.lgcns.com/jira/browse/DOE202504-2049" TargetMode="External"/><Relationship Id="rId37" Type="http://schemas.openxmlformats.org/officeDocument/2006/relationships/hyperlink" Target="https://wire.lgcns.com/jira/browse/DOE202504-2052" TargetMode="External"/><Relationship Id="rId53" Type="http://schemas.openxmlformats.org/officeDocument/2006/relationships/hyperlink" Target="https://wire.lgcns.com/jira/browse/DOE202504-2058" TargetMode="External"/><Relationship Id="rId58" Type="http://schemas.openxmlformats.org/officeDocument/2006/relationships/hyperlink" Target="https://wire.lgcns.com/jira/browse/DOE202504-2060" TargetMode="External"/><Relationship Id="rId74" Type="http://schemas.openxmlformats.org/officeDocument/2006/relationships/hyperlink" Target="https://wire.lgcns.com/jira/browse/DOE202504-2066" TargetMode="External"/><Relationship Id="rId79" Type="http://schemas.openxmlformats.org/officeDocument/2006/relationships/hyperlink" Target="https://wire.lgcns.com/jira/browse/DOE202504-2068" TargetMode="External"/><Relationship Id="rId102" Type="http://schemas.openxmlformats.org/officeDocument/2006/relationships/hyperlink" Target="https://wire.lgcns.com/jira/secure/ViewProfile.jspa?name=63200546" TargetMode="External"/><Relationship Id="rId5" Type="http://schemas.openxmlformats.org/officeDocument/2006/relationships/hyperlink" Target="https://wire.lgcns.com/jira/browse/DOE202504-2033" TargetMode="External"/><Relationship Id="rId90" Type="http://schemas.openxmlformats.org/officeDocument/2006/relationships/hyperlink" Target="https://wire.lgcns.com/jira/secure/ViewProfile.jspa?name=63200546" TargetMode="External"/><Relationship Id="rId95" Type="http://schemas.openxmlformats.org/officeDocument/2006/relationships/hyperlink" Target="https://wire.lgcns.com/jira/browse/DOE202504-2087" TargetMode="External"/><Relationship Id="rId22" Type="http://schemas.openxmlformats.org/officeDocument/2006/relationships/hyperlink" Target="https://wire.lgcns.com/jira/browse/DOE202504-2044" TargetMode="External"/><Relationship Id="rId27" Type="http://schemas.openxmlformats.org/officeDocument/2006/relationships/hyperlink" Target="https://wire.lgcns.com/jira/secure/ViewProfile.jspa?name=A101817" TargetMode="External"/><Relationship Id="rId43" Type="http://schemas.openxmlformats.org/officeDocument/2006/relationships/hyperlink" Target="https://wire.lgcns.com/jira/browse/DOE202504-2055" TargetMode="External"/><Relationship Id="rId48" Type="http://schemas.openxmlformats.org/officeDocument/2006/relationships/hyperlink" Target="https://wire.lgcns.com/jira/secure/ViewProfile.jspa?name=63200646" TargetMode="External"/><Relationship Id="rId64" Type="http://schemas.openxmlformats.org/officeDocument/2006/relationships/hyperlink" Target="https://wire.lgcns.com/jira/browse/DOE202504-2063" TargetMode="External"/><Relationship Id="rId69" Type="http://schemas.openxmlformats.org/officeDocument/2006/relationships/hyperlink" Target="https://wire.lgcns.com/jira/secure/ViewProfile.jspa?name=63200200" TargetMode="External"/><Relationship Id="rId113" Type="http://schemas.openxmlformats.org/officeDocument/2006/relationships/hyperlink" Target="https://wire.lgcns.com/jira/secure/ViewProfile.jspa?name=63200200" TargetMode="External"/><Relationship Id="rId118" Type="http://schemas.openxmlformats.org/officeDocument/2006/relationships/hyperlink" Target="https://wire.lgcns.com/jira/secure/ViewProfile.jspa?name=63200546" TargetMode="External"/><Relationship Id="rId80" Type="http://schemas.openxmlformats.org/officeDocument/2006/relationships/hyperlink" Target="https://wire.lgcns.com/jira/browse/DOE202504-2068" TargetMode="External"/><Relationship Id="rId85" Type="http://schemas.openxmlformats.org/officeDocument/2006/relationships/hyperlink" Target="https://wire.lgcns.com/jira/browse/DOE202504-2070" TargetMode="External"/><Relationship Id="rId12" Type="http://schemas.openxmlformats.org/officeDocument/2006/relationships/hyperlink" Target="https://wire.lgcns.com/jira/secure/ViewProfile.jspa?name=63200652" TargetMode="External"/><Relationship Id="rId17" Type="http://schemas.openxmlformats.org/officeDocument/2006/relationships/hyperlink" Target="https://wire.lgcns.com/jira/browse/DOE202504-2040" TargetMode="External"/><Relationship Id="rId33" Type="http://schemas.openxmlformats.org/officeDocument/2006/relationships/hyperlink" Target="https://wire.lgcns.com/jira/secure/ViewProfile.jspa?name=63200646" TargetMode="External"/><Relationship Id="rId38" Type="http://schemas.openxmlformats.org/officeDocument/2006/relationships/hyperlink" Target="https://wire.lgcns.com/jira/browse/DOE202504-2052" TargetMode="External"/><Relationship Id="rId59" Type="http://schemas.openxmlformats.org/officeDocument/2006/relationships/hyperlink" Target="https://wire.lgcns.com/jira/browse/DOE202504-2060" TargetMode="External"/><Relationship Id="rId103" Type="http://schemas.openxmlformats.org/officeDocument/2006/relationships/hyperlink" Target="https://wire.lgcns.com/jira/browse/DOE202504-2096" TargetMode="External"/><Relationship Id="rId108" Type="http://schemas.openxmlformats.org/officeDocument/2006/relationships/hyperlink" Target="https://wire.lgcns.com/jira/secure/ViewProfile.jspa?name=63200646" TargetMode="External"/><Relationship Id="rId54" Type="http://schemas.openxmlformats.org/officeDocument/2006/relationships/hyperlink" Target="https://wire.lgcns.com/jira/secure/ViewProfile.jspa?name=63200631" TargetMode="External"/><Relationship Id="rId70" Type="http://schemas.openxmlformats.org/officeDocument/2006/relationships/hyperlink" Target="https://wire.lgcns.com/jira/browse/DOE202504-2065" TargetMode="External"/><Relationship Id="rId75" Type="http://schemas.openxmlformats.org/officeDocument/2006/relationships/hyperlink" Target="https://wire.lgcns.com/jira/secure/ViewProfile.jspa?name=A101817" TargetMode="External"/><Relationship Id="rId91" Type="http://schemas.openxmlformats.org/officeDocument/2006/relationships/hyperlink" Target="https://wire.lgcns.com/jira/browse/DOE202504-2086" TargetMode="External"/><Relationship Id="rId96" Type="http://schemas.openxmlformats.org/officeDocument/2006/relationships/hyperlink" Target="https://wire.lgcns.com/jira/secure/ViewProfile.jspa?name=63200646" TargetMode="External"/><Relationship Id="rId1" Type="http://schemas.openxmlformats.org/officeDocument/2006/relationships/hyperlink" Target="https://wire.lgcns.com/jira/browse/DOE202504-2026" TargetMode="External"/><Relationship Id="rId6" Type="http://schemas.openxmlformats.org/officeDocument/2006/relationships/hyperlink" Target="https://wire.lgcns.com/jira/secure/ViewProfile.jspa?name=79899" TargetMode="External"/><Relationship Id="rId23" Type="http://schemas.openxmlformats.org/officeDocument/2006/relationships/hyperlink" Target="https://wire.lgcns.com/jira/browse/DOE202504-2044" TargetMode="External"/><Relationship Id="rId28" Type="http://schemas.openxmlformats.org/officeDocument/2006/relationships/hyperlink" Target="https://wire.lgcns.com/jira/browse/DOE202504-2046" TargetMode="External"/><Relationship Id="rId49" Type="http://schemas.openxmlformats.org/officeDocument/2006/relationships/hyperlink" Target="https://wire.lgcns.com/jira/browse/DOE202504-2057" TargetMode="External"/><Relationship Id="rId114" Type="http://schemas.openxmlformats.org/officeDocument/2006/relationships/hyperlink" Target="https://wire.lgcns.com/jira/secure/ViewProfile.jspa?name=63200646" TargetMode="External"/><Relationship Id="rId119" Type="http://schemas.openxmlformats.org/officeDocument/2006/relationships/hyperlink" Target="https://wire.lgcns.com/jira/secure/ViewProfile.jspa?name=63200652" TargetMode="External"/><Relationship Id="rId44" Type="http://schemas.openxmlformats.org/officeDocument/2006/relationships/hyperlink" Target="https://wire.lgcns.com/jira/browse/DOE202504-2055" TargetMode="External"/><Relationship Id="rId60" Type="http://schemas.openxmlformats.org/officeDocument/2006/relationships/hyperlink" Target="https://wire.lgcns.com/jira/secure/ViewProfile.jspa?name=63200646" TargetMode="External"/><Relationship Id="rId65" Type="http://schemas.openxmlformats.org/officeDocument/2006/relationships/hyperlink" Target="https://wire.lgcns.com/jira/browse/DOE202504-2063" TargetMode="External"/><Relationship Id="rId81" Type="http://schemas.openxmlformats.org/officeDocument/2006/relationships/hyperlink" Target="https://wire.lgcns.com/jira/secure/ViewProfile.jspa?name=63200125" TargetMode="External"/><Relationship Id="rId86" Type="http://schemas.openxmlformats.org/officeDocument/2006/relationships/hyperlink" Target="https://wire.lgcns.com/jira/browse/DOE202504-2070" TargetMode="External"/><Relationship Id="rId4" Type="http://schemas.openxmlformats.org/officeDocument/2006/relationships/hyperlink" Target="https://wire.lgcns.com/jira/browse/DOE202504-2033" TargetMode="External"/><Relationship Id="rId9" Type="http://schemas.openxmlformats.org/officeDocument/2006/relationships/hyperlink" Target="https://wire.lgcns.com/jira/secure/ViewProfile.jspa?name=79899" TargetMode="External"/><Relationship Id="rId13" Type="http://schemas.openxmlformats.org/officeDocument/2006/relationships/hyperlink" Target="https://wire.lgcns.com/jira/browse/DOE202504-2039" TargetMode="External"/><Relationship Id="rId18" Type="http://schemas.openxmlformats.org/officeDocument/2006/relationships/hyperlink" Target="https://wire.lgcns.com/jira/secure/ViewProfile.jspa?name=63200546" TargetMode="External"/><Relationship Id="rId39" Type="http://schemas.openxmlformats.org/officeDocument/2006/relationships/hyperlink" Target="https://wire.lgcns.com/jira/secure/ViewProfile.jspa?name=63200646" TargetMode="External"/><Relationship Id="rId109" Type="http://schemas.openxmlformats.org/officeDocument/2006/relationships/hyperlink" Target="https://wire.lgcns.com/jira/secure/ViewProfile.jspa?name=63200200" TargetMode="External"/><Relationship Id="rId34" Type="http://schemas.openxmlformats.org/officeDocument/2006/relationships/hyperlink" Target="https://wire.lgcns.com/jira/browse/DOE202504-2051" TargetMode="External"/><Relationship Id="rId50" Type="http://schemas.openxmlformats.org/officeDocument/2006/relationships/hyperlink" Target="https://wire.lgcns.com/jira/browse/DOE202504-2057" TargetMode="External"/><Relationship Id="rId55" Type="http://schemas.openxmlformats.org/officeDocument/2006/relationships/hyperlink" Target="https://wire.lgcns.com/jira/browse/DOE202504-2059" TargetMode="External"/><Relationship Id="rId76" Type="http://schemas.openxmlformats.org/officeDocument/2006/relationships/hyperlink" Target="https://wire.lgcns.com/jira/browse/DOE202504-2067" TargetMode="External"/><Relationship Id="rId97" Type="http://schemas.openxmlformats.org/officeDocument/2006/relationships/hyperlink" Target="https://wire.lgcns.com/jira/browse/DOE202504-2088" TargetMode="External"/><Relationship Id="rId104" Type="http://schemas.openxmlformats.org/officeDocument/2006/relationships/hyperlink" Target="https://wire.lgcns.com/jira/browse/DOE202504-2096" TargetMode="External"/><Relationship Id="rId120" Type="http://schemas.openxmlformats.org/officeDocument/2006/relationships/hyperlink" Target="https://wire.lgcns.com/jira/secure/ViewProfile.jspa?name=79899" TargetMode="External"/><Relationship Id="rId7" Type="http://schemas.openxmlformats.org/officeDocument/2006/relationships/hyperlink" Target="https://wire.lgcns.com/jira/browse/DOE202504-2035" TargetMode="External"/><Relationship Id="rId71" Type="http://schemas.openxmlformats.org/officeDocument/2006/relationships/hyperlink" Target="https://wire.lgcns.com/jira/browse/DOE202504-2065" TargetMode="External"/><Relationship Id="rId92" Type="http://schemas.openxmlformats.org/officeDocument/2006/relationships/hyperlink" Target="https://wire.lgcns.com/jira/browse/DOE202504-2086" TargetMode="External"/><Relationship Id="rId2" Type="http://schemas.openxmlformats.org/officeDocument/2006/relationships/hyperlink" Target="https://wire.lgcns.com/jira/browse/DOE202504-2026" TargetMode="External"/><Relationship Id="rId29" Type="http://schemas.openxmlformats.org/officeDocument/2006/relationships/hyperlink" Target="https://wire.lgcns.com/jira/browse/DOE202504-2046" TargetMode="External"/><Relationship Id="rId24" Type="http://schemas.openxmlformats.org/officeDocument/2006/relationships/hyperlink" Target="https://wire.lgcns.com/jira/secure/ViewProfile.jspa?name=63200200" TargetMode="External"/><Relationship Id="rId40" Type="http://schemas.openxmlformats.org/officeDocument/2006/relationships/hyperlink" Target="https://wire.lgcns.com/jira/browse/DOE202504-2053" TargetMode="External"/><Relationship Id="rId45" Type="http://schemas.openxmlformats.org/officeDocument/2006/relationships/hyperlink" Target="https://wire.lgcns.com/jira/secure/ViewProfile.jspa?name=63200631" TargetMode="External"/><Relationship Id="rId66" Type="http://schemas.openxmlformats.org/officeDocument/2006/relationships/hyperlink" Target="https://wire.lgcns.com/jira/secure/ViewProfile.jspa?name=63200200" TargetMode="External"/><Relationship Id="rId87" Type="http://schemas.openxmlformats.org/officeDocument/2006/relationships/hyperlink" Target="https://wire.lgcns.com/jira/secure/ViewProfile.jspa?name=A101817" TargetMode="External"/><Relationship Id="rId110" Type="http://schemas.openxmlformats.org/officeDocument/2006/relationships/hyperlink" Target="https://wire.lgcns.com/jira/secure/ViewProfile.jspa?name=63200646" TargetMode="External"/><Relationship Id="rId115" Type="http://schemas.openxmlformats.org/officeDocument/2006/relationships/hyperlink" Target="https://wire.lgcns.com/jira/secure/ViewProfile.jspa?name=63200631" TargetMode="External"/><Relationship Id="rId61" Type="http://schemas.openxmlformats.org/officeDocument/2006/relationships/hyperlink" Target="https://wire.lgcns.com/jira/browse/DOE202504-2062" TargetMode="External"/><Relationship Id="rId82" Type="http://schemas.openxmlformats.org/officeDocument/2006/relationships/hyperlink" Target="https://wire.lgcns.com/jira/browse/DOE202504-2069" TargetMode="External"/><Relationship Id="rId19" Type="http://schemas.openxmlformats.org/officeDocument/2006/relationships/hyperlink" Target="https://wire.lgcns.com/jira/browse/DOE202504-2043" TargetMode="External"/><Relationship Id="rId14" Type="http://schemas.openxmlformats.org/officeDocument/2006/relationships/hyperlink" Target="https://wire.lgcns.com/jira/browse/DOE202504-2039" TargetMode="External"/><Relationship Id="rId30" Type="http://schemas.openxmlformats.org/officeDocument/2006/relationships/hyperlink" Target="https://wire.lgcns.com/jira/secure/ViewProfile.jspa?name=A101817" TargetMode="External"/><Relationship Id="rId35" Type="http://schemas.openxmlformats.org/officeDocument/2006/relationships/hyperlink" Target="https://wire.lgcns.com/jira/browse/DOE202504-2051" TargetMode="External"/><Relationship Id="rId56" Type="http://schemas.openxmlformats.org/officeDocument/2006/relationships/hyperlink" Target="https://wire.lgcns.com/jira/browse/DOE202504-2059" TargetMode="External"/><Relationship Id="rId77" Type="http://schemas.openxmlformats.org/officeDocument/2006/relationships/hyperlink" Target="https://wire.lgcns.com/jira/browse/DOE202504-2067" TargetMode="External"/><Relationship Id="rId100" Type="http://schemas.openxmlformats.org/officeDocument/2006/relationships/hyperlink" Target="https://wire.lgcns.com/jira/browse/DOE202504-2093" TargetMode="External"/><Relationship Id="rId105" Type="http://schemas.openxmlformats.org/officeDocument/2006/relationships/hyperlink" Target="https://wire.lgcns.com/jira/secure/ViewProfile.jspa?name=63200646" TargetMode="External"/><Relationship Id="rId8" Type="http://schemas.openxmlformats.org/officeDocument/2006/relationships/hyperlink" Target="https://wire.lgcns.com/jira/browse/DOE202504-2035" TargetMode="External"/><Relationship Id="rId51" Type="http://schemas.openxmlformats.org/officeDocument/2006/relationships/hyperlink" Target="https://wire.lgcns.com/jira/secure/ViewProfile.jspa?name=A101817" TargetMode="External"/><Relationship Id="rId72" Type="http://schemas.openxmlformats.org/officeDocument/2006/relationships/hyperlink" Target="https://wire.lgcns.com/jira/secure/ViewProfile.jspa?name=63200200" TargetMode="External"/><Relationship Id="rId93" Type="http://schemas.openxmlformats.org/officeDocument/2006/relationships/hyperlink" Target="https://wire.lgcns.com/jira/secure/ViewProfile.jspa?name=63200631" TargetMode="External"/><Relationship Id="rId98" Type="http://schemas.openxmlformats.org/officeDocument/2006/relationships/hyperlink" Target="https://wire.lgcns.com/jira/browse/DOE202504-2088" TargetMode="External"/><Relationship Id="rId121" Type="http://schemas.openxmlformats.org/officeDocument/2006/relationships/drawing" Target="../drawings/drawing1.xml"/><Relationship Id="rId3" Type="http://schemas.openxmlformats.org/officeDocument/2006/relationships/hyperlink" Target="https://wire.lgcns.com/jira/secure/ViewProfile.jspa?name=63200546" TargetMode="External"/><Relationship Id="rId25" Type="http://schemas.openxmlformats.org/officeDocument/2006/relationships/hyperlink" Target="https://wire.lgcns.com/jira/browse/DOE202504-2045" TargetMode="External"/><Relationship Id="rId46" Type="http://schemas.openxmlformats.org/officeDocument/2006/relationships/hyperlink" Target="https://wire.lgcns.com/jira/browse/DOE202504-2056" TargetMode="External"/><Relationship Id="rId67" Type="http://schemas.openxmlformats.org/officeDocument/2006/relationships/hyperlink" Target="https://wire.lgcns.com/jira/browse/DOE202504-2064" TargetMode="External"/><Relationship Id="rId116" Type="http://schemas.openxmlformats.org/officeDocument/2006/relationships/hyperlink" Target="https://wire.lgcns.com/jira/secure/ViewProfile.jspa?name=63200125" TargetMode="External"/><Relationship Id="rId20" Type="http://schemas.openxmlformats.org/officeDocument/2006/relationships/hyperlink" Target="https://wire.lgcns.com/jira/browse/DOE202504-2043" TargetMode="External"/><Relationship Id="rId41" Type="http://schemas.openxmlformats.org/officeDocument/2006/relationships/hyperlink" Target="https://wire.lgcns.com/jira/browse/DOE202504-2053" TargetMode="External"/><Relationship Id="rId62" Type="http://schemas.openxmlformats.org/officeDocument/2006/relationships/hyperlink" Target="https://wire.lgcns.com/jira/browse/DOE202504-2062" TargetMode="External"/><Relationship Id="rId83" Type="http://schemas.openxmlformats.org/officeDocument/2006/relationships/hyperlink" Target="https://wire.lgcns.com/jira/browse/DOE202504-2069" TargetMode="External"/><Relationship Id="rId88" Type="http://schemas.openxmlformats.org/officeDocument/2006/relationships/hyperlink" Target="https://wire.lgcns.com/jira/browse/DOE202504-2072" TargetMode="External"/><Relationship Id="rId111" Type="http://schemas.openxmlformats.org/officeDocument/2006/relationships/hyperlink" Target="https://wire.lgcns.com/jira/secure/ViewProfile.jspa?name=63200631" TargetMode="External"/><Relationship Id="rId15" Type="http://schemas.openxmlformats.org/officeDocument/2006/relationships/hyperlink" Target="https://wire.lgcns.com/jira/secure/ViewProfile.jspa?name=63200546" TargetMode="External"/><Relationship Id="rId36" Type="http://schemas.openxmlformats.org/officeDocument/2006/relationships/hyperlink" Target="https://wire.lgcns.com/jira/secure/ViewProfile.jspa?name=63200631" TargetMode="External"/><Relationship Id="rId57" Type="http://schemas.openxmlformats.org/officeDocument/2006/relationships/hyperlink" Target="https://wire.lgcns.com/jira/secure/ViewProfile.jspa?name=63200631" TargetMode="External"/><Relationship Id="rId106" Type="http://schemas.openxmlformats.org/officeDocument/2006/relationships/hyperlink" Target="https://wire.lgcns.com/jira/browse/DOE202504-2097" TargetMode="External"/><Relationship Id="rId10" Type="http://schemas.openxmlformats.org/officeDocument/2006/relationships/hyperlink" Target="https://wire.lgcns.com/jira/browse/DOE202504-2038" TargetMode="External"/><Relationship Id="rId31" Type="http://schemas.openxmlformats.org/officeDocument/2006/relationships/hyperlink" Target="https://wire.lgcns.com/jira/browse/DOE202504-2049" TargetMode="External"/><Relationship Id="rId52" Type="http://schemas.openxmlformats.org/officeDocument/2006/relationships/hyperlink" Target="https://wire.lgcns.com/jira/browse/DOE202504-2058" TargetMode="External"/><Relationship Id="rId73" Type="http://schemas.openxmlformats.org/officeDocument/2006/relationships/hyperlink" Target="https://wire.lgcns.com/jira/browse/DOE202504-2066" TargetMode="External"/><Relationship Id="rId78" Type="http://schemas.openxmlformats.org/officeDocument/2006/relationships/hyperlink" Target="https://wire.lgcns.com/jira/secure/ViewProfile.jspa?name=63200646" TargetMode="External"/><Relationship Id="rId94" Type="http://schemas.openxmlformats.org/officeDocument/2006/relationships/hyperlink" Target="https://wire.lgcns.com/jira/browse/DOE202504-2087" TargetMode="External"/><Relationship Id="rId99" Type="http://schemas.openxmlformats.org/officeDocument/2006/relationships/hyperlink" Target="https://wire.lgcns.com/jira/secure/ViewProfile.jspa?name=79899" TargetMode="External"/><Relationship Id="rId101" Type="http://schemas.openxmlformats.org/officeDocument/2006/relationships/hyperlink" Target="https://wire.lgcns.com/jira/browse/DOE202504-209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ca://s?q=Sinh_phi%E1%BA%BFu_thu_v%C3%A0_QR_code_thanh_to%C3%A1n" TargetMode="External"/><Relationship Id="rId13" Type="http://schemas.openxmlformats.org/officeDocument/2006/relationships/hyperlink" Target="ca://s?q=Ki%E1%BB%83m_m%E1%BA%ABu_trong_x%C3%A9t_nghi%E1%BB%87m" TargetMode="External"/><Relationship Id="rId18" Type="http://schemas.openxmlformats.org/officeDocument/2006/relationships/hyperlink" Target="ca://s?q=Ph%C3%AA_duy%E1%BB%87t_k%E1%BA%BFt_qu%E1%BA%A3_x%C3%A9t_nghi%E1%BB%87m" TargetMode="External"/><Relationship Id="rId3" Type="http://schemas.openxmlformats.org/officeDocument/2006/relationships/hyperlink" Target="ca://s?q=Qu%E1%BA%A3n_l%C3%BD_kh%C3%A1ch_h%C3%A0ng_trong_Vettech" TargetMode="External"/><Relationship Id="rId7" Type="http://schemas.openxmlformats.org/officeDocument/2006/relationships/hyperlink" Target="ca://s?q=Ki%E1%BB%83m_so%C3%A1t_tr%E1%BA%A1ng_th%C3%A1i_c%C3%B4ng_n%E1%BB%A3" TargetMode="External"/><Relationship Id="rId12" Type="http://schemas.openxmlformats.org/officeDocument/2006/relationships/hyperlink" Target="ca://s?q=V%E1%BA%ADn_chuy%E1%BB%83n_m%E1%BA%ABu_x%C3%A9t_nghi%E1%BB%87m" TargetMode="External"/><Relationship Id="rId17" Type="http://schemas.openxmlformats.org/officeDocument/2006/relationships/hyperlink" Target="ca://s?q=%C4%90%C3%A1nh_gi%C3%A1_k%E1%BA%BFt_qu%E1%BA%A3_x%C3%A9t_nghi%E1%BB%87m" TargetMode="External"/><Relationship Id="rId2" Type="http://schemas.openxmlformats.org/officeDocument/2006/relationships/hyperlink" Target="ca://s?q=Kh%E1%BB%9Fi_t%E1%BA%A1o_kh%C3%A1ch_h%C3%A0ng_trong_Vettech" TargetMode="External"/><Relationship Id="rId16" Type="http://schemas.openxmlformats.org/officeDocument/2006/relationships/hyperlink" Target="ca://s?q=Th%E1%BB%B1c_hi%E1%BB%87n_x%C3%A9t_nghi%E1%BB%87m" TargetMode="External"/><Relationship Id="rId20" Type="http://schemas.openxmlformats.org/officeDocument/2006/relationships/hyperlink" Target="ca://s?q=Qu%E1%BA%A3n_l%C3%BD_x%C3%A9t_nghi%E1%BB%87m_trong_Vettech" TargetMode="External"/><Relationship Id="rId1" Type="http://schemas.openxmlformats.org/officeDocument/2006/relationships/hyperlink" Target="ca://s?q=Ch%E1%BB%A9c_n%C4%83ng_%C4%90%C4%83ng_nh%E1%BA%ADp_trong_Vettech" TargetMode="External"/><Relationship Id="rId6" Type="http://schemas.openxmlformats.org/officeDocument/2006/relationships/hyperlink" Target="ca://s?q=Ghi_nh%E1%BA%ADn_chi_ph%C3%AD_t%E1%BB%B1_%C4%91%E1%BB%99ng" TargetMode="External"/><Relationship Id="rId11" Type="http://schemas.openxmlformats.org/officeDocument/2006/relationships/hyperlink" Target="ca://s?q=%C4%90%C4%83ng_k%C3%BD_m%E1%BA%ABu_x%C3%A9t_nghi%E1%BB%87m" TargetMode="External"/><Relationship Id="rId5" Type="http://schemas.openxmlformats.org/officeDocument/2006/relationships/hyperlink" Target="ca://s?q=Qu%E1%BA%A3n_l%C3%BD_th%C3%BA_y_trong_Vettech" TargetMode="External"/><Relationship Id="rId15" Type="http://schemas.openxmlformats.org/officeDocument/2006/relationships/hyperlink" Target="ca://s?q=X%E1%BB%AD_l%C3%BD_m%E1%BA%ABu_trong_x%C3%A9t_nghi%E1%BB%87m" TargetMode="External"/><Relationship Id="rId10" Type="http://schemas.openxmlformats.org/officeDocument/2006/relationships/hyperlink" Target="ca://s?q=B%C3%A1o_c%C3%A1o_%C4%91%E1%BB%91i_so%C3%A1t_c%C3%B4ng_n%E1%BB%A3" TargetMode="External"/><Relationship Id="rId19" Type="http://schemas.openxmlformats.org/officeDocument/2006/relationships/hyperlink" Target="ca://s?q=G%E1%BB%ADi_k%E1%BA%BFt_qu%E1%BA%A3_x%C3%A9t_nghi%E1%BB%87m" TargetMode="External"/><Relationship Id="rId4" Type="http://schemas.openxmlformats.org/officeDocument/2006/relationships/hyperlink" Target="ca://s?q=Qu%E1%BA%A3n_l%C3%BD_nh%C3%B3m_kh%C3%A1ch_h%C3%A0ng" TargetMode="External"/><Relationship Id="rId9" Type="http://schemas.openxmlformats.org/officeDocument/2006/relationships/hyperlink" Target="ca://s?q=Ghi_g%E1%BA%A1ch_n%E1%BB%A3_t%E1%BB%B1_%C4%91%E1%BB%99ng" TargetMode="External"/><Relationship Id="rId14" Type="http://schemas.openxmlformats.org/officeDocument/2006/relationships/hyperlink" Target="ca://s?q=Ph%C3%A2n_nh%C3%B3m_x%C3%A9t_nghi%E1%BB%87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841D-6122-46A7-AE5E-2E6BD9564986}">
  <dimension ref="A1:AB39"/>
  <sheetViews>
    <sheetView workbookViewId="0">
      <selection activeCell="R25" sqref="R25"/>
    </sheetView>
  </sheetViews>
  <sheetFormatPr defaultRowHeight="18.75"/>
  <cols>
    <col min="1" max="1" width="7" style="7" customWidth="1"/>
    <col min="2" max="2" width="72.5703125" style="7" customWidth="1"/>
    <col min="3" max="3" width="12.28515625" style="7" customWidth="1"/>
    <col min="4" max="4" width="9.7109375" style="7" customWidth="1"/>
    <col min="5" max="5" width="49.7109375" style="7" customWidth="1"/>
    <col min="6" max="7" width="10.85546875" style="7" customWidth="1"/>
    <col min="8" max="8" width="40" style="7" customWidth="1"/>
    <col min="9" max="9" width="11.42578125" style="7" customWidth="1"/>
    <col min="10" max="10" width="10" style="7" customWidth="1"/>
    <col min="11" max="11" width="45.42578125" style="7" customWidth="1"/>
    <col min="12" max="13" width="11.140625" style="7" customWidth="1"/>
    <col min="14" max="14" width="38" style="7" customWidth="1"/>
    <col min="15" max="15" width="11.42578125" style="7" customWidth="1"/>
    <col min="16" max="16" width="15" style="7" bestFit="1" customWidth="1"/>
    <col min="17" max="24" width="9.140625" style="7"/>
    <col min="25" max="25" width="32.5703125" style="7" customWidth="1"/>
    <col min="26" max="26" width="43.7109375" style="7" customWidth="1"/>
    <col min="27" max="27" width="9.140625" style="7"/>
    <col min="28" max="28" width="48.85546875" style="7" customWidth="1"/>
    <col min="29" max="16384" width="9.140625" style="7"/>
  </cols>
  <sheetData>
    <row r="1" spans="1:28">
      <c r="A1" s="2"/>
      <c r="B1" s="2" t="s">
        <v>0</v>
      </c>
      <c r="C1" s="3" t="s">
        <v>1</v>
      </c>
      <c r="D1" s="2" t="s">
        <v>2</v>
      </c>
      <c r="E1" s="2" t="s">
        <v>0</v>
      </c>
      <c r="F1" s="4" t="s">
        <v>1</v>
      </c>
      <c r="G1" s="2" t="s">
        <v>3</v>
      </c>
      <c r="H1" s="2" t="s">
        <v>0</v>
      </c>
      <c r="I1" s="5" t="s">
        <v>1</v>
      </c>
      <c r="J1" s="2" t="s">
        <v>4</v>
      </c>
      <c r="K1" s="2" t="s">
        <v>0</v>
      </c>
      <c r="L1" s="5" t="s">
        <v>1</v>
      </c>
      <c r="M1" s="2" t="s">
        <v>5</v>
      </c>
      <c r="N1" s="2" t="s">
        <v>0</v>
      </c>
      <c r="O1" s="6" t="s">
        <v>1</v>
      </c>
    </row>
    <row r="2" spans="1:28">
      <c r="A2" s="106" t="s">
        <v>6</v>
      </c>
      <c r="B2" s="8" t="s">
        <v>7</v>
      </c>
      <c r="C2" s="8" t="s">
        <v>8</v>
      </c>
      <c r="D2" s="109" t="s">
        <v>9</v>
      </c>
      <c r="E2" s="9" t="s">
        <v>10</v>
      </c>
      <c r="F2" s="9" t="s">
        <v>8</v>
      </c>
      <c r="G2" s="112" t="s">
        <v>11</v>
      </c>
      <c r="H2" s="8" t="s">
        <v>12</v>
      </c>
      <c r="I2" s="8"/>
      <c r="J2" s="109" t="s">
        <v>13</v>
      </c>
      <c r="K2" s="9" t="s">
        <v>12</v>
      </c>
      <c r="L2" s="9" t="s">
        <v>8</v>
      </c>
      <c r="M2" s="115" t="s">
        <v>14</v>
      </c>
      <c r="N2" s="8" t="s">
        <v>12</v>
      </c>
      <c r="O2" s="8"/>
      <c r="X2" s="8"/>
      <c r="Y2" s="8" t="s">
        <v>15</v>
      </c>
      <c r="Z2" s="8"/>
    </row>
    <row r="3" spans="1:28">
      <c r="A3" s="107"/>
      <c r="B3" s="8" t="s">
        <v>12</v>
      </c>
      <c r="C3" s="8" t="s">
        <v>8</v>
      </c>
      <c r="D3" s="110"/>
      <c r="E3" s="9" t="s">
        <v>12</v>
      </c>
      <c r="F3" s="9" t="s">
        <v>8</v>
      </c>
      <c r="G3" s="113"/>
      <c r="H3" s="8" t="s">
        <v>16</v>
      </c>
      <c r="I3" s="8"/>
      <c r="J3" s="110"/>
      <c r="K3" s="9" t="s">
        <v>16</v>
      </c>
      <c r="L3" s="9" t="s">
        <v>8</v>
      </c>
      <c r="M3" s="116"/>
      <c r="N3" s="8" t="s">
        <v>16</v>
      </c>
      <c r="O3" s="8"/>
      <c r="X3" s="8" t="s">
        <v>6</v>
      </c>
      <c r="Y3" s="8" t="s">
        <v>17</v>
      </c>
      <c r="Z3" s="8" t="s">
        <v>18</v>
      </c>
    </row>
    <row r="4" spans="1:28">
      <c r="A4" s="107"/>
      <c r="B4" s="8" t="s">
        <v>16</v>
      </c>
      <c r="C4" s="8" t="s">
        <v>8</v>
      </c>
      <c r="D4" s="110"/>
      <c r="E4" s="9" t="s">
        <v>16</v>
      </c>
      <c r="F4" s="9"/>
      <c r="G4" s="113"/>
      <c r="H4" s="8" t="s">
        <v>19</v>
      </c>
      <c r="I4" s="8"/>
      <c r="J4" s="110"/>
      <c r="K4" s="9" t="s">
        <v>19</v>
      </c>
      <c r="L4" s="9" t="s">
        <v>8</v>
      </c>
      <c r="M4" s="116"/>
      <c r="N4" s="8" t="s">
        <v>19</v>
      </c>
      <c r="O4" s="8"/>
      <c r="X4" s="11" t="s">
        <v>9</v>
      </c>
      <c r="Y4" s="11" t="s">
        <v>20</v>
      </c>
      <c r="Z4" s="11" t="s">
        <v>21</v>
      </c>
    </row>
    <row r="5" spans="1:28">
      <c r="A5" s="107"/>
      <c r="B5" s="8" t="s">
        <v>19</v>
      </c>
      <c r="C5" s="8" t="s">
        <v>8</v>
      </c>
      <c r="D5" s="110"/>
      <c r="E5" s="9" t="s">
        <v>19</v>
      </c>
      <c r="F5" s="9" t="s">
        <v>8</v>
      </c>
      <c r="G5" s="113"/>
      <c r="H5" s="8" t="s">
        <v>22</v>
      </c>
      <c r="I5" s="8"/>
      <c r="J5" s="110"/>
      <c r="K5" s="9" t="s">
        <v>22</v>
      </c>
      <c r="L5" s="9" t="s">
        <v>8</v>
      </c>
      <c r="M5" s="116"/>
      <c r="N5" s="8" t="s">
        <v>22</v>
      </c>
      <c r="O5" s="8"/>
      <c r="X5" s="11" t="s">
        <v>11</v>
      </c>
      <c r="Y5" s="11" t="s">
        <v>23</v>
      </c>
      <c r="Z5" s="11" t="s">
        <v>21</v>
      </c>
    </row>
    <row r="6" spans="1:28">
      <c r="A6" s="107"/>
      <c r="B6" s="8" t="s">
        <v>22</v>
      </c>
      <c r="C6" s="8" t="s">
        <v>8</v>
      </c>
      <c r="D6" s="110"/>
      <c r="E6" s="9" t="s">
        <v>22</v>
      </c>
      <c r="F6" s="9"/>
      <c r="G6" s="113"/>
      <c r="H6" s="8" t="s">
        <v>24</v>
      </c>
      <c r="I6" s="8"/>
      <c r="J6" s="110"/>
      <c r="K6" s="9" t="s">
        <v>24</v>
      </c>
      <c r="L6" s="9"/>
      <c r="M6" s="116"/>
      <c r="N6" s="8" t="s">
        <v>24</v>
      </c>
      <c r="O6" s="8"/>
      <c r="X6" s="12" t="s">
        <v>13</v>
      </c>
      <c r="Y6" s="12"/>
      <c r="Z6" s="12"/>
    </row>
    <row r="7" spans="1:28">
      <c r="A7" s="107"/>
      <c r="B7" s="8" t="s">
        <v>24</v>
      </c>
      <c r="C7" s="8"/>
      <c r="D7" s="110"/>
      <c r="E7" s="9" t="s">
        <v>24</v>
      </c>
      <c r="F7" s="9"/>
      <c r="G7" s="113"/>
      <c r="H7" s="7" t="s">
        <v>25</v>
      </c>
      <c r="I7" s="8"/>
      <c r="J7" s="110"/>
      <c r="K7" s="9" t="s">
        <v>26</v>
      </c>
      <c r="L7" s="9"/>
      <c r="M7" s="116"/>
      <c r="N7" s="8"/>
      <c r="O7" s="8"/>
      <c r="X7" s="12" t="s">
        <v>14</v>
      </c>
      <c r="Y7" s="11" t="s">
        <v>27</v>
      </c>
      <c r="Z7" s="12"/>
    </row>
    <row r="8" spans="1:28">
      <c r="A8" s="107"/>
      <c r="B8" s="8" t="s">
        <v>28</v>
      </c>
      <c r="C8" s="8"/>
      <c r="D8" s="110"/>
      <c r="E8" s="7" t="s">
        <v>25</v>
      </c>
      <c r="F8" s="9"/>
      <c r="G8" s="113"/>
      <c r="H8" s="8"/>
      <c r="I8" s="8"/>
      <c r="J8" s="110"/>
      <c r="K8" s="9" t="s">
        <v>29</v>
      </c>
      <c r="L8" s="9"/>
      <c r="M8" s="116"/>
      <c r="N8" s="8"/>
      <c r="O8" s="8"/>
      <c r="X8" s="11" t="s">
        <v>30</v>
      </c>
      <c r="Y8" s="12" t="s">
        <v>31</v>
      </c>
      <c r="Z8" s="12"/>
      <c r="AB8" s="7" t="s">
        <v>32</v>
      </c>
    </row>
    <row r="9" spans="1:28">
      <c r="A9" s="107"/>
      <c r="B9" s="7" t="s">
        <v>25</v>
      </c>
      <c r="C9" s="8"/>
      <c r="D9" s="110"/>
      <c r="E9" s="9"/>
      <c r="F9" s="9"/>
      <c r="G9" s="113"/>
      <c r="H9" s="8"/>
      <c r="I9" s="8"/>
      <c r="J9" s="110"/>
      <c r="K9" s="9" t="s">
        <v>33</v>
      </c>
      <c r="L9" s="9"/>
      <c r="M9" s="116"/>
      <c r="N9" s="8"/>
      <c r="O9" s="8"/>
      <c r="X9" s="12"/>
      <c r="Y9" s="12" t="s">
        <v>34</v>
      </c>
      <c r="Z9" s="12"/>
      <c r="AB9" s="7" t="s">
        <v>35</v>
      </c>
    </row>
    <row r="10" spans="1:28">
      <c r="A10" s="107"/>
      <c r="B10" s="8" t="s">
        <v>17</v>
      </c>
      <c r="C10" s="8" t="s">
        <v>8</v>
      </c>
      <c r="D10" s="110"/>
      <c r="E10" s="9" t="s">
        <v>20</v>
      </c>
      <c r="F10" s="9"/>
      <c r="G10" s="113"/>
      <c r="H10" s="8" t="s">
        <v>23</v>
      </c>
      <c r="I10" s="8"/>
      <c r="J10" s="110"/>
      <c r="K10" s="9" t="s">
        <v>36</v>
      </c>
      <c r="L10" s="9"/>
      <c r="M10" s="116"/>
      <c r="N10" s="8"/>
      <c r="O10" s="8"/>
      <c r="AB10" s="7" t="s">
        <v>37</v>
      </c>
    </row>
    <row r="11" spans="1:28">
      <c r="A11" s="107"/>
      <c r="B11" s="8"/>
      <c r="C11" s="8"/>
      <c r="D11" s="110"/>
      <c r="E11" s="9"/>
      <c r="F11" s="9"/>
      <c r="G11" s="113"/>
      <c r="H11" s="8"/>
      <c r="I11" s="8"/>
      <c r="J11" s="110"/>
      <c r="K11" s="7" t="s">
        <v>25</v>
      </c>
      <c r="L11" s="9"/>
      <c r="M11" s="116"/>
      <c r="N11" s="7" t="s">
        <v>25</v>
      </c>
      <c r="O11" s="8"/>
      <c r="AB11" s="7" t="s">
        <v>38</v>
      </c>
    </row>
    <row r="12" spans="1:28">
      <c r="A12" s="107"/>
      <c r="B12" s="8" t="s">
        <v>29</v>
      </c>
      <c r="C12" s="8" t="s">
        <v>39</v>
      </c>
      <c r="D12" s="110"/>
      <c r="E12" s="9" t="s">
        <v>29</v>
      </c>
      <c r="F12" s="9"/>
      <c r="G12" s="113"/>
      <c r="H12" s="8" t="s">
        <v>29</v>
      </c>
      <c r="I12" s="8"/>
      <c r="J12" s="110"/>
      <c r="K12" s="9"/>
      <c r="L12" s="9"/>
      <c r="M12" s="116"/>
      <c r="N12" s="8" t="s">
        <v>29</v>
      </c>
      <c r="O12" s="8"/>
    </row>
    <row r="13" spans="1:28">
      <c r="A13" s="107"/>
      <c r="B13" s="8" t="s">
        <v>33</v>
      </c>
      <c r="C13" s="8" t="s">
        <v>8</v>
      </c>
      <c r="D13" s="110"/>
      <c r="E13" s="9" t="s">
        <v>33</v>
      </c>
      <c r="F13" s="9"/>
      <c r="G13" s="113"/>
      <c r="H13" s="8" t="s">
        <v>33</v>
      </c>
      <c r="I13" s="8"/>
      <c r="J13" s="110"/>
      <c r="K13" s="9"/>
      <c r="L13" s="9"/>
      <c r="M13" s="116"/>
      <c r="N13" s="8" t="s">
        <v>33</v>
      </c>
      <c r="O13" s="8"/>
    </row>
    <row r="14" spans="1:28">
      <c r="A14" s="107"/>
      <c r="B14" s="8"/>
      <c r="C14" s="8"/>
      <c r="D14" s="110"/>
      <c r="E14" s="9"/>
      <c r="F14" s="9"/>
      <c r="G14" s="113"/>
      <c r="H14" s="8"/>
      <c r="I14" s="8"/>
      <c r="J14" s="110"/>
      <c r="K14" s="9"/>
      <c r="L14" s="9"/>
      <c r="M14" s="116"/>
      <c r="N14" s="8"/>
      <c r="O14" s="8"/>
    </row>
    <row r="15" spans="1:28">
      <c r="A15" s="108"/>
      <c r="B15" s="8" t="s">
        <v>40</v>
      </c>
      <c r="C15" s="8"/>
      <c r="D15" s="111"/>
      <c r="E15" s="9" t="s">
        <v>40</v>
      </c>
      <c r="F15" s="9"/>
      <c r="G15" s="114"/>
      <c r="H15" s="8" t="s">
        <v>40</v>
      </c>
      <c r="I15" s="8"/>
      <c r="J15" s="111"/>
      <c r="K15" s="9"/>
      <c r="L15" s="9"/>
      <c r="M15" s="117"/>
      <c r="N15" s="8" t="s">
        <v>40</v>
      </c>
      <c r="O15" s="8"/>
    </row>
    <row r="18" spans="2:14">
      <c r="N18" s="7" t="s">
        <v>41</v>
      </c>
    </row>
    <row r="20" spans="2:14">
      <c r="B20" s="7" t="s">
        <v>42</v>
      </c>
      <c r="C20" s="7" t="s">
        <v>8</v>
      </c>
    </row>
    <row r="21" spans="2:14">
      <c r="B21" s="7" t="s">
        <v>43</v>
      </c>
      <c r="C21" s="7" t="s">
        <v>8</v>
      </c>
      <c r="K21" s="7" t="s">
        <v>44</v>
      </c>
    </row>
    <row r="22" spans="2:14">
      <c r="E22" s="7" t="s">
        <v>45</v>
      </c>
      <c r="F22" s="7" t="s">
        <v>8</v>
      </c>
    </row>
    <row r="24" spans="2:14">
      <c r="E24" s="7" t="s">
        <v>46</v>
      </c>
      <c r="F24" s="7" t="s">
        <v>8</v>
      </c>
      <c r="K24" s="7" t="s">
        <v>47</v>
      </c>
    </row>
    <row r="25" spans="2:14">
      <c r="E25" s="7" t="s">
        <v>48</v>
      </c>
      <c r="F25" s="7" t="s">
        <v>39</v>
      </c>
    </row>
    <row r="28" spans="2:14">
      <c r="K28" s="7" t="s">
        <v>49</v>
      </c>
      <c r="L28" s="7" t="s">
        <v>8</v>
      </c>
    </row>
    <row r="29" spans="2:14">
      <c r="K29" s="7" t="s">
        <v>50</v>
      </c>
      <c r="L29" s="7" t="s">
        <v>51</v>
      </c>
    </row>
    <row r="30" spans="2:14">
      <c r="K30" s="7" t="s">
        <v>52</v>
      </c>
      <c r="L30" s="7" t="s">
        <v>39</v>
      </c>
    </row>
    <row r="31" spans="2:14">
      <c r="K31" s="7" t="s">
        <v>53</v>
      </c>
      <c r="L31" s="7" t="s">
        <v>51</v>
      </c>
    </row>
    <row r="35" spans="8:9">
      <c r="H35" s="7" t="s">
        <v>54</v>
      </c>
      <c r="I35" s="10" t="s">
        <v>55</v>
      </c>
    </row>
    <row r="36" spans="8:9">
      <c r="H36" s="7" t="s">
        <v>56</v>
      </c>
      <c r="I36" s="10" t="s">
        <v>57</v>
      </c>
    </row>
    <row r="39" spans="8:9">
      <c r="H39" s="7" t="s">
        <v>58</v>
      </c>
      <c r="I39" s="1" t="s">
        <v>59</v>
      </c>
    </row>
  </sheetData>
  <mergeCells count="5">
    <mergeCell ref="A2:A15"/>
    <mergeCell ref="D2:D15"/>
    <mergeCell ref="G2:G15"/>
    <mergeCell ref="J2:J15"/>
    <mergeCell ref="M2:M15"/>
  </mergeCells>
  <conditionalFormatting sqref="C1:C21 C23:C1048576 F22">
    <cfRule type="containsText" dxfId="5" priority="3" operator="containsText" text="Done">
      <formula>NOT(ISERROR(SEARCH("Done",C1)))</formula>
    </cfRule>
  </conditionalFormatting>
  <conditionalFormatting sqref="F24">
    <cfRule type="containsText" dxfId="4" priority="2" operator="containsText" text="Done">
      <formula>NOT(ISERROR(SEARCH("Done",F24)))</formula>
    </cfRule>
  </conditionalFormatting>
  <conditionalFormatting sqref="F25">
    <cfRule type="containsText" dxfId="3" priority="1" operator="containsText" text="Done">
      <formula>NOT(ISERROR(SEARCH("Done",F25)))</formula>
    </cfRule>
  </conditionalFormatting>
  <dataValidations count="1">
    <dataValidation type="list" allowBlank="1" showInputMessage="1" showErrorMessage="1" sqref="C2:C15 F2:F15 I2:I15 L2:L15 O2:O15" xr:uid="{9A6F4A1E-74A4-499F-A3B4-E354CB570C58}">
      <formula1>"Open,Doing,Done"</formula1>
    </dataValidation>
  </dataValidations>
  <hyperlinks>
    <hyperlink ref="I35" r:id="rId1" xr:uid="{FA521C73-8B97-40DF-B7B1-3839349CF01A}"/>
    <hyperlink ref="I36" r:id="rId2" xr:uid="{7F866CCE-8A0B-481A-AD6D-636CCB0751F6}"/>
    <hyperlink ref="I39" r:id="rId3" xr:uid="{1B08D0AE-6A05-4CB8-8FE7-5A5816FFED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2676-0E66-4487-B157-F8C74C20674A}">
  <dimension ref="A1:AB39"/>
  <sheetViews>
    <sheetView workbookViewId="0">
      <selection activeCell="N32" sqref="N32"/>
    </sheetView>
  </sheetViews>
  <sheetFormatPr defaultRowHeight="18.75"/>
  <cols>
    <col min="1" max="1" width="7" style="7" customWidth="1"/>
    <col min="2" max="2" width="72.5703125" style="7" customWidth="1"/>
    <col min="3" max="3" width="12.28515625" style="7" customWidth="1"/>
    <col min="4" max="4" width="9.7109375" style="7" customWidth="1"/>
    <col min="5" max="5" width="49.7109375" style="7" customWidth="1"/>
    <col min="6" max="7" width="10.85546875" style="7" customWidth="1"/>
    <col min="8" max="8" width="40" style="7" customWidth="1"/>
    <col min="9" max="9" width="11.42578125" style="7" customWidth="1"/>
    <col min="10" max="10" width="10" style="7" customWidth="1"/>
    <col min="11" max="11" width="45.42578125" style="7" customWidth="1"/>
    <col min="12" max="13" width="11.140625" style="7" customWidth="1"/>
    <col min="14" max="14" width="38" style="7" customWidth="1"/>
    <col min="15" max="15" width="11.42578125" style="7" customWidth="1"/>
    <col min="16" max="16" width="15" style="7" bestFit="1" customWidth="1"/>
    <col min="17" max="24" width="9.140625" style="7"/>
    <col min="25" max="25" width="32.5703125" style="7" customWidth="1"/>
    <col min="26" max="26" width="43.7109375" style="7" customWidth="1"/>
    <col min="27" max="27" width="9.140625" style="7"/>
    <col min="28" max="28" width="48.85546875" style="7" customWidth="1"/>
    <col min="29" max="16384" width="9.140625" style="7"/>
  </cols>
  <sheetData>
    <row r="1" spans="1:28">
      <c r="A1" s="2"/>
      <c r="B1" s="2" t="s">
        <v>0</v>
      </c>
      <c r="C1" s="3" t="s">
        <v>1</v>
      </c>
      <c r="D1" s="2" t="s">
        <v>2</v>
      </c>
      <c r="E1" s="2" t="s">
        <v>0</v>
      </c>
      <c r="F1" s="4" t="s">
        <v>1</v>
      </c>
      <c r="G1" s="2" t="s">
        <v>3</v>
      </c>
      <c r="H1" s="2" t="s">
        <v>0</v>
      </c>
      <c r="I1" s="5" t="s">
        <v>1</v>
      </c>
      <c r="J1" s="2" t="s">
        <v>4</v>
      </c>
      <c r="K1" s="2" t="s">
        <v>0</v>
      </c>
      <c r="L1" s="5" t="s">
        <v>1</v>
      </c>
      <c r="M1" s="2" t="s">
        <v>5</v>
      </c>
      <c r="N1" s="2" t="s">
        <v>0</v>
      </c>
      <c r="O1" s="6" t="s">
        <v>1</v>
      </c>
    </row>
    <row r="2" spans="1:28">
      <c r="A2" s="106" t="s">
        <v>6</v>
      </c>
      <c r="B2" s="8" t="s">
        <v>7</v>
      </c>
      <c r="C2" s="8" t="s">
        <v>8</v>
      </c>
      <c r="D2" s="109" t="s">
        <v>9</v>
      </c>
      <c r="E2" s="9" t="s">
        <v>10</v>
      </c>
      <c r="F2" s="9" t="s">
        <v>8</v>
      </c>
      <c r="G2" s="112" t="s">
        <v>11</v>
      </c>
      <c r="H2" s="8" t="s">
        <v>12</v>
      </c>
      <c r="I2" s="8"/>
      <c r="J2" s="109" t="s">
        <v>13</v>
      </c>
      <c r="K2" s="9" t="s">
        <v>12</v>
      </c>
      <c r="L2" s="9" t="s">
        <v>8</v>
      </c>
      <c r="M2" s="115" t="s">
        <v>14</v>
      </c>
      <c r="N2" s="8" t="s">
        <v>12</v>
      </c>
      <c r="O2" s="8"/>
      <c r="X2" s="8"/>
      <c r="Y2" s="8" t="s">
        <v>15</v>
      </c>
      <c r="Z2" s="8"/>
    </row>
    <row r="3" spans="1:28">
      <c r="A3" s="107"/>
      <c r="B3" s="8" t="s">
        <v>12</v>
      </c>
      <c r="C3" s="8" t="s">
        <v>8</v>
      </c>
      <c r="D3" s="110"/>
      <c r="E3" s="9" t="s">
        <v>12</v>
      </c>
      <c r="F3" s="9" t="s">
        <v>8</v>
      </c>
      <c r="G3" s="113"/>
      <c r="H3" s="8" t="s">
        <v>16</v>
      </c>
      <c r="I3" s="8"/>
      <c r="J3" s="110"/>
      <c r="K3" s="9" t="s">
        <v>16</v>
      </c>
      <c r="L3" s="9" t="s">
        <v>8</v>
      </c>
      <c r="M3" s="116"/>
      <c r="N3" s="8" t="s">
        <v>16</v>
      </c>
      <c r="O3" s="8"/>
      <c r="X3" s="8" t="s">
        <v>6</v>
      </c>
      <c r="Y3" s="8" t="s">
        <v>17</v>
      </c>
      <c r="Z3" s="8" t="s">
        <v>18</v>
      </c>
    </row>
    <row r="4" spans="1:28">
      <c r="A4" s="107"/>
      <c r="B4" s="8" t="s">
        <v>16</v>
      </c>
      <c r="C4" s="8" t="s">
        <v>8</v>
      </c>
      <c r="D4" s="110"/>
      <c r="E4" s="9" t="s">
        <v>16</v>
      </c>
      <c r="F4" s="9"/>
      <c r="G4" s="113"/>
      <c r="H4" s="8" t="s">
        <v>19</v>
      </c>
      <c r="I4" s="8"/>
      <c r="J4" s="110"/>
      <c r="K4" s="9" t="s">
        <v>19</v>
      </c>
      <c r="L4" s="9" t="s">
        <v>8</v>
      </c>
      <c r="M4" s="116"/>
      <c r="N4" s="8" t="s">
        <v>19</v>
      </c>
      <c r="O4" s="8"/>
      <c r="X4" s="11" t="s">
        <v>9</v>
      </c>
      <c r="Y4" s="11" t="s">
        <v>20</v>
      </c>
      <c r="Z4" s="11" t="s">
        <v>21</v>
      </c>
    </row>
    <row r="5" spans="1:28">
      <c r="A5" s="107"/>
      <c r="B5" s="8" t="s">
        <v>19</v>
      </c>
      <c r="C5" s="8" t="s">
        <v>8</v>
      </c>
      <c r="D5" s="110"/>
      <c r="E5" s="9" t="s">
        <v>19</v>
      </c>
      <c r="F5" s="9" t="s">
        <v>8</v>
      </c>
      <c r="G5" s="113"/>
      <c r="H5" s="8" t="s">
        <v>22</v>
      </c>
      <c r="I5" s="8"/>
      <c r="J5" s="110"/>
      <c r="K5" s="9" t="s">
        <v>22</v>
      </c>
      <c r="L5" s="9" t="s">
        <v>8</v>
      </c>
      <c r="M5" s="116"/>
      <c r="N5" s="8" t="s">
        <v>22</v>
      </c>
      <c r="O5" s="8"/>
      <c r="X5" s="11" t="s">
        <v>11</v>
      </c>
      <c r="Y5" s="11" t="s">
        <v>23</v>
      </c>
      <c r="Z5" s="11" t="s">
        <v>21</v>
      </c>
    </row>
    <row r="6" spans="1:28">
      <c r="A6" s="107"/>
      <c r="B6" s="8" t="s">
        <v>22</v>
      </c>
      <c r="C6" s="8" t="s">
        <v>8</v>
      </c>
      <c r="D6" s="110"/>
      <c r="E6" s="9" t="s">
        <v>22</v>
      </c>
      <c r="F6" s="9"/>
      <c r="G6" s="113"/>
      <c r="H6" s="8" t="s">
        <v>24</v>
      </c>
      <c r="I6" s="8"/>
      <c r="J6" s="110"/>
      <c r="K6" s="9" t="s">
        <v>24</v>
      </c>
      <c r="L6" s="9"/>
      <c r="M6" s="116"/>
      <c r="N6" s="8" t="s">
        <v>24</v>
      </c>
      <c r="O6" s="8"/>
      <c r="X6" s="12" t="s">
        <v>13</v>
      </c>
      <c r="Y6" s="12"/>
      <c r="Z6" s="12"/>
    </row>
    <row r="7" spans="1:28">
      <c r="A7" s="107"/>
      <c r="B7" s="8" t="s">
        <v>24</v>
      </c>
      <c r="C7" s="8"/>
      <c r="D7" s="110"/>
      <c r="E7" s="9" t="s">
        <v>24</v>
      </c>
      <c r="F7" s="9"/>
      <c r="G7" s="113"/>
      <c r="H7" s="7" t="s">
        <v>25</v>
      </c>
      <c r="I7" s="8"/>
      <c r="J7" s="110"/>
      <c r="K7" s="9" t="s">
        <v>26</v>
      </c>
      <c r="L7" s="9"/>
      <c r="M7" s="116"/>
      <c r="N7" s="8"/>
      <c r="O7" s="8"/>
      <c r="X7" s="12" t="s">
        <v>14</v>
      </c>
      <c r="Y7" s="11" t="s">
        <v>27</v>
      </c>
      <c r="Z7" s="12"/>
    </row>
    <row r="8" spans="1:28">
      <c r="A8" s="107"/>
      <c r="B8" s="8" t="s">
        <v>28</v>
      </c>
      <c r="C8" s="8"/>
      <c r="D8" s="110"/>
      <c r="E8" s="7" t="s">
        <v>25</v>
      </c>
      <c r="F8" s="9"/>
      <c r="G8" s="113"/>
      <c r="H8" s="8"/>
      <c r="I8" s="8"/>
      <c r="J8" s="110"/>
      <c r="K8" s="9" t="s">
        <v>29</v>
      </c>
      <c r="L8" s="9"/>
      <c r="M8" s="116"/>
      <c r="N8" s="8"/>
      <c r="O8" s="8"/>
      <c r="X8" s="11" t="s">
        <v>30</v>
      </c>
      <c r="Y8" s="12" t="s">
        <v>31</v>
      </c>
      <c r="Z8" s="12"/>
      <c r="AB8" s="7" t="s">
        <v>32</v>
      </c>
    </row>
    <row r="9" spans="1:28">
      <c r="A9" s="107"/>
      <c r="B9" s="7" t="s">
        <v>25</v>
      </c>
      <c r="C9" s="8"/>
      <c r="D9" s="110"/>
      <c r="E9" s="9"/>
      <c r="F9" s="9"/>
      <c r="G9" s="113"/>
      <c r="H9" s="8"/>
      <c r="I9" s="8"/>
      <c r="J9" s="110"/>
      <c r="K9" s="9" t="s">
        <v>33</v>
      </c>
      <c r="L9" s="9"/>
      <c r="M9" s="116"/>
      <c r="N9" s="8"/>
      <c r="O9" s="8"/>
      <c r="X9" s="12"/>
      <c r="Y9" s="12" t="s">
        <v>34</v>
      </c>
      <c r="Z9" s="12"/>
      <c r="AB9" s="7" t="s">
        <v>35</v>
      </c>
    </row>
    <row r="10" spans="1:28">
      <c r="A10" s="107"/>
      <c r="B10" s="8" t="s">
        <v>17</v>
      </c>
      <c r="C10" s="8" t="s">
        <v>8</v>
      </c>
      <c r="D10" s="110"/>
      <c r="E10" s="9" t="s">
        <v>20</v>
      </c>
      <c r="F10" s="9"/>
      <c r="G10" s="113"/>
      <c r="H10" s="8" t="s">
        <v>23</v>
      </c>
      <c r="I10" s="8"/>
      <c r="J10" s="110"/>
      <c r="K10" s="9" t="s">
        <v>36</v>
      </c>
      <c r="L10" s="9"/>
      <c r="M10" s="116"/>
      <c r="N10" s="8"/>
      <c r="O10" s="8"/>
      <c r="AB10" s="7" t="s">
        <v>37</v>
      </c>
    </row>
    <row r="11" spans="1:28">
      <c r="A11" s="107"/>
      <c r="B11" s="8"/>
      <c r="C11" s="8"/>
      <c r="D11" s="110"/>
      <c r="E11" s="9"/>
      <c r="F11" s="9"/>
      <c r="G11" s="113"/>
      <c r="H11" s="8"/>
      <c r="I11" s="8"/>
      <c r="J11" s="110"/>
      <c r="K11" s="7" t="s">
        <v>25</v>
      </c>
      <c r="L11" s="9"/>
      <c r="M11" s="116"/>
      <c r="N11" s="7" t="s">
        <v>25</v>
      </c>
      <c r="O11" s="8"/>
      <c r="AB11" s="7" t="s">
        <v>38</v>
      </c>
    </row>
    <row r="12" spans="1:28">
      <c r="A12" s="107"/>
      <c r="B12" s="8" t="s">
        <v>29</v>
      </c>
      <c r="C12" s="8" t="s">
        <v>39</v>
      </c>
      <c r="D12" s="110"/>
      <c r="E12" s="9" t="s">
        <v>29</v>
      </c>
      <c r="F12" s="9"/>
      <c r="G12" s="113"/>
      <c r="H12" s="8" t="s">
        <v>29</v>
      </c>
      <c r="I12" s="8"/>
      <c r="J12" s="110"/>
      <c r="K12" s="9"/>
      <c r="L12" s="9"/>
      <c r="M12" s="116"/>
      <c r="N12" s="8" t="s">
        <v>29</v>
      </c>
      <c r="O12" s="8"/>
    </row>
    <row r="13" spans="1:28">
      <c r="A13" s="107"/>
      <c r="B13" s="8" t="s">
        <v>33</v>
      </c>
      <c r="C13" s="8" t="s">
        <v>8</v>
      </c>
      <c r="D13" s="110"/>
      <c r="E13" s="9" t="s">
        <v>33</v>
      </c>
      <c r="F13" s="9"/>
      <c r="G13" s="113"/>
      <c r="H13" s="8" t="s">
        <v>33</v>
      </c>
      <c r="I13" s="8"/>
      <c r="J13" s="110"/>
      <c r="K13" s="9"/>
      <c r="L13" s="9"/>
      <c r="M13" s="116"/>
      <c r="N13" s="8" t="s">
        <v>33</v>
      </c>
      <c r="O13" s="8"/>
    </row>
    <row r="14" spans="1:28">
      <c r="A14" s="107"/>
      <c r="B14" s="8"/>
      <c r="C14" s="8"/>
      <c r="D14" s="110"/>
      <c r="E14" s="9"/>
      <c r="F14" s="9"/>
      <c r="G14" s="113"/>
      <c r="H14" s="8"/>
      <c r="I14" s="8"/>
      <c r="J14" s="110"/>
      <c r="K14" s="9"/>
      <c r="L14" s="9"/>
      <c r="M14" s="116"/>
      <c r="N14" s="8"/>
      <c r="O14" s="8"/>
    </row>
    <row r="15" spans="1:28">
      <c r="A15" s="108"/>
      <c r="B15" s="8" t="s">
        <v>40</v>
      </c>
      <c r="C15" s="8"/>
      <c r="D15" s="111"/>
      <c r="E15" s="9" t="s">
        <v>40</v>
      </c>
      <c r="F15" s="9"/>
      <c r="G15" s="114"/>
      <c r="H15" s="8" t="s">
        <v>40</v>
      </c>
      <c r="I15" s="8"/>
      <c r="J15" s="111"/>
      <c r="K15" s="9"/>
      <c r="L15" s="9"/>
      <c r="M15" s="117"/>
      <c r="N15" s="8" t="s">
        <v>40</v>
      </c>
      <c r="O15" s="8"/>
    </row>
    <row r="18" spans="2:14">
      <c r="N18" s="7" t="s">
        <v>41</v>
      </c>
    </row>
    <row r="21" spans="2:14">
      <c r="B21" s="7" t="s">
        <v>60</v>
      </c>
      <c r="K21" s="7" t="s">
        <v>44</v>
      </c>
    </row>
    <row r="22" spans="2:14">
      <c r="K22" s="7" t="s">
        <v>49</v>
      </c>
      <c r="L22" s="7" t="s">
        <v>8</v>
      </c>
    </row>
    <row r="23" spans="2:14">
      <c r="K23" s="7" t="s">
        <v>50</v>
      </c>
      <c r="L23" s="7" t="s">
        <v>51</v>
      </c>
    </row>
    <row r="24" spans="2:14">
      <c r="K24" s="7" t="s">
        <v>52</v>
      </c>
      <c r="L24" s="7" t="s">
        <v>39</v>
      </c>
    </row>
    <row r="25" spans="2:14">
      <c r="K25" s="7" t="s">
        <v>53</v>
      </c>
      <c r="L25" s="7" t="s">
        <v>51</v>
      </c>
    </row>
    <row r="35" spans="9:9">
      <c r="I35" s="10"/>
    </row>
    <row r="36" spans="9:9">
      <c r="I36" s="10"/>
    </row>
    <row r="39" spans="9:9">
      <c r="I39" s="1"/>
    </row>
  </sheetData>
  <mergeCells count="5">
    <mergeCell ref="A2:A15"/>
    <mergeCell ref="D2:D15"/>
    <mergeCell ref="G2:G15"/>
    <mergeCell ref="J2:J15"/>
    <mergeCell ref="M2:M15"/>
  </mergeCells>
  <conditionalFormatting sqref="C1:C21 C23:C1048576 F22">
    <cfRule type="containsText" dxfId="2" priority="3" operator="containsText" text="Done">
      <formula>NOT(ISERROR(SEARCH("Done",C1)))</formula>
    </cfRule>
  </conditionalFormatting>
  <conditionalFormatting sqref="F24">
    <cfRule type="containsText" dxfId="1" priority="2" operator="containsText" text="Done">
      <formula>NOT(ISERROR(SEARCH("Done",F24)))</formula>
    </cfRule>
  </conditionalFormatting>
  <conditionalFormatting sqref="F25">
    <cfRule type="containsText" dxfId="0" priority="1" operator="containsText" text="Done">
      <formula>NOT(ISERROR(SEARCH("Done",F25)))</formula>
    </cfRule>
  </conditionalFormatting>
  <dataValidations count="1">
    <dataValidation type="list" allowBlank="1" showInputMessage="1" showErrorMessage="1" sqref="C2:C15 F2:F15 I2:I15 L2:L15 O2:O15" xr:uid="{4F3A4C89-5B19-4572-B134-C018673285A6}">
      <formula1>"Open,Doing,Done"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2F1F-583A-41B6-8381-5AA92DC92008}">
  <dimension ref="N4:AV42"/>
  <sheetViews>
    <sheetView workbookViewId="0">
      <selection activeCell="AV49" sqref="AV49"/>
    </sheetView>
  </sheetViews>
  <sheetFormatPr defaultRowHeight="15"/>
  <cols>
    <col min="40" max="40" width="62.28515625" customWidth="1"/>
    <col min="43" max="43" width="35.28515625" customWidth="1"/>
    <col min="44" max="44" width="24.28515625" customWidth="1"/>
    <col min="45" max="45" width="47.28515625" customWidth="1"/>
    <col min="48" max="48" width="15.140625" customWidth="1"/>
  </cols>
  <sheetData>
    <row r="4" spans="14:40">
      <c r="N4">
        <v>1</v>
      </c>
      <c r="O4" t="s">
        <v>61</v>
      </c>
    </row>
    <row r="5" spans="14:40">
      <c r="N5">
        <v>2</v>
      </c>
      <c r="O5" t="s">
        <v>62</v>
      </c>
    </row>
    <row r="6" spans="14:40">
      <c r="N6">
        <v>3</v>
      </c>
      <c r="O6" t="s">
        <v>63</v>
      </c>
    </row>
    <row r="7" spans="14:40">
      <c r="N7">
        <v>4</v>
      </c>
      <c r="O7" t="s">
        <v>64</v>
      </c>
    </row>
    <row r="8" spans="14:40">
      <c r="N8">
        <v>5</v>
      </c>
      <c r="O8" t="s">
        <v>65</v>
      </c>
      <c r="AN8" t="s">
        <v>66</v>
      </c>
    </row>
    <row r="9" spans="14:40">
      <c r="AN9" t="s">
        <v>67</v>
      </c>
    </row>
    <row r="10" spans="14:40">
      <c r="AN10" t="s">
        <v>68</v>
      </c>
    </row>
    <row r="11" spans="14:40">
      <c r="N11">
        <v>1</v>
      </c>
      <c r="O11" t="s">
        <v>69</v>
      </c>
      <c r="AN11" s="13" t="s">
        <v>70</v>
      </c>
    </row>
    <row r="12" spans="14:40">
      <c r="N12">
        <v>2</v>
      </c>
      <c r="O12" t="s">
        <v>71</v>
      </c>
    </row>
    <row r="13" spans="14:40">
      <c r="N13">
        <v>3</v>
      </c>
      <c r="O13" t="s">
        <v>72</v>
      </c>
    </row>
    <row r="14" spans="14:40">
      <c r="N14">
        <v>4</v>
      </c>
      <c r="O14" t="s">
        <v>73</v>
      </c>
    </row>
    <row r="16" spans="14:40">
      <c r="N16">
        <v>1</v>
      </c>
      <c r="O16" t="s">
        <v>74</v>
      </c>
      <c r="AN16" t="s">
        <v>75</v>
      </c>
    </row>
    <row r="17" spans="14:43">
      <c r="N17">
        <v>2</v>
      </c>
      <c r="O17" t="s">
        <v>76</v>
      </c>
      <c r="AN17" s="13" t="s">
        <v>77</v>
      </c>
    </row>
    <row r="18" spans="14:43">
      <c r="N18">
        <v>3</v>
      </c>
      <c r="O18" t="s">
        <v>78</v>
      </c>
    </row>
    <row r="19" spans="14:43">
      <c r="AN19" t="s">
        <v>79</v>
      </c>
    </row>
    <row r="22" spans="14:43">
      <c r="N22">
        <v>1</v>
      </c>
      <c r="O22" t="s">
        <v>71</v>
      </c>
    </row>
    <row r="23" spans="14:43">
      <c r="N23">
        <v>2</v>
      </c>
      <c r="O23" t="s">
        <v>80</v>
      </c>
    </row>
    <row r="24" spans="14:43">
      <c r="N24">
        <v>3</v>
      </c>
      <c r="O24" t="s">
        <v>81</v>
      </c>
    </row>
    <row r="26" spans="14:43">
      <c r="AQ26" t="s">
        <v>82</v>
      </c>
    </row>
    <row r="27" spans="14:43">
      <c r="AQ27" t="s">
        <v>83</v>
      </c>
    </row>
    <row r="28" spans="14:43">
      <c r="AQ28" t="s">
        <v>84</v>
      </c>
    </row>
    <row r="29" spans="14:43">
      <c r="AQ29" t="s">
        <v>85</v>
      </c>
    </row>
    <row r="30" spans="14:43">
      <c r="AQ30" t="s">
        <v>86</v>
      </c>
    </row>
    <row r="36" spans="43:48">
      <c r="AQ36" s="14" t="s">
        <v>87</v>
      </c>
      <c r="AR36" s="14" t="s">
        <v>88</v>
      </c>
      <c r="AS36" s="14"/>
      <c r="AT36" s="14"/>
      <c r="AU36" s="14"/>
      <c r="AV36" s="14"/>
    </row>
    <row r="37" spans="43:48">
      <c r="AQ37" s="14" t="s">
        <v>89</v>
      </c>
      <c r="AR37" s="14" t="s">
        <v>90</v>
      </c>
      <c r="AS37" s="14"/>
      <c r="AT37" s="14"/>
      <c r="AU37" s="14"/>
      <c r="AV37" s="14"/>
    </row>
    <row r="38" spans="43:48" ht="72.75">
      <c r="AQ38" s="14"/>
      <c r="AR38" s="14"/>
      <c r="AS38" s="15" t="s">
        <v>91</v>
      </c>
      <c r="AT38" s="16">
        <v>1</v>
      </c>
      <c r="AU38" s="14"/>
      <c r="AV38" s="17">
        <v>45904</v>
      </c>
    </row>
    <row r="39" spans="43:48">
      <c r="AQ39" s="14"/>
      <c r="AR39" s="14"/>
      <c r="AS39" s="18" t="s">
        <v>92</v>
      </c>
      <c r="AT39" s="20">
        <v>2</v>
      </c>
      <c r="AU39" s="18"/>
      <c r="AV39" s="19" t="s">
        <v>93</v>
      </c>
    </row>
    <row r="40" spans="43:48">
      <c r="AQ40" s="14"/>
      <c r="AR40" s="14"/>
      <c r="AS40" s="14" t="s">
        <v>89</v>
      </c>
      <c r="AT40" s="21">
        <v>2</v>
      </c>
      <c r="AU40" s="14"/>
      <c r="AV40" s="14"/>
    </row>
    <row r="41" spans="43:48">
      <c r="AQ41" s="14"/>
      <c r="AR41" s="14"/>
      <c r="AS41" s="14"/>
      <c r="AT41" s="21">
        <v>4</v>
      </c>
      <c r="AU41" s="14"/>
      <c r="AV41" s="14"/>
    </row>
    <row r="42" spans="43:48">
      <c r="AQ42" s="14"/>
      <c r="AR42" s="14"/>
      <c r="AS42" s="14"/>
      <c r="AT42" s="21"/>
      <c r="AU42" s="14"/>
      <c r="AV4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221C-B4D6-4EB4-9EE9-755C3CB47CD5}">
  <dimension ref="B1:W22"/>
  <sheetViews>
    <sheetView workbookViewId="0">
      <selection activeCell="AA25" sqref="AA25"/>
    </sheetView>
  </sheetViews>
  <sheetFormatPr defaultRowHeight="18.75"/>
  <cols>
    <col min="1" max="1" width="9.140625" style="7"/>
    <col min="2" max="2" width="37.140625" style="29" customWidth="1"/>
    <col min="3" max="3" width="39.28515625" style="29" customWidth="1"/>
    <col min="4" max="4" width="24.28515625" style="7" customWidth="1"/>
    <col min="5" max="5" width="17.28515625" style="7" customWidth="1"/>
    <col min="6" max="7" width="20.42578125" style="7" customWidth="1"/>
    <col min="8" max="21" width="6.140625" style="7" customWidth="1"/>
    <col min="22" max="22" width="10.5703125" style="7" customWidth="1"/>
    <col min="23" max="23" width="34.85546875" style="7" customWidth="1"/>
    <col min="24" max="26" width="9.140625" style="7"/>
    <col min="27" max="27" width="42.140625" style="7" customWidth="1"/>
    <col min="28" max="28" width="25.42578125" style="7" customWidth="1"/>
    <col min="29" max="16384" width="9.140625" style="7"/>
  </cols>
  <sheetData>
    <row r="1" spans="2:23">
      <c r="B1" s="118" t="s">
        <v>94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</row>
    <row r="2" spans="2:23"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</row>
    <row r="3" spans="2:23"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</row>
    <row r="4" spans="2:23"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8"/>
    </row>
    <row r="5" spans="2:23" s="22" customFormat="1" ht="70.5" customHeight="1">
      <c r="B5" s="27" t="s">
        <v>95</v>
      </c>
      <c r="C5" s="27" t="s">
        <v>96</v>
      </c>
      <c r="D5" s="27" t="s">
        <v>97</v>
      </c>
      <c r="E5" s="27" t="s">
        <v>98</v>
      </c>
      <c r="F5" s="27" t="s">
        <v>99</v>
      </c>
      <c r="G5" s="27" t="s">
        <v>100</v>
      </c>
      <c r="H5" s="26" t="s">
        <v>101</v>
      </c>
      <c r="I5" s="26" t="s">
        <v>101</v>
      </c>
      <c r="J5" s="26" t="s">
        <v>102</v>
      </c>
      <c r="K5" s="26" t="s">
        <v>103</v>
      </c>
      <c r="L5" s="26" t="s">
        <v>104</v>
      </c>
      <c r="M5" s="26" t="s">
        <v>105</v>
      </c>
      <c r="N5" s="26" t="s">
        <v>106</v>
      </c>
      <c r="O5" s="26" t="s">
        <v>107</v>
      </c>
      <c r="P5" s="26" t="s">
        <v>108</v>
      </c>
      <c r="Q5" s="26" t="s">
        <v>109</v>
      </c>
      <c r="R5" s="26" t="s">
        <v>110</v>
      </c>
      <c r="S5" s="26" t="s">
        <v>111</v>
      </c>
      <c r="T5" s="26" t="s">
        <v>112</v>
      </c>
      <c r="U5" s="26" t="s">
        <v>113</v>
      </c>
      <c r="V5" s="28" t="s">
        <v>114</v>
      </c>
      <c r="W5" s="26" t="s">
        <v>115</v>
      </c>
    </row>
    <row r="6" spans="2:23" s="22" customFormat="1" ht="37.5" customHeight="1">
      <c r="B6" s="36" t="s">
        <v>116</v>
      </c>
      <c r="C6" s="36" t="s">
        <v>117</v>
      </c>
      <c r="D6" s="23">
        <v>2</v>
      </c>
      <c r="E6" s="23"/>
      <c r="F6" s="23">
        <v>2</v>
      </c>
      <c r="G6" s="23">
        <f>D6*F6</f>
        <v>4</v>
      </c>
      <c r="H6" s="23" t="s">
        <v>118</v>
      </c>
      <c r="I6" s="23" t="s">
        <v>118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30"/>
      <c r="W6" s="23"/>
    </row>
    <row r="7" spans="2:23" s="22" customFormat="1" ht="37.5" customHeight="1">
      <c r="B7" s="36" t="s">
        <v>119</v>
      </c>
      <c r="C7" s="36"/>
      <c r="D7" s="23"/>
      <c r="E7" s="23"/>
      <c r="F7" s="23"/>
      <c r="G7" s="23"/>
      <c r="H7" s="23"/>
      <c r="I7" s="2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30"/>
      <c r="W7" s="23"/>
    </row>
    <row r="8" spans="2:23" s="22" customFormat="1" ht="37.5" customHeight="1">
      <c r="B8" s="36"/>
      <c r="C8" s="36" t="s">
        <v>120</v>
      </c>
      <c r="D8" s="23">
        <v>1</v>
      </c>
      <c r="E8" s="23" t="s">
        <v>121</v>
      </c>
      <c r="F8" s="23">
        <v>2</v>
      </c>
      <c r="G8" s="23">
        <f>D8*F8</f>
        <v>2</v>
      </c>
      <c r="H8" s="23"/>
      <c r="I8" s="23"/>
      <c r="J8" s="24" t="s">
        <v>118</v>
      </c>
      <c r="K8" s="24" t="s">
        <v>118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30"/>
      <c r="W8" s="23"/>
    </row>
    <row r="9" spans="2:23" s="22" customFormat="1" ht="63.75" customHeight="1">
      <c r="B9" s="36"/>
      <c r="C9" s="36" t="s">
        <v>122</v>
      </c>
      <c r="E9" s="25" t="s">
        <v>123</v>
      </c>
      <c r="F9" s="23">
        <v>5</v>
      </c>
      <c r="G9" s="23"/>
      <c r="H9" s="23"/>
      <c r="I9" s="23"/>
      <c r="J9" s="24"/>
      <c r="K9" s="24"/>
      <c r="L9" s="24" t="s">
        <v>118</v>
      </c>
      <c r="M9" s="24" t="s">
        <v>118</v>
      </c>
      <c r="N9" s="24" t="s">
        <v>118</v>
      </c>
      <c r="O9" s="24" t="s">
        <v>118</v>
      </c>
      <c r="P9" s="24" t="s">
        <v>118</v>
      </c>
      <c r="Q9" s="24"/>
      <c r="R9" s="24"/>
      <c r="S9" s="24"/>
      <c r="T9" s="24"/>
      <c r="U9" s="24"/>
      <c r="V9" s="30"/>
      <c r="W9" s="25" t="s">
        <v>124</v>
      </c>
    </row>
    <row r="10" spans="2:23" s="22" customFormat="1" ht="57.75" customHeight="1">
      <c r="B10" s="36"/>
      <c r="C10" s="36" t="s">
        <v>125</v>
      </c>
      <c r="D10" s="23">
        <v>2</v>
      </c>
      <c r="E10" s="23" t="s">
        <v>121</v>
      </c>
      <c r="F10" s="23">
        <v>2</v>
      </c>
      <c r="G10" s="23">
        <f t="shared" ref="G10:G14" si="0">D10*F10</f>
        <v>4</v>
      </c>
      <c r="H10" s="23"/>
      <c r="I10" s="23"/>
      <c r="J10" s="24"/>
      <c r="K10" s="24"/>
      <c r="L10" s="24"/>
      <c r="M10" s="24"/>
      <c r="N10" s="24"/>
      <c r="O10" s="24"/>
      <c r="P10" s="24"/>
      <c r="Q10" s="24" t="s">
        <v>118</v>
      </c>
      <c r="R10" s="24" t="s">
        <v>118</v>
      </c>
      <c r="S10" s="24"/>
      <c r="T10" s="24"/>
      <c r="U10" s="24"/>
      <c r="V10" s="30"/>
      <c r="W10" s="23"/>
    </row>
    <row r="11" spans="2:23" s="22" customFormat="1" ht="37.5" customHeight="1">
      <c r="B11" s="36" t="s">
        <v>126</v>
      </c>
      <c r="C11" s="36"/>
      <c r="D11" s="23"/>
      <c r="E11" s="23"/>
      <c r="F11" s="23"/>
      <c r="G11" s="23"/>
      <c r="H11" s="23"/>
      <c r="I11" s="2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30"/>
      <c r="W11" s="23"/>
    </row>
    <row r="12" spans="2:23" s="22" customFormat="1" ht="72.75" customHeight="1">
      <c r="B12" s="36"/>
      <c r="C12" s="36" t="s">
        <v>127</v>
      </c>
      <c r="D12" s="23">
        <v>1</v>
      </c>
      <c r="E12" s="23" t="s">
        <v>121</v>
      </c>
      <c r="F12" s="23">
        <v>2</v>
      </c>
      <c r="G12" s="23">
        <f t="shared" si="0"/>
        <v>2</v>
      </c>
      <c r="H12" s="23"/>
      <c r="I12" s="23"/>
      <c r="J12" s="24"/>
      <c r="K12" s="24"/>
      <c r="L12" s="24"/>
      <c r="M12" s="24"/>
      <c r="N12" s="24"/>
      <c r="O12" s="24"/>
      <c r="P12" s="24"/>
      <c r="Q12" s="24"/>
      <c r="R12" s="24"/>
      <c r="S12" s="24" t="s">
        <v>118</v>
      </c>
      <c r="T12" s="24" t="s">
        <v>118</v>
      </c>
      <c r="U12" s="24"/>
      <c r="V12" s="30"/>
      <c r="W12" s="23"/>
    </row>
    <row r="13" spans="2:23" s="22" customFormat="1" ht="37.5" customHeight="1">
      <c r="B13" s="36"/>
      <c r="C13" s="36" t="s">
        <v>128</v>
      </c>
      <c r="D13" s="23">
        <v>3</v>
      </c>
      <c r="E13" s="23" t="s">
        <v>121</v>
      </c>
      <c r="F13" s="23">
        <v>1</v>
      </c>
      <c r="G13" s="23">
        <f t="shared" si="0"/>
        <v>3</v>
      </c>
      <c r="H13" s="23"/>
      <c r="I13" s="2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 t="s">
        <v>118</v>
      </c>
      <c r="V13" s="30"/>
      <c r="W13" s="23"/>
    </row>
    <row r="14" spans="2:23" s="22" customFormat="1" ht="37.5" customHeight="1">
      <c r="B14" s="36" t="s">
        <v>129</v>
      </c>
      <c r="C14" s="36"/>
      <c r="D14" s="23">
        <v>1</v>
      </c>
      <c r="E14" s="23"/>
      <c r="F14" s="23">
        <v>30</v>
      </c>
      <c r="G14" s="23">
        <f t="shared" si="0"/>
        <v>30</v>
      </c>
      <c r="H14" s="23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30" t="s">
        <v>118</v>
      </c>
      <c r="W14" s="23"/>
    </row>
    <row r="17" spans="2:4" ht="56.25">
      <c r="B17" s="31" t="s">
        <v>130</v>
      </c>
      <c r="C17" s="32" t="s">
        <v>131</v>
      </c>
      <c r="D17" s="32" t="s">
        <v>132</v>
      </c>
    </row>
    <row r="18" spans="2:4">
      <c r="B18" s="23" t="s">
        <v>133</v>
      </c>
      <c r="C18" s="23">
        <v>4</v>
      </c>
      <c r="D18" s="12">
        <v>4</v>
      </c>
    </row>
    <row r="19" spans="2:4" ht="19.5">
      <c r="B19" s="25" t="s">
        <v>119</v>
      </c>
      <c r="C19" s="23">
        <v>6</v>
      </c>
      <c r="D19" s="12">
        <v>6</v>
      </c>
    </row>
    <row r="20" spans="2:4" ht="19.5">
      <c r="B20" s="25" t="s">
        <v>126</v>
      </c>
      <c r="C20" s="23">
        <v>5</v>
      </c>
      <c r="D20" s="12">
        <v>5</v>
      </c>
    </row>
    <row r="21" spans="2:4">
      <c r="B21" s="23" t="s">
        <v>134</v>
      </c>
      <c r="C21" s="23">
        <v>30</v>
      </c>
      <c r="D21" s="12">
        <v>15</v>
      </c>
    </row>
    <row r="22" spans="2:4">
      <c r="B22" s="33"/>
      <c r="C22" s="34" t="s">
        <v>135</v>
      </c>
      <c r="D22" s="35">
        <f>SUM(D18:D21)</f>
        <v>30</v>
      </c>
    </row>
  </sheetData>
  <mergeCells count="1">
    <mergeCell ref="B1:W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99F3-28DD-4580-8B61-DE1C66D6CBBE}">
  <dimension ref="B3:G35"/>
  <sheetViews>
    <sheetView workbookViewId="0">
      <selection activeCell="B3" sqref="B3:E30"/>
    </sheetView>
  </sheetViews>
  <sheetFormatPr defaultRowHeight="15.75"/>
  <cols>
    <col min="1" max="2" width="9.140625" style="70"/>
    <col min="3" max="3" width="27.7109375" style="70" customWidth="1"/>
    <col min="4" max="4" width="68.140625" style="70" customWidth="1"/>
    <col min="5" max="5" width="72.5703125" style="70" customWidth="1"/>
    <col min="6" max="6" width="9.140625" style="70"/>
    <col min="7" max="7" width="30.42578125" style="70" customWidth="1"/>
    <col min="8" max="16384" width="9.140625" style="70"/>
  </cols>
  <sheetData>
    <row r="3" spans="2:5" ht="22.5" customHeight="1">
      <c r="B3" s="69" t="s">
        <v>136</v>
      </c>
      <c r="C3" s="69" t="s">
        <v>137</v>
      </c>
      <c r="D3" s="69" t="s">
        <v>138</v>
      </c>
      <c r="E3" s="69" t="s">
        <v>139</v>
      </c>
    </row>
    <row r="4" spans="2:5" ht="22.5" customHeight="1">
      <c r="B4" s="71">
        <v>1</v>
      </c>
      <c r="C4" s="72" t="s">
        <v>140</v>
      </c>
      <c r="D4" s="71"/>
      <c r="E4" s="71"/>
    </row>
    <row r="5" spans="2:5" ht="22.5" customHeight="1">
      <c r="B5" s="71"/>
      <c r="C5" s="72"/>
      <c r="D5" s="71" t="s">
        <v>141</v>
      </c>
      <c r="E5" s="71"/>
    </row>
    <row r="6" spans="2:5" ht="22.5" customHeight="1">
      <c r="B6" s="71"/>
      <c r="C6" s="72"/>
      <c r="D6" s="71" t="s">
        <v>142</v>
      </c>
      <c r="E6" s="71"/>
    </row>
    <row r="7" spans="2:5" ht="22.5" customHeight="1">
      <c r="B7" s="71"/>
      <c r="C7" s="72"/>
      <c r="D7" s="71" t="s">
        <v>143</v>
      </c>
      <c r="E7" s="71"/>
    </row>
    <row r="8" spans="2:5" ht="22.5" customHeight="1">
      <c r="B8" s="71"/>
      <c r="C8" s="72"/>
      <c r="D8" s="71" t="s">
        <v>144</v>
      </c>
      <c r="E8" s="71" t="s">
        <v>145</v>
      </c>
    </row>
    <row r="9" spans="2:5" ht="22.5" customHeight="1">
      <c r="B9" s="71"/>
      <c r="C9" s="72"/>
      <c r="D9" s="71"/>
      <c r="E9" s="71" t="s">
        <v>146</v>
      </c>
    </row>
    <row r="10" spans="2:5" ht="22.5" customHeight="1">
      <c r="B10" s="71"/>
      <c r="C10" s="72"/>
      <c r="D10" s="71"/>
      <c r="E10" s="71" t="s">
        <v>147</v>
      </c>
    </row>
    <row r="11" spans="2:5" ht="22.5" customHeight="1">
      <c r="B11" s="71">
        <v>2</v>
      </c>
      <c r="C11" s="72" t="s">
        <v>148</v>
      </c>
      <c r="D11" s="71" t="s">
        <v>149</v>
      </c>
      <c r="E11" s="71" t="s">
        <v>150</v>
      </c>
    </row>
    <row r="12" spans="2:5" ht="22.5" customHeight="1">
      <c r="B12" s="71"/>
      <c r="C12" s="72"/>
      <c r="D12" s="71"/>
      <c r="E12" s="71" t="s">
        <v>151</v>
      </c>
    </row>
    <row r="13" spans="2:5" ht="22.5" customHeight="1">
      <c r="B13" s="71"/>
      <c r="C13" s="72"/>
      <c r="D13" s="71"/>
      <c r="E13" s="71" t="s">
        <v>152</v>
      </c>
    </row>
    <row r="14" spans="2:5" ht="22.5" customHeight="1">
      <c r="B14" s="71">
        <v>3</v>
      </c>
      <c r="C14" s="72" t="s">
        <v>153</v>
      </c>
      <c r="D14" s="71"/>
      <c r="E14" s="71"/>
    </row>
    <row r="15" spans="2:5" ht="22.5" customHeight="1">
      <c r="B15" s="71"/>
      <c r="C15" s="72"/>
      <c r="D15" s="71" t="s">
        <v>154</v>
      </c>
      <c r="E15" s="71"/>
    </row>
    <row r="16" spans="2:5" ht="22.5" customHeight="1">
      <c r="B16" s="71"/>
      <c r="C16" s="72"/>
      <c r="D16" s="71" t="s">
        <v>155</v>
      </c>
      <c r="E16" s="71"/>
    </row>
    <row r="17" spans="2:7" ht="22.5" customHeight="1">
      <c r="B17" s="71"/>
      <c r="C17" s="72"/>
      <c r="D17" s="71" t="s">
        <v>156</v>
      </c>
      <c r="E17" s="71"/>
    </row>
    <row r="18" spans="2:7" ht="22.5" customHeight="1">
      <c r="B18" s="71"/>
      <c r="C18" s="72"/>
      <c r="D18" s="71" t="s">
        <v>157</v>
      </c>
      <c r="E18" s="71"/>
    </row>
    <row r="19" spans="2:7" ht="22.5" customHeight="1">
      <c r="B19" s="71"/>
      <c r="C19" s="72"/>
      <c r="D19" s="71" t="s">
        <v>158</v>
      </c>
      <c r="E19" s="71" t="s">
        <v>159</v>
      </c>
    </row>
    <row r="20" spans="2:7" ht="22.5" customHeight="1">
      <c r="B20" s="71">
        <v>4</v>
      </c>
      <c r="C20" s="72" t="s">
        <v>160</v>
      </c>
      <c r="D20" s="71"/>
      <c r="E20" s="71"/>
    </row>
    <row r="21" spans="2:7" ht="22.5" customHeight="1">
      <c r="B21" s="71"/>
      <c r="C21" s="72"/>
      <c r="D21" s="71" t="s">
        <v>161</v>
      </c>
      <c r="E21" s="71"/>
    </row>
    <row r="22" spans="2:7" ht="22.5" customHeight="1">
      <c r="B22" s="71"/>
      <c r="C22" s="72"/>
      <c r="D22" s="71" t="s">
        <v>162</v>
      </c>
      <c r="E22" s="71"/>
    </row>
    <row r="23" spans="2:7" ht="22.5" customHeight="1">
      <c r="B23" s="71"/>
      <c r="C23" s="72"/>
      <c r="D23" s="71" t="s">
        <v>163</v>
      </c>
      <c r="E23" s="71"/>
    </row>
    <row r="24" spans="2:7" ht="22.5" customHeight="1">
      <c r="B24" s="71"/>
      <c r="C24" s="72"/>
      <c r="D24" s="71" t="s">
        <v>164</v>
      </c>
      <c r="E24" s="71"/>
    </row>
    <row r="25" spans="2:7" ht="22.5" customHeight="1">
      <c r="B25" s="71"/>
      <c r="C25" s="72"/>
      <c r="D25" s="71" t="s">
        <v>165</v>
      </c>
      <c r="E25" s="71"/>
    </row>
    <row r="26" spans="2:7" ht="22.5" customHeight="1">
      <c r="B26" s="71"/>
      <c r="C26" s="72"/>
      <c r="D26" s="71" t="s">
        <v>166</v>
      </c>
      <c r="E26" s="71"/>
    </row>
    <row r="27" spans="2:7">
      <c r="B27" s="71">
        <v>5</v>
      </c>
      <c r="C27" s="72" t="s">
        <v>167</v>
      </c>
      <c r="D27" s="71"/>
      <c r="E27" s="71"/>
    </row>
    <row r="28" spans="2:7">
      <c r="B28" s="71"/>
      <c r="C28" s="72">
        <v>1</v>
      </c>
      <c r="D28" s="71" t="s">
        <v>168</v>
      </c>
      <c r="E28" s="71" t="s">
        <v>169</v>
      </c>
      <c r="G28" s="70" t="s">
        <v>170</v>
      </c>
    </row>
    <row r="29" spans="2:7" ht="61.5">
      <c r="B29" s="71"/>
      <c r="C29" s="72">
        <v>2</v>
      </c>
      <c r="D29" s="71" t="s">
        <v>171</v>
      </c>
      <c r="E29" s="71" t="s">
        <v>172</v>
      </c>
      <c r="G29" s="74" t="s">
        <v>173</v>
      </c>
    </row>
    <row r="30" spans="2:7" ht="30.75">
      <c r="B30" s="71"/>
      <c r="C30" s="72"/>
      <c r="D30" s="71"/>
      <c r="E30" s="73" t="s">
        <v>174</v>
      </c>
    </row>
    <row r="31" spans="2:7" ht="45.75">
      <c r="B31" s="71"/>
      <c r="C31" s="72">
        <v>3</v>
      </c>
      <c r="D31" s="71" t="s">
        <v>175</v>
      </c>
      <c r="E31" s="73" t="s">
        <v>176</v>
      </c>
    </row>
    <row r="32" spans="2:7">
      <c r="B32" s="71"/>
      <c r="C32" s="72">
        <v>4</v>
      </c>
      <c r="D32" s="71" t="s">
        <v>177</v>
      </c>
      <c r="E32" s="71" t="s">
        <v>178</v>
      </c>
    </row>
    <row r="33" spans="2:5">
      <c r="B33" s="71">
        <v>6</v>
      </c>
      <c r="C33" s="72" t="s">
        <v>179</v>
      </c>
      <c r="D33" s="71"/>
      <c r="E33" s="71"/>
    </row>
    <row r="34" spans="2:5" ht="61.5">
      <c r="B34" s="71"/>
      <c r="C34" s="72">
        <v>1</v>
      </c>
      <c r="D34" s="71" t="s">
        <v>180</v>
      </c>
      <c r="E34" s="73" t="s">
        <v>181</v>
      </c>
    </row>
    <row r="35" spans="2:5" ht="61.5">
      <c r="B35" s="71"/>
      <c r="C35" s="72">
        <v>2</v>
      </c>
      <c r="D35" s="71" t="s">
        <v>182</v>
      </c>
      <c r="E35" s="73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7457-FA26-4DE1-BD8E-B00C1455E058}">
  <dimension ref="C18:I28"/>
  <sheetViews>
    <sheetView topLeftCell="A18" workbookViewId="0">
      <selection activeCell="D19" sqref="D19:D23"/>
    </sheetView>
  </sheetViews>
  <sheetFormatPr defaultRowHeight="15"/>
  <cols>
    <col min="1" max="2" width="9.140625" style="60"/>
    <col min="3" max="3" width="7.5703125" style="60" customWidth="1"/>
    <col min="4" max="4" width="28.42578125" style="60" customWidth="1"/>
    <col min="5" max="7" width="25.85546875" style="60" customWidth="1"/>
    <col min="8" max="8" width="54.28515625" style="60" customWidth="1"/>
    <col min="9" max="16384" width="9.140625" style="60"/>
  </cols>
  <sheetData>
    <row r="18" spans="3:9">
      <c r="C18" s="61" t="s">
        <v>184</v>
      </c>
      <c r="D18" s="64" t="s">
        <v>185</v>
      </c>
      <c r="E18" s="124" t="s">
        <v>186</v>
      </c>
      <c r="F18" s="124"/>
      <c r="G18" s="124"/>
      <c r="H18" s="124" t="s">
        <v>187</v>
      </c>
      <c r="I18" s="124"/>
    </row>
    <row r="19" spans="3:9" ht="72.75" customHeight="1">
      <c r="C19" s="62">
        <v>1</v>
      </c>
      <c r="D19" s="67" t="s">
        <v>188</v>
      </c>
      <c r="E19" s="121" t="s">
        <v>189</v>
      </c>
      <c r="F19" s="121"/>
      <c r="G19" s="121"/>
      <c r="H19" s="125" t="s">
        <v>190</v>
      </c>
      <c r="I19" s="125"/>
    </row>
    <row r="20" spans="3:9">
      <c r="C20" s="62">
        <v>2</v>
      </c>
      <c r="D20" s="68" t="s">
        <v>191</v>
      </c>
      <c r="E20" s="121" t="s">
        <v>192</v>
      </c>
      <c r="F20" s="121"/>
      <c r="G20" s="121"/>
      <c r="H20" s="120"/>
      <c r="I20" s="120"/>
    </row>
    <row r="21" spans="3:9">
      <c r="C21" s="62">
        <v>3</v>
      </c>
      <c r="D21" s="68" t="s">
        <v>193</v>
      </c>
      <c r="E21" s="121" t="s">
        <v>192</v>
      </c>
      <c r="F21" s="121"/>
      <c r="G21" s="121"/>
      <c r="H21" s="120"/>
      <c r="I21" s="120"/>
    </row>
    <row r="22" spans="3:9">
      <c r="C22" s="62">
        <v>4</v>
      </c>
      <c r="D22" s="68" t="s">
        <v>194</v>
      </c>
      <c r="E22" s="121" t="s">
        <v>195</v>
      </c>
      <c r="F22" s="121"/>
      <c r="G22" s="121"/>
      <c r="H22" s="120"/>
      <c r="I22" s="120"/>
    </row>
    <row r="23" spans="3:9">
      <c r="C23" s="62">
        <v>5</v>
      </c>
      <c r="D23" s="68" t="s">
        <v>196</v>
      </c>
      <c r="E23" s="121" t="s">
        <v>197</v>
      </c>
      <c r="F23" s="121"/>
      <c r="G23" s="121"/>
      <c r="H23" s="120"/>
      <c r="I23" s="120"/>
    </row>
    <row r="25" spans="3:9">
      <c r="C25" s="65" t="s">
        <v>184</v>
      </c>
      <c r="D25" s="41" t="s">
        <v>198</v>
      </c>
      <c r="E25" s="123" t="s">
        <v>199</v>
      </c>
      <c r="F25" s="123"/>
      <c r="G25" s="66" t="s">
        <v>200</v>
      </c>
      <c r="H25" s="123" t="s">
        <v>201</v>
      </c>
      <c r="I25" s="123"/>
    </row>
    <row r="26" spans="3:9">
      <c r="C26" s="62">
        <v>1</v>
      </c>
      <c r="D26" s="63" t="s">
        <v>202</v>
      </c>
      <c r="E26" s="120" t="s">
        <v>118</v>
      </c>
      <c r="F26" s="120"/>
      <c r="G26" s="16" t="s">
        <v>118</v>
      </c>
      <c r="H26" s="122" t="s">
        <v>203</v>
      </c>
      <c r="I26" s="122"/>
    </row>
    <row r="27" spans="3:9">
      <c r="C27" s="62">
        <v>2</v>
      </c>
      <c r="D27" s="16" t="s">
        <v>204</v>
      </c>
      <c r="E27" s="120" t="s">
        <v>118</v>
      </c>
      <c r="F27" s="120"/>
      <c r="G27" s="16" t="s">
        <v>118</v>
      </c>
      <c r="H27" s="122"/>
      <c r="I27" s="122"/>
    </row>
    <row r="28" spans="3:9">
      <c r="C28" s="62">
        <v>3</v>
      </c>
      <c r="D28" s="16" t="s">
        <v>205</v>
      </c>
      <c r="E28" s="120" t="s">
        <v>118</v>
      </c>
      <c r="F28" s="120"/>
      <c r="G28" s="16" t="s">
        <v>118</v>
      </c>
      <c r="H28" s="122"/>
      <c r="I28" s="122"/>
    </row>
  </sheetData>
  <mergeCells count="18">
    <mergeCell ref="E18:G18"/>
    <mergeCell ref="E19:G19"/>
    <mergeCell ref="H18:I18"/>
    <mergeCell ref="H19:I19"/>
    <mergeCell ref="H20:I20"/>
    <mergeCell ref="H21:I21"/>
    <mergeCell ref="H22:I22"/>
    <mergeCell ref="E20:G20"/>
    <mergeCell ref="E21:G21"/>
    <mergeCell ref="E26:F26"/>
    <mergeCell ref="H26:I28"/>
    <mergeCell ref="E27:F27"/>
    <mergeCell ref="E28:F28"/>
    <mergeCell ref="H23:I23"/>
    <mergeCell ref="E25:F25"/>
    <mergeCell ref="H25:I25"/>
    <mergeCell ref="E22:G22"/>
    <mergeCell ref="E23:G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B2FB-CE69-4A21-838A-64FB250771B3}">
  <dimension ref="T5:AD12"/>
  <sheetViews>
    <sheetView topLeftCell="P1" workbookViewId="0">
      <selection activeCell="AH20" sqref="AH20"/>
    </sheetView>
  </sheetViews>
  <sheetFormatPr defaultRowHeight="15"/>
  <cols>
    <col min="21" max="21" width="64.7109375" customWidth="1"/>
    <col min="22" max="22" width="33.28515625" customWidth="1"/>
    <col min="23" max="29" width="12.140625" customWidth="1"/>
  </cols>
  <sheetData>
    <row r="5" spans="20:30">
      <c r="T5" s="37"/>
      <c r="U5" s="37"/>
      <c r="V5" s="37"/>
      <c r="W5" s="42">
        <v>46188</v>
      </c>
      <c r="X5" s="42">
        <v>46189</v>
      </c>
      <c r="Y5" s="42">
        <v>46190</v>
      </c>
      <c r="Z5" s="42">
        <v>46191</v>
      </c>
      <c r="AA5" s="42">
        <v>46192</v>
      </c>
      <c r="AB5" s="42">
        <v>46193</v>
      </c>
      <c r="AC5" s="42">
        <v>46194</v>
      </c>
      <c r="AD5" s="39"/>
    </row>
    <row r="6" spans="20:30">
      <c r="T6" s="45" t="s">
        <v>184</v>
      </c>
      <c r="U6" s="37" t="s">
        <v>206</v>
      </c>
      <c r="V6" s="37" t="s">
        <v>207</v>
      </c>
      <c r="W6" s="43" t="s">
        <v>102</v>
      </c>
      <c r="X6" s="41" t="s">
        <v>103</v>
      </c>
      <c r="Y6" s="41" t="s">
        <v>104</v>
      </c>
      <c r="Z6" s="41" t="s">
        <v>105</v>
      </c>
      <c r="AA6" s="41" t="s">
        <v>106</v>
      </c>
      <c r="AB6" s="41" t="s">
        <v>107</v>
      </c>
      <c r="AC6" s="41" t="s">
        <v>108</v>
      </c>
      <c r="AD6" s="39"/>
    </row>
    <row r="7" spans="20:30">
      <c r="T7" s="14">
        <v>1</v>
      </c>
      <c r="U7" s="14" t="s">
        <v>208</v>
      </c>
      <c r="V7" s="14"/>
      <c r="W7" s="21" t="s">
        <v>118</v>
      </c>
      <c r="X7" s="21" t="s">
        <v>118</v>
      </c>
      <c r="Y7" s="16"/>
      <c r="Z7" s="16"/>
      <c r="AA7" s="16"/>
      <c r="AB7" s="16"/>
      <c r="AC7" s="16"/>
      <c r="AD7" s="39"/>
    </row>
    <row r="8" spans="20:30">
      <c r="T8" s="14">
        <v>2</v>
      </c>
      <c r="U8" s="14" t="s">
        <v>209</v>
      </c>
      <c r="V8" s="14" t="s">
        <v>210</v>
      </c>
      <c r="W8" s="21"/>
      <c r="X8" s="21"/>
      <c r="Y8" s="16" t="s">
        <v>118</v>
      </c>
      <c r="Z8" s="16"/>
      <c r="AA8" s="16"/>
      <c r="AB8" s="16"/>
      <c r="AC8" s="16"/>
      <c r="AD8" s="39"/>
    </row>
    <row r="9" spans="20:30">
      <c r="T9" s="14">
        <v>3</v>
      </c>
      <c r="U9" s="14" t="s">
        <v>211</v>
      </c>
      <c r="V9" s="38" t="s">
        <v>212</v>
      </c>
      <c r="W9" s="44"/>
      <c r="X9" s="44"/>
      <c r="Y9" s="40" t="s">
        <v>118</v>
      </c>
      <c r="Z9" s="16" t="s">
        <v>118</v>
      </c>
      <c r="AA9" s="16"/>
      <c r="AB9" s="16"/>
      <c r="AC9" s="16"/>
      <c r="AD9" s="39"/>
    </row>
    <row r="10" spans="20:30">
      <c r="T10" s="14">
        <v>4</v>
      </c>
      <c r="U10" s="14" t="s">
        <v>213</v>
      </c>
      <c r="V10" s="14"/>
      <c r="W10" s="21"/>
      <c r="X10" s="21"/>
      <c r="Y10" s="16" t="s">
        <v>118</v>
      </c>
      <c r="Z10" s="16" t="s">
        <v>118</v>
      </c>
      <c r="AA10" s="16"/>
      <c r="AB10" s="16"/>
      <c r="AC10" s="16"/>
      <c r="AD10" s="39"/>
    </row>
    <row r="11" spans="20:30">
      <c r="T11" s="14">
        <v>5</v>
      </c>
      <c r="U11" s="14" t="s">
        <v>214</v>
      </c>
      <c r="V11" s="14"/>
      <c r="W11" s="21"/>
      <c r="X11" s="21"/>
      <c r="Y11" s="16"/>
      <c r="Z11" s="16"/>
      <c r="AA11" s="16" t="s">
        <v>118</v>
      </c>
      <c r="AB11" s="16" t="s">
        <v>118</v>
      </c>
      <c r="AC11" s="16"/>
      <c r="AD11" s="39"/>
    </row>
    <row r="12" spans="20:30">
      <c r="T12" s="14">
        <v>6</v>
      </c>
      <c r="U12" s="14" t="s">
        <v>215</v>
      </c>
      <c r="V12" s="14"/>
      <c r="W12" s="21"/>
      <c r="X12" s="21"/>
      <c r="Y12" s="16"/>
      <c r="Z12" s="16"/>
      <c r="AA12" s="16"/>
      <c r="AB12" s="16"/>
      <c r="AC12" s="16" t="s">
        <v>118</v>
      </c>
      <c r="AD12" s="3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E6C5-520F-4FC0-B5AB-75AABA2BCFD6}">
  <dimension ref="B1:R37"/>
  <sheetViews>
    <sheetView workbookViewId="0">
      <pane ySplit="1" topLeftCell="A12" activePane="bottomLeft" state="frozen"/>
      <selection pane="bottomLeft" activeCell="B41" sqref="B41"/>
    </sheetView>
  </sheetViews>
  <sheetFormatPr defaultRowHeight="15"/>
  <cols>
    <col min="2" max="2" width="39.28515625" customWidth="1"/>
    <col min="3" max="3" width="100" customWidth="1"/>
    <col min="4" max="4" width="28.85546875" customWidth="1"/>
    <col min="5" max="5" width="67.42578125" customWidth="1"/>
    <col min="9" max="9" width="46.42578125" customWidth="1"/>
    <col min="10" max="17" width="17.42578125" customWidth="1"/>
  </cols>
  <sheetData>
    <row r="1" spans="2:18">
      <c r="I1" t="s">
        <v>216</v>
      </c>
      <c r="J1" s="57" t="s">
        <v>51</v>
      </c>
      <c r="K1" s="55" t="s">
        <v>217</v>
      </c>
      <c r="L1" s="55" t="s">
        <v>218</v>
      </c>
      <c r="M1" s="55" t="s">
        <v>219</v>
      </c>
      <c r="N1" s="55" t="s">
        <v>220</v>
      </c>
      <c r="O1" s="56" t="s">
        <v>8</v>
      </c>
      <c r="P1" s="56" t="s">
        <v>221</v>
      </c>
      <c r="Q1" s="56" t="s">
        <v>222</v>
      </c>
    </row>
    <row r="2" spans="2:18">
      <c r="B2" s="46" t="s">
        <v>223</v>
      </c>
      <c r="C2" s="46" t="s">
        <v>224</v>
      </c>
      <c r="D2" s="47" t="s">
        <v>219</v>
      </c>
      <c r="E2" s="46" t="s">
        <v>225</v>
      </c>
      <c r="H2" s="14">
        <f>COUNTIFS(E:E,I2)</f>
        <v>4</v>
      </c>
      <c r="I2" s="58" t="s">
        <v>226</v>
      </c>
      <c r="J2" s="21">
        <f>COUNTIFS($E:$E,$I$2,$D:$D,J1)</f>
        <v>0</v>
      </c>
      <c r="K2" s="21">
        <f>COUNTIFS($E:$E,$I$2,$D:$D,K1)</f>
        <v>2</v>
      </c>
      <c r="L2" s="21">
        <f>COUNTIFS($E:$E,$I$2,$D:$D,L1)</f>
        <v>1</v>
      </c>
      <c r="M2" s="21">
        <f>COUNTIFS($E:$E,$I$2,$D:$D,M1)</f>
        <v>0</v>
      </c>
      <c r="N2" s="21">
        <f>COUNTIFS($E:$E,$I$2,$D:$D,N1)</f>
        <v>0</v>
      </c>
      <c r="O2" s="21">
        <f>COUNTIFS($E:$E,$I$2,$D:$D,O1)</f>
        <v>0</v>
      </c>
      <c r="P2" s="21">
        <f>COUNTIFS($E:$E,$I$2,$D:$D,P1)</f>
        <v>0</v>
      </c>
      <c r="Q2" s="21">
        <f>COUNTIFS($E:$E,$I$2,$D:$D,Q1)</f>
        <v>1</v>
      </c>
      <c r="R2">
        <f>SUM(J2:Q2)</f>
        <v>4</v>
      </c>
    </row>
    <row r="3" spans="2:18">
      <c r="B3" s="46" t="s">
        <v>227</v>
      </c>
      <c r="C3" s="46" t="s">
        <v>228</v>
      </c>
      <c r="D3" s="48" t="s">
        <v>8</v>
      </c>
      <c r="E3" s="46" t="s">
        <v>229</v>
      </c>
      <c r="H3" s="14">
        <f>COUNTIFS(E:E,I3)</f>
        <v>9</v>
      </c>
      <c r="I3" s="58" t="s">
        <v>230</v>
      </c>
      <c r="J3" s="21">
        <f>COUNTIFS($E:$E,$I$3,$D:$D,J1)</f>
        <v>4</v>
      </c>
      <c r="K3" s="21">
        <f>COUNTIFS($E:$E,$I$3,$D:$D,K1)</f>
        <v>4</v>
      </c>
      <c r="L3" s="21">
        <f>COUNTIFS($E:$E,$I$3,$D:$D,L1)</f>
        <v>1</v>
      </c>
      <c r="M3" s="21">
        <f>COUNTIFS($E:$E,$I$3,$D:$D,M1)</f>
        <v>0</v>
      </c>
      <c r="N3" s="21">
        <f>COUNTIFS($E:$E,$I$3,$D:$D,N1)</f>
        <v>0</v>
      </c>
      <c r="O3" s="21">
        <f>COUNTIFS($E:$E,$I$3,$D:$D,O1)</f>
        <v>0</v>
      </c>
      <c r="P3" s="21">
        <f>COUNTIFS($E:$E,$I$3,$D:$D,P1)</f>
        <v>0</v>
      </c>
      <c r="Q3" s="21">
        <f>COUNTIFS($E:$E,$I$3,$D:$D,Q1)</f>
        <v>0</v>
      </c>
      <c r="R3">
        <f>SUM(J3:Q3)</f>
        <v>9</v>
      </c>
    </row>
    <row r="4" spans="2:18">
      <c r="B4" s="53" t="s">
        <v>231</v>
      </c>
      <c r="C4" s="53" t="s">
        <v>232</v>
      </c>
      <c r="D4" s="47" t="s">
        <v>220</v>
      </c>
      <c r="E4" s="53" t="s">
        <v>229</v>
      </c>
      <c r="H4" s="14">
        <f>COUNTIFS(E:E,I4)</f>
        <v>5</v>
      </c>
      <c r="I4" s="58" t="s">
        <v>233</v>
      </c>
      <c r="J4" s="21">
        <f>COUNTIFS($E:$E,$I$4,$D:$D,J1)</f>
        <v>1</v>
      </c>
      <c r="K4" s="21">
        <f>COUNTIFS($E:$E,$I$4,$D:$D,K1)</f>
        <v>3</v>
      </c>
      <c r="L4" s="21">
        <f>COUNTIFS($E:$E,$I$4,$D:$D,L1)</f>
        <v>1</v>
      </c>
      <c r="M4" s="21">
        <f>COUNTIFS($E:$E,$I$4,$D:$D,M1)</f>
        <v>0</v>
      </c>
      <c r="N4" s="21">
        <f>COUNTIFS($E:$E,$I$4,$D:$D,N1)</f>
        <v>0</v>
      </c>
      <c r="O4" s="21">
        <f>COUNTIFS($E:$E,$I$4,$D:$D,O1)</f>
        <v>0</v>
      </c>
      <c r="P4" s="21">
        <f>COUNTIFS($E:$E,$I$4,$D:$D,P1)</f>
        <v>0</v>
      </c>
      <c r="Q4" s="21">
        <f>COUNTIFS($E:$E,$I$4,$D:$D,Q1)</f>
        <v>0</v>
      </c>
      <c r="R4">
        <f>SUM(J4:Q4)</f>
        <v>5</v>
      </c>
    </row>
    <row r="5" spans="2:18">
      <c r="B5" s="53" t="s">
        <v>234</v>
      </c>
      <c r="C5" s="53" t="s">
        <v>235</v>
      </c>
      <c r="D5" s="47" t="s">
        <v>217</v>
      </c>
      <c r="E5" s="53" t="s">
        <v>236</v>
      </c>
      <c r="H5" s="14">
        <f>COUNTIFS(E:E,I5)</f>
        <v>2</v>
      </c>
      <c r="I5" s="58" t="s">
        <v>237</v>
      </c>
      <c r="J5" s="21">
        <f>COUNTIFS($E:$E,$I$5,$D:$D,J1)</f>
        <v>0</v>
      </c>
      <c r="K5" s="21">
        <f>COUNTIFS($E:$E,$I$5,$D:$D,K1)</f>
        <v>2</v>
      </c>
      <c r="L5" s="21">
        <f>COUNTIFS($E:$E,$I$5,$D:$D,L1)</f>
        <v>0</v>
      </c>
      <c r="M5" s="21">
        <f>COUNTIFS($E:$E,$I$5,$D:$D,M1)</f>
        <v>0</v>
      </c>
      <c r="N5" s="21">
        <f>COUNTIFS($E:$E,$I$5,$D:$D,N1)</f>
        <v>0</v>
      </c>
      <c r="O5" s="21">
        <f>COUNTIFS($E:$E,$I$5,$D:$D,O1)</f>
        <v>0</v>
      </c>
      <c r="P5" s="21">
        <f>COUNTIFS($E:$E,$I$5,$D:$D,P1)</f>
        <v>0</v>
      </c>
      <c r="Q5" s="21">
        <f>COUNTIFS($E:$E,$I$5,$D:$D,Q1)</f>
        <v>0</v>
      </c>
      <c r="R5">
        <f>SUM(J5:Q5)</f>
        <v>2</v>
      </c>
    </row>
    <row r="6" spans="2:18">
      <c r="B6" s="46" t="s">
        <v>238</v>
      </c>
      <c r="C6" s="46" t="s">
        <v>239</v>
      </c>
      <c r="D6" s="48" t="s">
        <v>221</v>
      </c>
      <c r="E6" s="46" t="s">
        <v>225</v>
      </c>
    </row>
    <row r="7" spans="2:18">
      <c r="B7" s="49" t="s">
        <v>240</v>
      </c>
      <c r="C7" s="49" t="s">
        <v>241</v>
      </c>
      <c r="D7" s="54" t="s">
        <v>221</v>
      </c>
      <c r="E7" s="49" t="s">
        <v>225</v>
      </c>
    </row>
    <row r="8" spans="2:18">
      <c r="B8" s="46" t="s">
        <v>242</v>
      </c>
      <c r="C8" s="46" t="s">
        <v>243</v>
      </c>
      <c r="D8" s="48" t="s">
        <v>221</v>
      </c>
      <c r="E8" s="46" t="s">
        <v>225</v>
      </c>
    </row>
    <row r="9" spans="2:18">
      <c r="B9" s="46" t="s">
        <v>244</v>
      </c>
      <c r="C9" s="46" t="s">
        <v>245</v>
      </c>
      <c r="D9" s="48" t="s">
        <v>222</v>
      </c>
      <c r="E9" s="46" t="s">
        <v>226</v>
      </c>
    </row>
    <row r="10" spans="2:18">
      <c r="B10" s="46" t="s">
        <v>246</v>
      </c>
      <c r="C10" s="46" t="s">
        <v>247</v>
      </c>
      <c r="D10" s="48" t="s">
        <v>221</v>
      </c>
      <c r="E10" s="46" t="s">
        <v>248</v>
      </c>
    </row>
    <row r="11" spans="2:18">
      <c r="B11" s="46" t="s">
        <v>249</v>
      </c>
      <c r="C11" s="46" t="s">
        <v>250</v>
      </c>
      <c r="D11" s="48" t="s">
        <v>221</v>
      </c>
      <c r="E11" s="46" t="s">
        <v>248</v>
      </c>
    </row>
    <row r="12" spans="2:18">
      <c r="B12" s="49" t="s">
        <v>251</v>
      </c>
      <c r="C12" s="49" t="s">
        <v>252</v>
      </c>
      <c r="D12" s="50" t="s">
        <v>217</v>
      </c>
      <c r="E12" s="49" t="s">
        <v>230</v>
      </c>
    </row>
    <row r="13" spans="2:18">
      <c r="B13" s="49" t="s">
        <v>253</v>
      </c>
      <c r="C13" s="49" t="s">
        <v>254</v>
      </c>
      <c r="D13" s="50" t="s">
        <v>218</v>
      </c>
      <c r="E13" s="49" t="s">
        <v>233</v>
      </c>
    </row>
    <row r="14" spans="2:18">
      <c r="B14" s="49" t="s">
        <v>255</v>
      </c>
      <c r="C14" s="49" t="s">
        <v>256</v>
      </c>
      <c r="D14" s="50" t="s">
        <v>217</v>
      </c>
      <c r="E14" s="49" t="s">
        <v>230</v>
      </c>
    </row>
    <row r="15" spans="2:18">
      <c r="B15" s="46" t="s">
        <v>257</v>
      </c>
      <c r="C15" s="46" t="s">
        <v>258</v>
      </c>
      <c r="D15" s="51" t="s">
        <v>51</v>
      </c>
      <c r="E15" s="46" t="s">
        <v>230</v>
      </c>
    </row>
    <row r="16" spans="2:18">
      <c r="B16" s="46" t="s">
        <v>259</v>
      </c>
      <c r="C16" s="46" t="s">
        <v>260</v>
      </c>
      <c r="D16" s="51" t="s">
        <v>51</v>
      </c>
      <c r="E16" s="46" t="s">
        <v>233</v>
      </c>
    </row>
    <row r="17" spans="2:18">
      <c r="B17" s="49" t="s">
        <v>261</v>
      </c>
      <c r="C17" s="49" t="s">
        <v>262</v>
      </c>
      <c r="D17" s="50" t="s">
        <v>218</v>
      </c>
      <c r="E17" s="49" t="s">
        <v>230</v>
      </c>
    </row>
    <row r="18" spans="2:18">
      <c r="B18" s="46" t="s">
        <v>263</v>
      </c>
      <c r="C18" s="46" t="s">
        <v>264</v>
      </c>
      <c r="D18" s="47" t="s">
        <v>217</v>
      </c>
      <c r="E18" s="46" t="s">
        <v>248</v>
      </c>
    </row>
    <row r="19" spans="2:18">
      <c r="B19" s="46" t="s">
        <v>265</v>
      </c>
      <c r="C19" s="46" t="s">
        <v>266</v>
      </c>
      <c r="D19" s="47" t="s">
        <v>217</v>
      </c>
      <c r="E19" s="46" t="s">
        <v>233</v>
      </c>
    </row>
    <row r="20" spans="2:18">
      <c r="B20" s="49" t="s">
        <v>267</v>
      </c>
      <c r="C20" s="49" t="s">
        <v>268</v>
      </c>
      <c r="D20" s="50" t="s">
        <v>217</v>
      </c>
      <c r="E20" s="49" t="s">
        <v>233</v>
      </c>
      <c r="J20" s="57" t="s">
        <v>51</v>
      </c>
      <c r="K20" s="55" t="s">
        <v>217</v>
      </c>
      <c r="L20" s="55" t="s">
        <v>218</v>
      </c>
      <c r="M20" s="55" t="s">
        <v>219</v>
      </c>
      <c r="N20" s="55" t="s">
        <v>220</v>
      </c>
      <c r="O20" s="56" t="s">
        <v>8</v>
      </c>
      <c r="P20" s="56" t="s">
        <v>221</v>
      </c>
      <c r="Q20" s="56" t="s">
        <v>222</v>
      </c>
    </row>
    <row r="21" spans="2:18">
      <c r="B21" s="46" t="s">
        <v>269</v>
      </c>
      <c r="C21" s="46" t="s">
        <v>270</v>
      </c>
      <c r="D21" s="51" t="s">
        <v>51</v>
      </c>
      <c r="E21" s="46" t="s">
        <v>230</v>
      </c>
      <c r="H21" s="14">
        <f>COUNTIFS(E:E,I21)</f>
        <v>6</v>
      </c>
      <c r="I21" s="58" t="s">
        <v>225</v>
      </c>
      <c r="J21" s="21">
        <f>COUNTIFS($E:$E,#REF!,$D:$D,J20)</f>
        <v>0</v>
      </c>
      <c r="K21" s="21">
        <f>COUNTIFS($E:$E,#REF!,$D:$D,K20)</f>
        <v>0</v>
      </c>
      <c r="L21" s="21">
        <f>COUNTIFS($E:$E,#REF!,$D:$D,L20)</f>
        <v>0</v>
      </c>
      <c r="M21" s="21">
        <f>COUNTIFS(E:E,I21,D:D,$M$1)</f>
        <v>1</v>
      </c>
      <c r="N21" s="21">
        <f>COUNTIFS($E:$E,#REF!,$D:$D,N20)</f>
        <v>0</v>
      </c>
      <c r="O21" s="21">
        <f>COUNTIFS($E:$E,#REF!,$D:$D,O20)</f>
        <v>0</v>
      </c>
      <c r="P21" s="21">
        <f>COUNTIFS($E:$E,#REF!,$D:$D,P20)</f>
        <v>0</v>
      </c>
      <c r="Q21" s="21">
        <f>COUNTIFS($E:$E,#REF!,$D:$D,Q20)</f>
        <v>0</v>
      </c>
      <c r="R21">
        <f>SUM(J21:Q21)</f>
        <v>1</v>
      </c>
    </row>
    <row r="22" spans="2:18">
      <c r="B22" s="46" t="s">
        <v>271</v>
      </c>
      <c r="C22" s="46" t="s">
        <v>272</v>
      </c>
      <c r="D22" s="51" t="s">
        <v>51</v>
      </c>
      <c r="E22" s="46" t="s">
        <v>248</v>
      </c>
      <c r="H22" s="14">
        <f>COUNTIFS(E:E,I22)</f>
        <v>3</v>
      </c>
      <c r="I22" s="58" t="s">
        <v>229</v>
      </c>
      <c r="J22" s="21">
        <f>COUNTIFS($E:$E,#REF!,$D:$D,J20)</f>
        <v>0</v>
      </c>
      <c r="K22" s="21">
        <f>COUNTIFS($E:$E,#REF!,$D:$D,K20)</f>
        <v>0</v>
      </c>
      <c r="L22" s="21">
        <f>COUNTIFS($E:$E,#REF!,$D:$D,L20)</f>
        <v>0</v>
      </c>
      <c r="M22" s="21">
        <f>COUNTIFS($E:$E,#REF!,$D:$D,M20)</f>
        <v>0</v>
      </c>
      <c r="N22" s="21">
        <f>COUNTIFS($E:$E,#REF!,$D:$D,N20)</f>
        <v>0</v>
      </c>
      <c r="O22" s="21">
        <f>COUNTIFS($E:$E,#REF!,$D:$D,O20)</f>
        <v>0</v>
      </c>
      <c r="P22" s="21">
        <f>COUNTIFS($E:$E,#REF!,$D:$D,P20)</f>
        <v>0</v>
      </c>
      <c r="Q22" s="21">
        <f>COUNTIFS($E:$E,#REF!,$D:$D,Q20)</f>
        <v>0</v>
      </c>
      <c r="R22">
        <f>SUM(J22:Q22)</f>
        <v>0</v>
      </c>
    </row>
    <row r="23" spans="2:18">
      <c r="B23" s="49" t="s">
        <v>273</v>
      </c>
      <c r="C23" s="49" t="s">
        <v>274</v>
      </c>
      <c r="D23" s="50" t="s">
        <v>218</v>
      </c>
      <c r="E23" s="49" t="s">
        <v>226</v>
      </c>
      <c r="H23" s="14">
        <f>COUNTIFS(E:E,I23)</f>
        <v>1</v>
      </c>
      <c r="I23" s="58" t="s">
        <v>236</v>
      </c>
      <c r="J23" s="21">
        <f>COUNTIFS($E:$E,#REF!,$D:$D,J20)</f>
        <v>0</v>
      </c>
      <c r="K23" s="21">
        <f>COUNTIFS($E:$E,#REF!,$D:$D,K20)</f>
        <v>0</v>
      </c>
      <c r="L23" s="21">
        <f>COUNTIFS($E:$E,#REF!,$D:$D,L20)</f>
        <v>0</v>
      </c>
      <c r="M23" s="21">
        <f>COUNTIFS($E:$E,#REF!,$D:$D,M20)</f>
        <v>0</v>
      </c>
      <c r="N23" s="21">
        <f>COUNTIFS($E:$E,#REF!,$D:$D,N20)</f>
        <v>0</v>
      </c>
      <c r="O23" s="21">
        <f>COUNTIFS($E:$E,#REF!,$D:$D,O20)</f>
        <v>0</v>
      </c>
      <c r="P23" s="21">
        <f>COUNTIFS($E:$E,#REF!,$D:$D,P20)</f>
        <v>0</v>
      </c>
      <c r="Q23" s="21">
        <f>COUNTIFS($E:$E,#REF!,$D:$D,Q20)</f>
        <v>0</v>
      </c>
      <c r="R23">
        <f>SUM(J23:Q23)</f>
        <v>0</v>
      </c>
    </row>
    <row r="24" spans="2:18">
      <c r="B24" s="46" t="s">
        <v>275</v>
      </c>
      <c r="C24" s="46" t="s">
        <v>276</v>
      </c>
      <c r="D24" s="47" t="s">
        <v>217</v>
      </c>
      <c r="E24" s="46" t="s">
        <v>226</v>
      </c>
      <c r="H24" s="14">
        <f>COUNTIFS(E:E,I24)</f>
        <v>4</v>
      </c>
      <c r="I24" s="58" t="s">
        <v>226</v>
      </c>
      <c r="J24" s="21">
        <f>COUNTIFS($E:$E,$I$2,$D:$D,J20)</f>
        <v>0</v>
      </c>
      <c r="K24" s="21">
        <f>COUNTIFS($E:$E,$I$2,$D:$D,K20)</f>
        <v>2</v>
      </c>
      <c r="L24" s="21">
        <f>COUNTIFS($E:$E,$I$2,$D:$D,L20)</f>
        <v>1</v>
      </c>
      <c r="M24" s="21">
        <f>COUNTIFS($E:$E,$I$2,$D:$D,M20)</f>
        <v>0</v>
      </c>
      <c r="N24" s="21">
        <f>COUNTIFS($E:$E,$I$2,$D:$D,N20)</f>
        <v>0</v>
      </c>
      <c r="O24" s="21">
        <f>COUNTIFS($E:$E,$I$2,$D:$D,O20)</f>
        <v>0</v>
      </c>
      <c r="P24" s="21">
        <f>COUNTIFS($E:$E,$I$2,$D:$D,P20)</f>
        <v>0</v>
      </c>
      <c r="Q24" s="21">
        <f>COUNTIFS($E:$E,$I$2,$D:$D,Q20)</f>
        <v>1</v>
      </c>
      <c r="R24">
        <f>SUM(J24:Q24)</f>
        <v>4</v>
      </c>
    </row>
    <row r="25" spans="2:18">
      <c r="B25" s="53" t="s">
        <v>277</v>
      </c>
      <c r="C25" s="53" t="s">
        <v>278</v>
      </c>
      <c r="D25" s="47" t="s">
        <v>217</v>
      </c>
      <c r="E25" s="53" t="s">
        <v>226</v>
      </c>
      <c r="H25" s="14">
        <f>COUNTIFS(E:E,I25)</f>
        <v>6</v>
      </c>
      <c r="I25" s="58" t="s">
        <v>248</v>
      </c>
      <c r="J25" s="21">
        <f>COUNTIFS($E:$E,#REF!,$D:$D,J20)</f>
        <v>0</v>
      </c>
      <c r="K25" s="21">
        <f>COUNTIFS($E:$E,#REF!,$D:$D,K20)</f>
        <v>0</v>
      </c>
      <c r="L25" s="21">
        <f>COUNTIFS($E:$E,#REF!,$D:$D,L20)</f>
        <v>0</v>
      </c>
      <c r="M25" s="21">
        <f>COUNTIFS($E:$E,#REF!,$D:$D,M20)</f>
        <v>0</v>
      </c>
      <c r="N25" s="21">
        <f>COUNTIFS($E:$E,#REF!,$D:$D,N20)</f>
        <v>0</v>
      </c>
      <c r="O25" s="21">
        <f>COUNTIFS($E:$E,#REF!,$D:$D,O20)</f>
        <v>0</v>
      </c>
      <c r="P25" s="21">
        <f>COUNTIFS($E:$E,#REF!,$D:$D,P20)</f>
        <v>0</v>
      </c>
      <c r="Q25" s="21">
        <f>COUNTIFS($E:$E,#REF!,$D:$D,Q20)</f>
        <v>0</v>
      </c>
      <c r="R25">
        <f>SUM(J25:Q25)</f>
        <v>0</v>
      </c>
    </row>
    <row r="26" spans="2:18">
      <c r="B26" s="49" t="s">
        <v>279</v>
      </c>
      <c r="C26" s="49" t="s">
        <v>280</v>
      </c>
      <c r="D26" s="54" t="s">
        <v>221</v>
      </c>
      <c r="E26" s="49" t="s">
        <v>248</v>
      </c>
      <c r="H26" s="14">
        <f>COUNTIFS(E:E,I26)</f>
        <v>9</v>
      </c>
      <c r="I26" s="58" t="s">
        <v>230</v>
      </c>
      <c r="J26" s="21">
        <f>COUNTIFS($E:$E,$I$3,$D:$D,J20)</f>
        <v>4</v>
      </c>
      <c r="K26" s="21">
        <f>COUNTIFS($E:$E,$I$3,$D:$D,K20)</f>
        <v>4</v>
      </c>
      <c r="L26" s="21">
        <f>COUNTIFS($E:$E,$I$3,$D:$D,L20)</f>
        <v>1</v>
      </c>
      <c r="M26" s="21">
        <f>COUNTIFS($E:$E,$I$3,$D:$D,M20)</f>
        <v>0</v>
      </c>
      <c r="N26" s="21">
        <f>COUNTIFS($E:$E,$I$3,$D:$D,N20)</f>
        <v>0</v>
      </c>
      <c r="O26" s="21">
        <f>COUNTIFS($E:$E,$I$3,$D:$D,O20)</f>
        <v>0</v>
      </c>
      <c r="P26" s="21">
        <f>COUNTIFS($E:$E,$I$3,$D:$D,P20)</f>
        <v>0</v>
      </c>
      <c r="Q26" s="21">
        <f>COUNTIFS($E:$E,$I$3,$D:$D,Q20)</f>
        <v>0</v>
      </c>
      <c r="R26">
        <f>SUM(J26:Q26)</f>
        <v>9</v>
      </c>
    </row>
    <row r="27" spans="2:18">
      <c r="B27" s="46" t="s">
        <v>281</v>
      </c>
      <c r="C27" s="46" t="s">
        <v>282</v>
      </c>
      <c r="D27" s="51" t="s">
        <v>51</v>
      </c>
      <c r="E27" s="46" t="s">
        <v>230</v>
      </c>
      <c r="H27" s="14">
        <f>COUNTIFS(E:E,I27)</f>
        <v>5</v>
      </c>
      <c r="I27" s="58" t="s">
        <v>233</v>
      </c>
      <c r="J27" s="21">
        <f>COUNTIFS($E:$E,$I$4,$D:$D,J20)</f>
        <v>1</v>
      </c>
      <c r="K27" s="21">
        <f>COUNTIFS($E:$E,$I$4,$D:$D,K20)</f>
        <v>3</v>
      </c>
      <c r="L27" s="21">
        <f>COUNTIFS($E:$E,$I$4,$D:$D,L20)</f>
        <v>1</v>
      </c>
      <c r="M27" s="21">
        <f>COUNTIFS($E:$E,$I$4,$D:$D,M20)</f>
        <v>0</v>
      </c>
      <c r="N27" s="21">
        <f>COUNTIFS($E:$E,$I$4,$D:$D,N20)</f>
        <v>0</v>
      </c>
      <c r="O27" s="21">
        <f>COUNTIFS($E:$E,$I$4,$D:$D,O20)</f>
        <v>0</v>
      </c>
      <c r="P27" s="21">
        <f>COUNTIFS($E:$E,$I$4,$D:$D,P20)</f>
        <v>0</v>
      </c>
      <c r="Q27" s="21">
        <f>COUNTIFS($E:$E,$I$4,$D:$D,Q20)</f>
        <v>0</v>
      </c>
      <c r="R27">
        <f>SUM(J27:Q27)</f>
        <v>5</v>
      </c>
    </row>
    <row r="28" spans="2:18">
      <c r="B28" s="46" t="s">
        <v>283</v>
      </c>
      <c r="C28" s="46" t="s">
        <v>284</v>
      </c>
      <c r="D28" s="47" t="s">
        <v>217</v>
      </c>
      <c r="E28" s="46" t="s">
        <v>237</v>
      </c>
      <c r="H28" s="14">
        <f>COUNTIFS(E:E,I28)</f>
        <v>2</v>
      </c>
      <c r="I28" s="58" t="s">
        <v>237</v>
      </c>
      <c r="J28" s="21">
        <f>COUNTIFS($E:$E,$I$5,$D:$D,J20)</f>
        <v>0</v>
      </c>
      <c r="K28" s="21">
        <f>COUNTIFS($E:$E,$I$5,$D:$D,K20)</f>
        <v>2</v>
      </c>
      <c r="L28" s="21">
        <f>COUNTIFS($E:$E,$I$5,$D:$D,L20)</f>
        <v>0</v>
      </c>
      <c r="M28" s="21">
        <f>COUNTIFS($E:$E,$I$5,$D:$D,M20)</f>
        <v>0</v>
      </c>
      <c r="N28" s="21">
        <f>COUNTIFS($E:$E,$I$5,$D:$D,N20)</f>
        <v>0</v>
      </c>
      <c r="O28" s="21">
        <f>COUNTIFS($E:$E,$I$5,$D:$D,O20)</f>
        <v>0</v>
      </c>
      <c r="P28" s="21">
        <f>COUNTIFS($E:$E,$I$5,$D:$D,P20)</f>
        <v>0</v>
      </c>
      <c r="Q28" s="21">
        <f>COUNTIFS($E:$E,$I$5,$D:$D,Q20)</f>
        <v>0</v>
      </c>
      <c r="R28">
        <f>SUM(J28:Q28)</f>
        <v>2</v>
      </c>
    </row>
    <row r="29" spans="2:18">
      <c r="B29" s="49" t="s">
        <v>285</v>
      </c>
      <c r="C29" s="49" t="s">
        <v>286</v>
      </c>
      <c r="D29" s="50" t="s">
        <v>217</v>
      </c>
      <c r="E29" s="49" t="s">
        <v>237</v>
      </c>
    </row>
    <row r="30" spans="2:18">
      <c r="B30" s="46" t="s">
        <v>287</v>
      </c>
      <c r="C30" s="46" t="s">
        <v>288</v>
      </c>
      <c r="D30" s="48" t="s">
        <v>221</v>
      </c>
      <c r="E30" s="46" t="s">
        <v>248</v>
      </c>
    </row>
    <row r="31" spans="2:18">
      <c r="B31" s="53" t="s">
        <v>289</v>
      </c>
      <c r="C31" s="53" t="s">
        <v>290</v>
      </c>
      <c r="D31" s="47" t="s">
        <v>217</v>
      </c>
      <c r="E31" s="53" t="s">
        <v>225</v>
      </c>
    </row>
    <row r="32" spans="2:18">
      <c r="B32" s="49" t="s">
        <v>291</v>
      </c>
      <c r="C32" s="49" t="s">
        <v>292</v>
      </c>
      <c r="D32" s="50" t="s">
        <v>217</v>
      </c>
      <c r="E32" s="49" t="s">
        <v>233</v>
      </c>
    </row>
    <row r="33" spans="2:5">
      <c r="B33" s="53" t="s">
        <v>293</v>
      </c>
      <c r="C33" s="53" t="s">
        <v>294</v>
      </c>
      <c r="D33" s="47" t="s">
        <v>217</v>
      </c>
      <c r="E33" s="53" t="s">
        <v>230</v>
      </c>
    </row>
    <row r="34" spans="2:5">
      <c r="B34" s="53" t="s">
        <v>295</v>
      </c>
      <c r="C34" s="53" t="s">
        <v>296</v>
      </c>
      <c r="D34" s="47" t="s">
        <v>218</v>
      </c>
      <c r="E34" s="53" t="s">
        <v>229</v>
      </c>
    </row>
    <row r="35" spans="2:5">
      <c r="B35" s="49" t="s">
        <v>297</v>
      </c>
      <c r="C35" s="49" t="s">
        <v>298</v>
      </c>
      <c r="D35" s="52" t="s">
        <v>51</v>
      </c>
      <c r="E35" s="49" t="s">
        <v>225</v>
      </c>
    </row>
    <row r="36" spans="2:5">
      <c r="B36" s="53" t="s">
        <v>299</v>
      </c>
      <c r="C36" s="53" t="s">
        <v>300</v>
      </c>
      <c r="D36" s="51" t="s">
        <v>51</v>
      </c>
      <c r="E36" s="53" t="s">
        <v>230</v>
      </c>
    </row>
    <row r="37" spans="2:5">
      <c r="B37" s="53" t="s">
        <v>301</v>
      </c>
      <c r="C37" s="53" t="s">
        <v>302</v>
      </c>
      <c r="D37" s="47" t="s">
        <v>217</v>
      </c>
      <c r="E37" s="53" t="s">
        <v>230</v>
      </c>
    </row>
  </sheetData>
  <hyperlinks>
    <hyperlink ref="B2" r:id="rId1" xr:uid="{0CBE3C7C-7A7A-4F87-9B76-2D321353C2CD}"/>
    <hyperlink ref="C2" r:id="rId2" xr:uid="{65EDFACD-377A-46DA-8F5D-3130830D90D9}"/>
    <hyperlink ref="E2" r:id="rId3" xr:uid="{A3EE0F4F-FE8A-47CA-87FA-EB9EE7AFCBDE}"/>
    <hyperlink ref="B3" r:id="rId4" xr:uid="{AAA650C5-7ED4-4CBE-84C9-7FD06003798D}"/>
    <hyperlink ref="C3" r:id="rId5" xr:uid="{5CDD4B0F-A5CF-485D-A949-04A2FB36D774}"/>
    <hyperlink ref="E3" r:id="rId6" xr:uid="{118DA255-9754-4725-A29E-5A984A429B10}"/>
    <hyperlink ref="B4" r:id="rId7" xr:uid="{9F1C8328-EAF3-4023-ADC3-1565DB40C234}"/>
    <hyperlink ref="C4" r:id="rId8" xr:uid="{1B3E8BA2-6AD4-488B-9654-F1EF8660F227}"/>
    <hyperlink ref="E4" r:id="rId9" xr:uid="{666DBB4D-E3C2-4E8E-9A5E-6078F3C02756}"/>
    <hyperlink ref="B5" r:id="rId10" xr:uid="{213E27B0-84F9-47B8-B089-24651CD23AD8}"/>
    <hyperlink ref="C5" r:id="rId11" xr:uid="{382ECD62-64FC-43C5-BA1E-2BD720827418}"/>
    <hyperlink ref="E5" r:id="rId12" xr:uid="{44888B83-BC81-4BC5-87F0-0E20A6FE3943}"/>
    <hyperlink ref="B6" r:id="rId13" xr:uid="{A6EBB154-6451-4A7D-9362-2FE8DD828AFD}"/>
    <hyperlink ref="C6" r:id="rId14" xr:uid="{EF699324-8A2E-49F2-8FAB-86D4DB8973BD}"/>
    <hyperlink ref="E6" r:id="rId15" xr:uid="{DFE7874E-0B06-402B-B232-6C069ECB4FCC}"/>
    <hyperlink ref="B7" r:id="rId16" xr:uid="{171046AB-49CE-400A-9145-9F7F86FCA19F}"/>
    <hyperlink ref="C7" r:id="rId17" xr:uid="{58E78662-F771-48ED-A248-EFF5F1682EAB}"/>
    <hyperlink ref="E7" r:id="rId18" xr:uid="{F251E0D8-56FE-4F0F-937A-7DC6F576760D}"/>
    <hyperlink ref="B8" r:id="rId19" xr:uid="{7600ED7A-A36C-4317-B5B8-AF0E583C6A69}"/>
    <hyperlink ref="C8" r:id="rId20" xr:uid="{040A43F5-0DDF-4EC5-8BF7-25E0F087AD46}"/>
    <hyperlink ref="E8" r:id="rId21" xr:uid="{1D599378-2A01-42D9-B079-03CFCB31F615}"/>
    <hyperlink ref="B9" r:id="rId22" xr:uid="{C77C917C-8B05-4662-A9DA-7EA9DBC545B4}"/>
    <hyperlink ref="C9" r:id="rId23" xr:uid="{FC8CA508-4068-4FC1-A980-CAC882FCFDEF}"/>
    <hyperlink ref="E9" r:id="rId24" xr:uid="{7CC9AB47-97BD-410E-A036-B52F9812BAB4}"/>
    <hyperlink ref="B10" r:id="rId25" xr:uid="{956E0F48-D70A-46C4-89FA-DB52BE886375}"/>
    <hyperlink ref="C10" r:id="rId26" xr:uid="{CF799558-411C-4F9C-944F-1ED4766AD09A}"/>
    <hyperlink ref="E10" r:id="rId27" xr:uid="{FE5619B0-D21D-4E43-A5DC-FE28616A902B}"/>
    <hyperlink ref="B11" r:id="rId28" xr:uid="{D8A65BE6-BD08-4FAD-9A46-803B7F70DDAC}"/>
    <hyperlink ref="C11" r:id="rId29" xr:uid="{ACD89CB9-E27E-455C-83E0-98B34D32BBFC}"/>
    <hyperlink ref="E11" r:id="rId30" xr:uid="{8A2C08CD-681C-4774-AC4E-2E6731C570D0}"/>
    <hyperlink ref="B12" r:id="rId31" xr:uid="{4BD992A8-C5B3-440B-B336-B97604887087}"/>
    <hyperlink ref="C12" r:id="rId32" xr:uid="{5C5C0E1A-CFAD-4260-95D9-51FCD3E5CD1D}"/>
    <hyperlink ref="E12" r:id="rId33" xr:uid="{BA78D0D3-6AB3-43BD-88BD-4BE0D2592546}"/>
    <hyperlink ref="B13" r:id="rId34" xr:uid="{D73488F6-5E32-4C6A-BF8D-A6A89D5CDF1A}"/>
    <hyperlink ref="C13" r:id="rId35" xr:uid="{D801492B-26EC-431C-818F-A71E448AC94E}"/>
    <hyperlink ref="E13" r:id="rId36" xr:uid="{D40804DC-52DB-4133-A2DD-8AA675974F8F}"/>
    <hyperlink ref="B14" r:id="rId37" xr:uid="{92E3A17F-2CB9-44E7-B563-E60B6B60D481}"/>
    <hyperlink ref="C14" r:id="rId38" xr:uid="{A74971EE-F6F7-45A9-93DB-A632A17765A2}"/>
    <hyperlink ref="E14" r:id="rId39" xr:uid="{F7F88D9E-E2A9-465D-9B5B-F2820CEF42DC}"/>
    <hyperlink ref="B15" r:id="rId40" xr:uid="{375B0442-B3E0-496D-9395-D3DCF088E2F9}"/>
    <hyperlink ref="C15" r:id="rId41" xr:uid="{60E56B53-A9C2-45A5-8204-FABDBA9FAB14}"/>
    <hyperlink ref="E15" r:id="rId42" xr:uid="{D39FFADD-9D3D-4358-9905-3C752F2D12A1}"/>
    <hyperlink ref="B16" r:id="rId43" xr:uid="{2B978ACE-2C15-4C4E-8FC2-C93DE09C1DBE}"/>
    <hyperlink ref="C16" r:id="rId44" xr:uid="{17E3AFE1-68C3-402F-ACF5-DCAA10CAF402}"/>
    <hyperlink ref="E16" r:id="rId45" xr:uid="{0973C0D8-60EC-4976-BF19-6EE059B15476}"/>
    <hyperlink ref="B17" r:id="rId46" xr:uid="{156D786E-1404-423A-A44F-A9F3C63D5E95}"/>
    <hyperlink ref="C17" r:id="rId47" xr:uid="{76C45BCB-9144-4D8D-96C8-A34D833107EF}"/>
    <hyperlink ref="E17" r:id="rId48" xr:uid="{1BF49B7B-878D-4C33-ADD0-22A6859BF677}"/>
    <hyperlink ref="B18" r:id="rId49" xr:uid="{A7C23F16-4381-4A7D-9ECE-8883C6ADB4C9}"/>
    <hyperlink ref="C18" r:id="rId50" xr:uid="{3B6A8837-4E5D-4F37-B205-CAD54BD6C64E}"/>
    <hyperlink ref="E18" r:id="rId51" xr:uid="{D48D24A3-55DA-4614-A31B-6F475896FEAF}"/>
    <hyperlink ref="B19" r:id="rId52" xr:uid="{9188DBC0-B7F4-4C84-B6F4-0F2F62A723A0}"/>
    <hyperlink ref="C19" r:id="rId53" xr:uid="{59A172C0-3E47-43B0-8B21-AF5CC57463ED}"/>
    <hyperlink ref="E19" r:id="rId54" xr:uid="{814D66E1-476B-4396-BB5D-ED86C2673583}"/>
    <hyperlink ref="B20" r:id="rId55" xr:uid="{D35AFF02-B06F-4DFE-B84E-D115B8B05256}"/>
    <hyperlink ref="C20" r:id="rId56" xr:uid="{211D9D9A-C20C-4BA7-8D7E-1F921D3BD952}"/>
    <hyperlink ref="E20" r:id="rId57" xr:uid="{238253B2-1D24-49F7-B152-21C45CEFAAEA}"/>
    <hyperlink ref="B21" r:id="rId58" xr:uid="{F9D43498-ABA3-43AE-88B2-DC3C77BC03DA}"/>
    <hyperlink ref="C21" r:id="rId59" xr:uid="{0A0D6DAD-2ABC-4716-BFFA-04D007048C56}"/>
    <hyperlink ref="E21" r:id="rId60" xr:uid="{95B40A11-D043-4BAA-9DA6-4E7CB2D3D09E}"/>
    <hyperlink ref="B22" r:id="rId61" xr:uid="{BE7942B4-734D-4176-9BD0-DA11F50881CC}"/>
    <hyperlink ref="C22" r:id="rId62" xr:uid="{684C7288-A9BB-4FC8-BC73-C759BA02A9C0}"/>
    <hyperlink ref="E22" r:id="rId63" xr:uid="{2ADE9FB7-4AF2-4B60-8CEC-82DE49D97097}"/>
    <hyperlink ref="B23" r:id="rId64" xr:uid="{1A057CFE-951B-456C-9E61-0AE227DAD61D}"/>
    <hyperlink ref="C23" r:id="rId65" xr:uid="{6CB1E074-CB27-4F18-8616-999EA99F32DB}"/>
    <hyperlink ref="E23" r:id="rId66" xr:uid="{FB58DC69-6748-4231-90FA-1B105A5418D2}"/>
    <hyperlink ref="B24" r:id="rId67" xr:uid="{40F0AEDA-31AC-429E-8668-E6F7AC6A6F2C}"/>
    <hyperlink ref="C24" r:id="rId68" xr:uid="{941F750D-0C08-4A92-85FF-739F80020674}"/>
    <hyperlink ref="E24" r:id="rId69" xr:uid="{2263097F-42CD-4E44-AC72-83751AC91D20}"/>
    <hyperlink ref="B25" r:id="rId70" xr:uid="{42F9DEE3-FEC5-48A4-8749-77D816E1C219}"/>
    <hyperlink ref="C25" r:id="rId71" xr:uid="{624768FE-907C-4061-AC73-786A663776BE}"/>
    <hyperlink ref="E25" r:id="rId72" xr:uid="{28A9C3AE-CEDB-48A9-9946-68C74A4CFC64}"/>
    <hyperlink ref="B26" r:id="rId73" xr:uid="{FD73CB3B-AB13-4294-A779-9719A977EA48}"/>
    <hyperlink ref="C26" r:id="rId74" xr:uid="{B16A4681-79CF-4B6E-89D6-8141ED4AFBAC}"/>
    <hyperlink ref="E26" r:id="rId75" xr:uid="{D42B66D2-2784-4EBC-9AD6-FE0C8A44A13A}"/>
    <hyperlink ref="B27" r:id="rId76" xr:uid="{428DE2D2-C612-45E6-BAD7-045DC247E8F3}"/>
    <hyperlink ref="C27" r:id="rId77" xr:uid="{038F1B4C-4E9A-4969-A717-DC98563461E5}"/>
    <hyperlink ref="E27" r:id="rId78" xr:uid="{48E7376D-BB0C-4936-B05C-C03C3B90813C}"/>
    <hyperlink ref="B28" r:id="rId79" xr:uid="{B3C7F5B7-5DCC-44A3-92F0-FBE84B1C3804}"/>
    <hyperlink ref="C28" r:id="rId80" xr:uid="{0A9CD696-1F8E-4E7A-BB9B-88ECBFF1476B}"/>
    <hyperlink ref="E28" r:id="rId81" xr:uid="{040E2F3E-BD19-4B19-B781-54E5CD1D0D40}"/>
    <hyperlink ref="B29" r:id="rId82" xr:uid="{13181C66-085D-439F-AD99-F2D07FAFFB62}"/>
    <hyperlink ref="C29" r:id="rId83" xr:uid="{C9A589D3-EFE7-4A1C-B240-3A9093F65DB9}"/>
    <hyperlink ref="E29" r:id="rId84" xr:uid="{632425AA-BB4B-4040-9D22-D8BA938DAEA6}"/>
    <hyperlink ref="B30" r:id="rId85" xr:uid="{68962855-0F73-443D-AE63-A4EF9F20B409}"/>
    <hyperlink ref="C30" r:id="rId86" xr:uid="{AEF7B8A0-94FD-4EE7-B53F-7403C16D1272}"/>
    <hyperlink ref="E30" r:id="rId87" xr:uid="{344220A4-A476-4EDA-A656-F32300F0D9D3}"/>
    <hyperlink ref="B31" r:id="rId88" xr:uid="{8F1DBF09-9FEC-4C57-8DAB-7BA8A5D62BB8}"/>
    <hyperlink ref="C31" r:id="rId89" xr:uid="{74664C8D-1D9C-4EC0-B36A-9B55D18527D2}"/>
    <hyperlink ref="E31" r:id="rId90" xr:uid="{36E4B9ED-F744-46B7-B1F9-6BE55D436D8E}"/>
    <hyperlink ref="B32" r:id="rId91" xr:uid="{4E33D331-6FF2-4655-8347-54F4D8654981}"/>
    <hyperlink ref="C32" r:id="rId92" xr:uid="{091649DF-6218-47A6-BEEC-50ED2B7DD21B}"/>
    <hyperlink ref="E32" r:id="rId93" xr:uid="{5C458BD9-32CB-4E6A-B585-D54D0A8621C5}"/>
    <hyperlink ref="B33" r:id="rId94" xr:uid="{864C0CDB-9DC8-4D56-B415-5B6FAB294712}"/>
    <hyperlink ref="C33" r:id="rId95" xr:uid="{1382131A-05DC-4054-B245-620839D9725D}"/>
    <hyperlink ref="E33" r:id="rId96" xr:uid="{08B4B793-2F33-4654-9084-F9BF54223208}"/>
    <hyperlink ref="B34" r:id="rId97" xr:uid="{ED6B0AA7-AAD5-4F40-848D-A358ADD70E5E}"/>
    <hyperlink ref="C34" r:id="rId98" xr:uid="{F7994179-42BD-4A5A-91DA-2E2089054B05}"/>
    <hyperlink ref="E34" r:id="rId99" xr:uid="{0C10EB6C-20F6-43B5-9E71-9CEA0B21B45A}"/>
    <hyperlink ref="B35" r:id="rId100" xr:uid="{4E362528-6FF7-413F-98A1-D00E86521323}"/>
    <hyperlink ref="C35" r:id="rId101" xr:uid="{7B03017B-DEA5-4CC8-89A9-627DB365828A}"/>
    <hyperlink ref="E35" r:id="rId102" xr:uid="{286474E7-5E4C-4F2F-A018-34449F898D66}"/>
    <hyperlink ref="B36" r:id="rId103" xr:uid="{32F4F124-03CE-4A18-B831-B80B24976738}"/>
    <hyperlink ref="C36" r:id="rId104" xr:uid="{FB286F1F-4869-4E87-83A1-1603F672A022}"/>
    <hyperlink ref="E36" r:id="rId105" xr:uid="{8D88DA73-8C1B-440A-973D-EF6E64D92AFE}"/>
    <hyperlink ref="B37" r:id="rId106" xr:uid="{B3C9C415-6406-43E2-B30E-D4219FE525DC}"/>
    <hyperlink ref="C37" r:id="rId107" xr:uid="{3A72F5F3-B22E-4CEB-9159-5B4E5B58040A}"/>
    <hyperlink ref="E37" r:id="rId108" xr:uid="{10A1642A-EA86-482C-9658-8D4723D8779A}"/>
    <hyperlink ref="I2" r:id="rId109" xr:uid="{AB238D3D-3986-4DF7-B466-30FC4A0BD6EC}"/>
    <hyperlink ref="I3" r:id="rId110" xr:uid="{F6882F43-AA5D-4FA9-AB75-493AFF6B0D90}"/>
    <hyperlink ref="I4" r:id="rId111" xr:uid="{BD57FDBF-C762-416F-8314-1AF780E1EA0C}"/>
    <hyperlink ref="I5" r:id="rId112" xr:uid="{03A6B4B8-A626-44E7-924D-C8EA524FF6F5}"/>
    <hyperlink ref="I24" r:id="rId113" xr:uid="{125A34D2-D12D-422B-9860-17C85C0BDA44}"/>
    <hyperlink ref="I26" r:id="rId114" xr:uid="{0D3CF4A0-710E-4CED-BF54-F0F976974E15}"/>
    <hyperlink ref="I27" r:id="rId115" xr:uid="{B3C5C503-F737-4EFA-939B-E7C80781A298}"/>
    <hyperlink ref="I28" r:id="rId116" xr:uid="{81ACFA7F-C656-409E-B571-AAF31926A189}"/>
    <hyperlink ref="I25" r:id="rId117" xr:uid="{4CF1F038-F2D6-4FC4-A80E-C062A1FF7F3E}"/>
    <hyperlink ref="I21" r:id="rId118" xr:uid="{36F63E62-E235-41A6-BE92-9D3B71E4259A}"/>
    <hyperlink ref="I23" r:id="rId119" xr:uid="{4C053707-29EF-4D0B-837B-6AE7ABB77EB6}"/>
    <hyperlink ref="I22" r:id="rId120" xr:uid="{A06DD720-84EF-4626-9115-47C650A4BE50}"/>
  </hyperlinks>
  <pageMargins left="0.7" right="0.7" top="0.75" bottom="0.75" header="0.3" footer="0.3"/>
  <drawing r:id="rId12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676C-343F-4E2C-B521-47E3446DCBD4}">
  <dimension ref="U2:V2"/>
  <sheetViews>
    <sheetView workbookViewId="0">
      <selection activeCell="W34" sqref="W34"/>
    </sheetView>
  </sheetViews>
  <sheetFormatPr defaultRowHeight="15"/>
  <cols>
    <col min="11" max="11" width="36.5703125" customWidth="1"/>
    <col min="21" max="21" width="12" bestFit="1" customWidth="1"/>
  </cols>
  <sheetData>
    <row r="2" spans="21:22">
      <c r="U2" s="59">
        <v>46183</v>
      </c>
      <c r="V2" t="s">
        <v>303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A94C-30ED-46DE-BF66-3F8A474DC2B8}">
  <dimension ref="J3:W18"/>
  <sheetViews>
    <sheetView workbookViewId="0">
      <selection activeCell="P14" sqref="P14:R14"/>
    </sheetView>
  </sheetViews>
  <sheetFormatPr defaultColWidth="9.140625" defaultRowHeight="15"/>
  <cols>
    <col min="10" max="10" width="14.28515625" customWidth="1"/>
    <col min="11" max="11" width="12.140625" customWidth="1"/>
    <col min="12" max="12" width="87.5703125" customWidth="1"/>
    <col min="13" max="13" width="19.140625" hidden="1" customWidth="1"/>
    <col min="14" max="16" width="14.28515625" customWidth="1"/>
    <col min="17" max="17" width="13.7109375" customWidth="1"/>
    <col min="18" max="18" width="13.5703125" customWidth="1"/>
    <col min="19" max="19" width="21.5703125" customWidth="1"/>
    <col min="21" max="21" width="77.42578125" customWidth="1"/>
    <col min="22" max="22" width="20" customWidth="1"/>
    <col min="23" max="23" width="16" customWidth="1"/>
  </cols>
  <sheetData>
    <row r="3" spans="10:23">
      <c r="J3" t="s">
        <v>304</v>
      </c>
    </row>
    <row r="4" spans="10:23">
      <c r="K4" s="14" t="s">
        <v>305</v>
      </c>
      <c r="L4" s="14" t="s">
        <v>306</v>
      </c>
      <c r="M4" s="14" t="s">
        <v>307</v>
      </c>
      <c r="N4" s="14" t="s">
        <v>308</v>
      </c>
      <c r="O4" s="14" t="s">
        <v>1</v>
      </c>
      <c r="P4" s="14" t="s">
        <v>309</v>
      </c>
      <c r="Q4" s="14" t="s">
        <v>310</v>
      </c>
      <c r="R4" s="14" t="s">
        <v>311</v>
      </c>
      <c r="T4" s="14" t="s">
        <v>305</v>
      </c>
      <c r="U4" s="14" t="s">
        <v>306</v>
      </c>
      <c r="V4" s="14" t="s">
        <v>312</v>
      </c>
      <c r="W4" t="s">
        <v>313</v>
      </c>
    </row>
    <row r="5" spans="10:23">
      <c r="K5" s="14">
        <v>1</v>
      </c>
      <c r="L5" s="14" t="s">
        <v>314</v>
      </c>
      <c r="M5" s="14" t="s">
        <v>315</v>
      </c>
      <c r="N5" s="14" t="str">
        <f>CONCATENATE(M5,".pdf")</f>
        <v>FIle001.pdf</v>
      </c>
      <c r="O5" s="14" t="s">
        <v>316</v>
      </c>
      <c r="P5" s="76">
        <v>46184</v>
      </c>
      <c r="Q5" s="14" t="s">
        <v>317</v>
      </c>
      <c r="R5" s="14"/>
      <c r="T5" s="14">
        <v>1</v>
      </c>
      <c r="U5" s="14" t="s">
        <v>314</v>
      </c>
      <c r="V5" s="14" t="s">
        <v>318</v>
      </c>
      <c r="W5" t="s">
        <v>319</v>
      </c>
    </row>
    <row r="6" spans="10:23" ht="43.5">
      <c r="K6" s="14">
        <v>2</v>
      </c>
      <c r="L6" s="14" t="s">
        <v>314</v>
      </c>
      <c r="M6" s="14" t="s">
        <v>320</v>
      </c>
      <c r="N6" s="14" t="str">
        <f t="shared" ref="N6:N8" si="0">CONCATENATE(M6,".pdf")</f>
        <v>FIle002.pdf</v>
      </c>
      <c r="O6" s="14" t="s">
        <v>321</v>
      </c>
      <c r="P6" s="76">
        <v>46184</v>
      </c>
      <c r="Q6" s="14" t="s">
        <v>317</v>
      </c>
      <c r="R6" s="14"/>
      <c r="T6" s="14">
        <v>2</v>
      </c>
      <c r="U6" s="14" t="s">
        <v>314</v>
      </c>
      <c r="V6" s="15" t="s">
        <v>322</v>
      </c>
      <c r="W6" t="s">
        <v>323</v>
      </c>
    </row>
    <row r="7" spans="10:23">
      <c r="K7" s="14">
        <v>3</v>
      </c>
      <c r="L7" s="14" t="s">
        <v>314</v>
      </c>
      <c r="M7" s="14" t="s">
        <v>324</v>
      </c>
      <c r="N7" s="14" t="str">
        <f t="shared" si="0"/>
        <v>FIle003.pdf</v>
      </c>
      <c r="O7" s="14" t="s">
        <v>321</v>
      </c>
      <c r="P7" s="76">
        <v>46184</v>
      </c>
      <c r="Q7" s="14" t="s">
        <v>317</v>
      </c>
      <c r="R7" s="14"/>
    </row>
    <row r="8" spans="10:23">
      <c r="K8" s="14">
        <v>4</v>
      </c>
      <c r="L8" s="14" t="s">
        <v>314</v>
      </c>
      <c r="M8" s="14" t="s">
        <v>325</v>
      </c>
      <c r="N8" s="14" t="str">
        <f t="shared" si="0"/>
        <v>FIle004.pdf</v>
      </c>
      <c r="O8" s="14" t="s">
        <v>321</v>
      </c>
      <c r="P8" s="76">
        <v>46184</v>
      </c>
      <c r="Q8" s="14" t="s">
        <v>317</v>
      </c>
      <c r="R8" s="14"/>
    </row>
    <row r="12" spans="10:23">
      <c r="J12" t="s">
        <v>326</v>
      </c>
    </row>
    <row r="13" spans="10:23">
      <c r="K13" s="75" t="s">
        <v>305</v>
      </c>
      <c r="L13" s="14" t="s">
        <v>327</v>
      </c>
      <c r="M13" s="14"/>
      <c r="N13" s="14" t="s">
        <v>328</v>
      </c>
      <c r="O13" s="75" t="s">
        <v>329</v>
      </c>
      <c r="P13" s="14" t="s">
        <v>330</v>
      </c>
      <c r="Q13" s="14" t="s">
        <v>331</v>
      </c>
      <c r="R13" s="14" t="s">
        <v>332</v>
      </c>
    </row>
    <row r="14" spans="10:23">
      <c r="K14" s="14">
        <v>1</v>
      </c>
      <c r="L14" s="14" t="s">
        <v>314</v>
      </c>
      <c r="M14" s="14"/>
      <c r="N14" s="14" t="s">
        <v>333</v>
      </c>
      <c r="O14" s="75" t="s">
        <v>334</v>
      </c>
      <c r="P14" s="14" t="s">
        <v>335</v>
      </c>
      <c r="Q14" s="14" t="s">
        <v>336</v>
      </c>
      <c r="R14" s="14" t="s">
        <v>337</v>
      </c>
    </row>
    <row r="15" spans="10:23">
      <c r="K15" s="75"/>
      <c r="L15" s="14"/>
      <c r="M15" s="14"/>
      <c r="N15" s="14"/>
      <c r="O15" s="75"/>
      <c r="P15" s="14"/>
      <c r="Q15" s="14"/>
      <c r="R15" s="14"/>
    </row>
    <row r="16" spans="10:23">
      <c r="K16" s="75"/>
      <c r="L16" s="14"/>
      <c r="M16" s="14"/>
      <c r="N16" s="14"/>
      <c r="O16" s="75"/>
      <c r="P16" s="14"/>
      <c r="Q16" s="14"/>
      <c r="R16" s="14"/>
    </row>
    <row r="17" spans="11:21">
      <c r="K17" s="75"/>
      <c r="L17" s="14"/>
      <c r="M17" s="14"/>
      <c r="N17" s="14"/>
      <c r="O17" s="75"/>
      <c r="P17" s="14"/>
      <c r="Q17" s="14"/>
      <c r="R17" s="14"/>
    </row>
    <row r="18" spans="11:21">
      <c r="U18" s="5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F834-B614-435A-A4D6-F144FA0B4831}">
  <dimension ref="B1:W61"/>
  <sheetViews>
    <sheetView tabSelected="1" workbookViewId="0">
      <pane ySplit="4" topLeftCell="D5" activePane="bottomLeft" state="frozen"/>
      <selection pane="bottomLeft" activeCell="R1" sqref="R1:W1048576"/>
    </sheetView>
  </sheetViews>
  <sheetFormatPr defaultRowHeight="15.75"/>
  <cols>
    <col min="1" max="1" width="9.140625" style="86"/>
    <col min="2" max="2" width="6" style="86" customWidth="1"/>
    <col min="3" max="3" width="28.42578125" style="86" customWidth="1"/>
    <col min="4" max="4" width="48.28515625" style="86" customWidth="1"/>
    <col min="5" max="6" width="55.7109375" style="88" customWidth="1"/>
    <col min="7" max="7" width="33.7109375" style="88" customWidth="1"/>
    <col min="8" max="8" width="10.5703125" style="97" customWidth="1"/>
    <col min="9" max="9" width="17.28515625" style="97" customWidth="1"/>
    <col min="10" max="10" width="10.5703125" style="97" customWidth="1"/>
    <col min="11" max="11" width="12.28515625" style="97" customWidth="1"/>
    <col min="12" max="13" width="12.28515625" style="86" customWidth="1"/>
    <col min="14" max="14" width="15.140625" style="86" customWidth="1"/>
    <col min="15" max="15" width="14.7109375" style="86" customWidth="1"/>
    <col min="16" max="16" width="6" style="86" customWidth="1"/>
    <col min="17" max="17" width="77" style="86" customWidth="1"/>
    <col min="18" max="23" width="7" style="129" customWidth="1"/>
    <col min="24" max="16384" width="9.140625" style="86"/>
  </cols>
  <sheetData>
    <row r="1" spans="2:23">
      <c r="I1" s="80" t="s">
        <v>338</v>
      </c>
      <c r="J1" s="80">
        <v>2</v>
      </c>
      <c r="K1" s="80">
        <f>K3*$J$1</f>
        <v>426</v>
      </c>
      <c r="L1" s="80">
        <f t="shared" ref="L1:M1" si="0">L3*$J$1</f>
        <v>294</v>
      </c>
      <c r="M1" s="80">
        <f t="shared" si="0"/>
        <v>228</v>
      </c>
    </row>
    <row r="2" spans="2:23">
      <c r="I2" s="80" t="s">
        <v>339</v>
      </c>
      <c r="J2" s="80"/>
      <c r="K2" s="80"/>
      <c r="L2" s="80"/>
      <c r="M2" s="80"/>
    </row>
    <row r="3" spans="2:23">
      <c r="I3" s="80" t="s">
        <v>340</v>
      </c>
      <c r="J3" s="80">
        <v>1</v>
      </c>
      <c r="K3" s="80">
        <f>SUM(K5:K68)</f>
        <v>213</v>
      </c>
      <c r="L3" s="80">
        <f>SUM(L5:L68)</f>
        <v>147</v>
      </c>
      <c r="M3" s="80">
        <f>SUM(M5:M68)</f>
        <v>114</v>
      </c>
    </row>
    <row r="4" spans="2:23" ht="45.75">
      <c r="B4" s="83" t="s">
        <v>136</v>
      </c>
      <c r="C4" s="83" t="s">
        <v>137</v>
      </c>
      <c r="D4" s="83" t="s">
        <v>138</v>
      </c>
      <c r="E4" s="83" t="s">
        <v>139</v>
      </c>
      <c r="F4" s="83"/>
      <c r="G4" s="83"/>
      <c r="H4" s="84" t="s">
        <v>341</v>
      </c>
      <c r="I4" s="127" t="s">
        <v>342</v>
      </c>
      <c r="J4" s="128" t="s">
        <v>343</v>
      </c>
      <c r="K4" s="127" t="s">
        <v>344</v>
      </c>
      <c r="L4" s="127" t="s">
        <v>345</v>
      </c>
      <c r="M4" s="127" t="s">
        <v>345</v>
      </c>
    </row>
    <row r="5" spans="2:23">
      <c r="B5" s="73">
        <v>1</v>
      </c>
      <c r="C5" s="77" t="s">
        <v>140</v>
      </c>
      <c r="D5" s="73"/>
      <c r="E5" s="73"/>
      <c r="F5" s="73"/>
      <c r="G5" s="73"/>
      <c r="H5" s="104"/>
      <c r="I5" s="104"/>
      <c r="J5" s="104"/>
      <c r="K5" s="80"/>
      <c r="L5" s="80"/>
      <c r="M5" s="80"/>
    </row>
    <row r="6" spans="2:23">
      <c r="B6" s="73"/>
      <c r="C6" s="77"/>
      <c r="D6" s="73" t="s">
        <v>141</v>
      </c>
      <c r="E6" s="73"/>
      <c r="F6" s="73"/>
      <c r="G6" s="73"/>
      <c r="H6" s="98"/>
      <c r="I6" s="98"/>
      <c r="J6" s="102">
        <v>3</v>
      </c>
      <c r="K6" s="98">
        <f t="shared" ref="K6:K19" si="1">SUM(H6:J6)</f>
        <v>3</v>
      </c>
      <c r="L6" s="98">
        <f t="shared" ref="L6:L51" si="2">K6</f>
        <v>3</v>
      </c>
      <c r="M6" s="80">
        <v>1</v>
      </c>
    </row>
    <row r="7" spans="2:23">
      <c r="B7" s="73"/>
      <c r="C7" s="77"/>
      <c r="D7" s="73" t="s">
        <v>142</v>
      </c>
      <c r="E7" s="73"/>
      <c r="F7" s="73"/>
      <c r="G7" s="73"/>
      <c r="H7" s="98"/>
      <c r="I7" s="98">
        <v>3</v>
      </c>
      <c r="J7" s="102"/>
      <c r="K7" s="98">
        <f t="shared" si="1"/>
        <v>3</v>
      </c>
      <c r="L7" s="98">
        <f t="shared" si="2"/>
        <v>3</v>
      </c>
      <c r="M7" s="80">
        <v>1</v>
      </c>
    </row>
    <row r="8" spans="2:23">
      <c r="B8" s="73"/>
      <c r="C8" s="77"/>
      <c r="D8" s="73" t="s">
        <v>143</v>
      </c>
      <c r="E8" s="73"/>
      <c r="F8" s="73"/>
      <c r="G8" s="73"/>
      <c r="H8" s="98"/>
      <c r="I8" s="98"/>
      <c r="J8" s="102">
        <v>2</v>
      </c>
      <c r="K8" s="98">
        <f t="shared" si="1"/>
        <v>2</v>
      </c>
      <c r="L8" s="98">
        <f t="shared" si="2"/>
        <v>2</v>
      </c>
      <c r="M8" s="80">
        <v>2</v>
      </c>
    </row>
    <row r="9" spans="2:23">
      <c r="B9" s="73">
        <v>2</v>
      </c>
      <c r="C9" s="87" t="s">
        <v>346</v>
      </c>
      <c r="D9" s="81" t="s">
        <v>347</v>
      </c>
      <c r="E9" s="89"/>
      <c r="F9" s="89"/>
      <c r="G9" s="89"/>
      <c r="H9" s="104"/>
      <c r="I9" s="104"/>
      <c r="J9" s="104"/>
      <c r="K9" s="80"/>
      <c r="L9" s="80"/>
      <c r="M9" s="80"/>
    </row>
    <row r="10" spans="2:23">
      <c r="B10" s="73">
        <v>3</v>
      </c>
      <c r="C10" s="77" t="s">
        <v>348</v>
      </c>
      <c r="D10" s="73" t="s">
        <v>349</v>
      </c>
      <c r="E10" s="89"/>
      <c r="F10" s="89"/>
      <c r="G10" s="89"/>
      <c r="H10" s="98">
        <v>2</v>
      </c>
      <c r="I10" s="98">
        <v>3</v>
      </c>
      <c r="J10" s="102">
        <v>2</v>
      </c>
      <c r="K10" s="98">
        <f t="shared" si="1"/>
        <v>7</v>
      </c>
      <c r="L10" s="98">
        <f t="shared" si="2"/>
        <v>7</v>
      </c>
      <c r="M10" s="80">
        <v>2</v>
      </c>
      <c r="P10" s="101"/>
      <c r="Q10" s="101"/>
      <c r="R10" s="130" t="s">
        <v>350</v>
      </c>
      <c r="S10" s="131"/>
      <c r="T10" s="131"/>
      <c r="U10" s="131"/>
      <c r="V10" s="131"/>
      <c r="W10" s="132"/>
    </row>
    <row r="11" spans="2:23">
      <c r="B11" s="73">
        <v>4</v>
      </c>
      <c r="C11" s="77" t="s">
        <v>148</v>
      </c>
      <c r="D11" s="73" t="s">
        <v>149</v>
      </c>
      <c r="E11" s="89" t="s">
        <v>150</v>
      </c>
      <c r="F11" s="89"/>
      <c r="G11" s="89"/>
      <c r="H11" s="98">
        <v>1</v>
      </c>
      <c r="I11" s="98">
        <v>2</v>
      </c>
      <c r="J11" s="102">
        <v>2</v>
      </c>
      <c r="K11" s="98">
        <f t="shared" si="1"/>
        <v>5</v>
      </c>
      <c r="L11" s="98">
        <f t="shared" si="2"/>
        <v>5</v>
      </c>
      <c r="M11" s="80">
        <v>5</v>
      </c>
      <c r="P11" s="101" t="s">
        <v>136</v>
      </c>
      <c r="Q11" s="101" t="s">
        <v>130</v>
      </c>
      <c r="R11" s="133" t="s">
        <v>351</v>
      </c>
      <c r="S11" s="133" t="s">
        <v>352</v>
      </c>
      <c r="T11" s="133" t="s">
        <v>353</v>
      </c>
      <c r="U11" s="133" t="s">
        <v>354</v>
      </c>
      <c r="V11" s="133" t="s">
        <v>355</v>
      </c>
      <c r="W11" s="133" t="s">
        <v>356</v>
      </c>
    </row>
    <row r="12" spans="2:23" ht="27.75" customHeight="1">
      <c r="B12" s="73"/>
      <c r="C12" s="77"/>
      <c r="D12" s="73"/>
      <c r="E12" s="89" t="s">
        <v>151</v>
      </c>
      <c r="F12" s="89"/>
      <c r="G12" s="89"/>
      <c r="H12" s="98">
        <v>1</v>
      </c>
      <c r="I12" s="98">
        <v>2</v>
      </c>
      <c r="J12" s="102">
        <v>2</v>
      </c>
      <c r="K12" s="98">
        <f t="shared" si="1"/>
        <v>5</v>
      </c>
      <c r="L12" s="98">
        <f t="shared" si="2"/>
        <v>5</v>
      </c>
      <c r="M12" s="80">
        <v>5</v>
      </c>
      <c r="P12" s="81">
        <v>1</v>
      </c>
      <c r="Q12" s="81" t="s">
        <v>357</v>
      </c>
      <c r="R12" s="134" t="s">
        <v>118</v>
      </c>
      <c r="S12" s="134"/>
      <c r="T12" s="134"/>
      <c r="U12" s="134"/>
      <c r="V12" s="134"/>
      <c r="W12" s="134"/>
    </row>
    <row r="13" spans="2:23">
      <c r="B13" s="73"/>
      <c r="C13" s="77"/>
      <c r="D13" s="73"/>
      <c r="E13" s="89" t="s">
        <v>152</v>
      </c>
      <c r="F13" s="89"/>
      <c r="G13" s="89"/>
      <c r="H13" s="98">
        <v>1</v>
      </c>
      <c r="I13" s="98">
        <v>2</v>
      </c>
      <c r="J13" s="102">
        <v>2</v>
      </c>
      <c r="K13" s="98">
        <f t="shared" si="1"/>
        <v>5</v>
      </c>
      <c r="L13" s="98">
        <f t="shared" si="2"/>
        <v>5</v>
      </c>
      <c r="M13" s="80">
        <v>5</v>
      </c>
      <c r="P13" s="81">
        <v>2</v>
      </c>
      <c r="Q13" s="81" t="s">
        <v>358</v>
      </c>
      <c r="R13" s="134" t="s">
        <v>118</v>
      </c>
      <c r="S13" s="134"/>
      <c r="T13" s="134"/>
      <c r="U13" s="134"/>
      <c r="V13" s="134"/>
      <c r="W13" s="134"/>
    </row>
    <row r="14" spans="2:23">
      <c r="B14" s="73">
        <v>5</v>
      </c>
      <c r="C14" s="77" t="s">
        <v>153</v>
      </c>
      <c r="D14" s="73"/>
      <c r="E14" s="89"/>
      <c r="F14" s="89"/>
      <c r="G14" s="89"/>
      <c r="H14" s="104"/>
      <c r="I14" s="104"/>
      <c r="J14" s="104"/>
      <c r="K14" s="80"/>
      <c r="L14" s="80"/>
      <c r="M14" s="80"/>
      <c r="P14" s="81">
        <v>3</v>
      </c>
      <c r="Q14" s="81" t="s">
        <v>359</v>
      </c>
      <c r="R14" s="134" t="s">
        <v>118</v>
      </c>
      <c r="S14" s="134"/>
      <c r="T14" s="134"/>
      <c r="U14" s="134"/>
      <c r="V14" s="134"/>
      <c r="W14" s="134"/>
    </row>
    <row r="15" spans="2:23">
      <c r="B15" s="73"/>
      <c r="C15" s="77"/>
      <c r="D15" s="73" t="s">
        <v>154</v>
      </c>
      <c r="E15" s="89"/>
      <c r="F15" s="89"/>
      <c r="G15" s="89"/>
      <c r="H15" s="98">
        <v>1</v>
      </c>
      <c r="I15" s="98">
        <v>1</v>
      </c>
      <c r="J15" s="102">
        <v>1</v>
      </c>
      <c r="K15" s="98">
        <f t="shared" si="1"/>
        <v>3</v>
      </c>
      <c r="L15" s="98">
        <f t="shared" si="2"/>
        <v>3</v>
      </c>
      <c r="M15" s="80">
        <v>1</v>
      </c>
      <c r="P15" s="81">
        <v>4</v>
      </c>
      <c r="Q15" s="81" t="s">
        <v>360</v>
      </c>
      <c r="R15" s="134" t="s">
        <v>118</v>
      </c>
      <c r="S15" s="134" t="s">
        <v>118</v>
      </c>
      <c r="T15" s="134" t="s">
        <v>118</v>
      </c>
      <c r="U15" s="134"/>
      <c r="V15" s="134"/>
      <c r="W15" s="134"/>
    </row>
    <row r="16" spans="2:23">
      <c r="B16" s="73"/>
      <c r="C16" s="77"/>
      <c r="D16" s="73" t="s">
        <v>155</v>
      </c>
      <c r="E16" s="89"/>
      <c r="F16" s="89"/>
      <c r="G16" s="89"/>
      <c r="H16" s="98">
        <v>1</v>
      </c>
      <c r="I16" s="98">
        <v>1</v>
      </c>
      <c r="J16" s="102">
        <v>1</v>
      </c>
      <c r="K16" s="98">
        <f t="shared" si="1"/>
        <v>3</v>
      </c>
      <c r="L16" s="98">
        <f t="shared" si="2"/>
        <v>3</v>
      </c>
      <c r="M16" s="80">
        <v>1</v>
      </c>
      <c r="P16" s="81">
        <v>5</v>
      </c>
      <c r="Q16" s="81" t="s">
        <v>361</v>
      </c>
      <c r="R16" s="134"/>
      <c r="S16" s="134"/>
      <c r="T16" s="134" t="s">
        <v>118</v>
      </c>
      <c r="U16" s="134"/>
      <c r="V16" s="134"/>
      <c r="W16" s="134"/>
    </row>
    <row r="17" spans="2:23">
      <c r="B17" s="73"/>
      <c r="C17" s="77"/>
      <c r="D17" s="73" t="s">
        <v>156</v>
      </c>
      <c r="E17" s="89"/>
      <c r="F17" s="89"/>
      <c r="G17" s="89"/>
      <c r="H17" s="98">
        <v>1</v>
      </c>
      <c r="I17" s="98">
        <v>1</v>
      </c>
      <c r="J17" s="102">
        <v>1</v>
      </c>
      <c r="K17" s="98">
        <f t="shared" si="1"/>
        <v>3</v>
      </c>
      <c r="L17" s="98">
        <f t="shared" si="2"/>
        <v>3</v>
      </c>
      <c r="M17" s="80">
        <v>1</v>
      </c>
      <c r="P17" s="81">
        <v>6</v>
      </c>
      <c r="Q17" s="81" t="s">
        <v>362</v>
      </c>
      <c r="R17" s="134"/>
      <c r="S17" s="134"/>
      <c r="T17" s="134"/>
      <c r="U17" s="134" t="s">
        <v>118</v>
      </c>
      <c r="V17" s="134"/>
      <c r="W17" s="134"/>
    </row>
    <row r="18" spans="2:23">
      <c r="B18" s="73"/>
      <c r="C18" s="77"/>
      <c r="D18" s="73" t="s">
        <v>157</v>
      </c>
      <c r="E18" s="89"/>
      <c r="F18" s="89"/>
      <c r="G18" s="89"/>
      <c r="H18" s="98">
        <v>1</v>
      </c>
      <c r="I18" s="98">
        <v>1</v>
      </c>
      <c r="J18" s="102">
        <v>1</v>
      </c>
      <c r="K18" s="98">
        <f t="shared" si="1"/>
        <v>3</v>
      </c>
      <c r="L18" s="98">
        <f t="shared" si="2"/>
        <v>3</v>
      </c>
      <c r="M18" s="80">
        <v>1</v>
      </c>
      <c r="P18" s="81">
        <v>7</v>
      </c>
      <c r="Q18" s="81" t="s">
        <v>363</v>
      </c>
      <c r="R18" s="134"/>
      <c r="S18" s="134"/>
      <c r="T18" s="134"/>
      <c r="U18" s="134" t="s">
        <v>118</v>
      </c>
      <c r="V18" s="134"/>
      <c r="W18" s="134"/>
    </row>
    <row r="19" spans="2:23">
      <c r="B19" s="73"/>
      <c r="C19" s="77"/>
      <c r="D19" s="73" t="s">
        <v>158</v>
      </c>
      <c r="E19" s="89" t="s">
        <v>159</v>
      </c>
      <c r="F19" s="89"/>
      <c r="G19" s="89"/>
      <c r="H19" s="98">
        <v>1</v>
      </c>
      <c r="I19" s="98">
        <v>1</v>
      </c>
      <c r="J19" s="102">
        <v>1</v>
      </c>
      <c r="K19" s="98">
        <f t="shared" si="1"/>
        <v>3</v>
      </c>
      <c r="L19" s="98">
        <f t="shared" si="2"/>
        <v>3</v>
      </c>
      <c r="M19" s="80">
        <v>1</v>
      </c>
      <c r="P19" s="93">
        <v>8</v>
      </c>
      <c r="Q19" s="93" t="s">
        <v>364</v>
      </c>
      <c r="R19" s="135"/>
      <c r="S19" s="135"/>
      <c r="T19" s="135"/>
      <c r="U19" s="135" t="s">
        <v>118</v>
      </c>
      <c r="V19" s="135"/>
      <c r="W19" s="135"/>
    </row>
    <row r="20" spans="2:23">
      <c r="B20" s="73">
        <v>6</v>
      </c>
      <c r="C20" s="77" t="s">
        <v>160</v>
      </c>
      <c r="D20" s="73"/>
      <c r="E20" s="89"/>
      <c r="F20" s="89"/>
      <c r="G20" s="89"/>
      <c r="H20" s="104"/>
      <c r="I20" s="104"/>
      <c r="J20" s="104"/>
      <c r="K20" s="80"/>
      <c r="L20" s="80"/>
      <c r="M20" s="80"/>
      <c r="P20" s="81">
        <v>9</v>
      </c>
      <c r="Q20" s="81" t="s">
        <v>128</v>
      </c>
      <c r="R20" s="134"/>
      <c r="S20" s="134"/>
      <c r="T20" s="134"/>
      <c r="U20" s="134" t="s">
        <v>118</v>
      </c>
      <c r="V20" s="134"/>
      <c r="W20" s="134"/>
    </row>
    <row r="21" spans="2:23">
      <c r="B21" s="73"/>
      <c r="C21" s="77"/>
      <c r="D21" s="73" t="s">
        <v>161</v>
      </c>
      <c r="E21" s="89"/>
      <c r="F21" s="89"/>
      <c r="G21" s="89"/>
      <c r="H21" s="98">
        <v>1</v>
      </c>
      <c r="I21" s="98">
        <v>1</v>
      </c>
      <c r="J21" s="102">
        <v>1</v>
      </c>
      <c r="K21" s="98">
        <f>SUM(H21:J21)</f>
        <v>3</v>
      </c>
      <c r="L21" s="98">
        <f t="shared" si="2"/>
        <v>3</v>
      </c>
      <c r="M21" s="80">
        <v>1</v>
      </c>
      <c r="P21" s="81">
        <v>10</v>
      </c>
      <c r="Q21" s="81" t="s">
        <v>365</v>
      </c>
      <c r="R21" s="134"/>
      <c r="S21" s="134"/>
      <c r="T21" s="134"/>
      <c r="U21" s="134" t="s">
        <v>118</v>
      </c>
      <c r="V21" s="134" t="s">
        <v>118</v>
      </c>
      <c r="W21" s="134"/>
    </row>
    <row r="22" spans="2:23">
      <c r="B22" s="73"/>
      <c r="C22" s="77"/>
      <c r="D22" s="73" t="s">
        <v>162</v>
      </c>
      <c r="E22" s="89"/>
      <c r="F22" s="89"/>
      <c r="G22" s="89"/>
      <c r="H22" s="98">
        <v>1</v>
      </c>
      <c r="I22" s="98">
        <v>1</v>
      </c>
      <c r="J22" s="102">
        <v>1</v>
      </c>
      <c r="K22" s="98">
        <f>SUM(H22:J22)</f>
        <v>3</v>
      </c>
      <c r="L22" s="98">
        <f t="shared" si="2"/>
        <v>3</v>
      </c>
      <c r="M22" s="80">
        <v>1</v>
      </c>
      <c r="P22" s="81">
        <v>11</v>
      </c>
      <c r="Q22" s="81" t="s">
        <v>366</v>
      </c>
      <c r="R22" s="134"/>
      <c r="S22" s="134"/>
      <c r="T22" s="134"/>
      <c r="U22" s="134"/>
      <c r="V22" s="134"/>
      <c r="W22" s="134" t="s">
        <v>118</v>
      </c>
    </row>
    <row r="23" spans="2:23">
      <c r="B23" s="73"/>
      <c r="C23" s="77"/>
      <c r="D23" s="73" t="s">
        <v>163</v>
      </c>
      <c r="E23" s="89"/>
      <c r="F23" s="89"/>
      <c r="G23" s="89"/>
      <c r="H23" s="98">
        <v>1</v>
      </c>
      <c r="I23" s="98">
        <v>1</v>
      </c>
      <c r="J23" s="102">
        <v>1</v>
      </c>
      <c r="K23" s="98">
        <f>SUM(H23:J23)</f>
        <v>3</v>
      </c>
      <c r="L23" s="98">
        <f t="shared" si="2"/>
        <v>3</v>
      </c>
      <c r="M23" s="80">
        <v>1</v>
      </c>
      <c r="P23" s="81">
        <v>12</v>
      </c>
      <c r="Q23" s="81" t="s">
        <v>367</v>
      </c>
      <c r="R23" s="134"/>
      <c r="S23" s="134"/>
      <c r="T23" s="134"/>
      <c r="U23" s="134" t="s">
        <v>118</v>
      </c>
      <c r="V23" s="134" t="s">
        <v>118</v>
      </c>
      <c r="W23" s="134" t="s">
        <v>118</v>
      </c>
    </row>
    <row r="24" spans="2:23">
      <c r="B24" s="73"/>
      <c r="C24" s="77"/>
      <c r="D24" s="73" t="s">
        <v>164</v>
      </c>
      <c r="E24" s="89"/>
      <c r="F24" s="89"/>
      <c r="G24" s="89"/>
      <c r="H24" s="98">
        <v>1</v>
      </c>
      <c r="I24" s="98">
        <v>1</v>
      </c>
      <c r="J24" s="102">
        <v>1</v>
      </c>
      <c r="K24" s="98">
        <f>SUM(H24:J24)</f>
        <v>3</v>
      </c>
      <c r="L24" s="98">
        <f t="shared" si="2"/>
        <v>3</v>
      </c>
      <c r="M24" s="80">
        <v>1</v>
      </c>
      <c r="P24" s="81">
        <v>13</v>
      </c>
      <c r="Q24" s="81" t="s">
        <v>368</v>
      </c>
      <c r="R24" s="134"/>
      <c r="S24" s="134"/>
      <c r="T24" s="134"/>
      <c r="U24" s="134"/>
      <c r="V24" s="134"/>
      <c r="W24" s="134" t="s">
        <v>118</v>
      </c>
    </row>
    <row r="25" spans="2:23">
      <c r="B25" s="73"/>
      <c r="C25" s="77"/>
      <c r="D25" s="73" t="s">
        <v>165</v>
      </c>
      <c r="E25" s="89"/>
      <c r="F25" s="89"/>
      <c r="G25" s="89"/>
      <c r="H25" s="98">
        <v>1</v>
      </c>
      <c r="I25" s="98">
        <v>1</v>
      </c>
      <c r="J25" s="102">
        <v>1</v>
      </c>
      <c r="K25" s="98">
        <f>SUM(H25:J25)</f>
        <v>3</v>
      </c>
      <c r="L25" s="98">
        <f t="shared" si="2"/>
        <v>3</v>
      </c>
      <c r="M25" s="80">
        <v>1</v>
      </c>
    </row>
    <row r="26" spans="2:23">
      <c r="B26" s="73"/>
      <c r="C26" s="77"/>
      <c r="D26" s="73" t="s">
        <v>369</v>
      </c>
      <c r="E26" s="89"/>
      <c r="F26" s="89"/>
      <c r="G26" s="89"/>
      <c r="H26" s="98">
        <v>1</v>
      </c>
      <c r="I26" s="98">
        <v>1</v>
      </c>
      <c r="J26" s="102">
        <v>1</v>
      </c>
      <c r="K26" s="98">
        <f>SUM(H26:J26)</f>
        <v>3</v>
      </c>
      <c r="L26" s="98">
        <f t="shared" si="2"/>
        <v>3</v>
      </c>
      <c r="M26" s="80">
        <v>1</v>
      </c>
    </row>
    <row r="27" spans="2:23">
      <c r="B27" s="73"/>
      <c r="C27" s="77"/>
      <c r="D27" s="73" t="s">
        <v>370</v>
      </c>
      <c r="E27" s="89" t="s">
        <v>371</v>
      </c>
      <c r="F27" s="89"/>
      <c r="G27" s="89"/>
      <c r="H27" s="98">
        <v>1</v>
      </c>
      <c r="I27" s="98">
        <v>1</v>
      </c>
      <c r="J27" s="102">
        <v>1</v>
      </c>
      <c r="K27" s="98">
        <f>SUM(H27:J27)</f>
        <v>3</v>
      </c>
      <c r="L27" s="98">
        <f t="shared" si="2"/>
        <v>3</v>
      </c>
      <c r="M27" s="80">
        <v>1</v>
      </c>
    </row>
    <row r="28" spans="2:23">
      <c r="B28" s="81">
        <v>7</v>
      </c>
      <c r="C28" s="81" t="s">
        <v>372</v>
      </c>
      <c r="D28" s="87" t="s">
        <v>373</v>
      </c>
      <c r="E28" s="90" t="s">
        <v>374</v>
      </c>
      <c r="F28" s="90"/>
      <c r="G28" s="90"/>
      <c r="H28" s="99">
        <v>1</v>
      </c>
      <c r="I28" s="99">
        <v>1.5</v>
      </c>
      <c r="J28" s="103">
        <v>1</v>
      </c>
      <c r="K28" s="98">
        <f t="shared" ref="K28:K60" si="3">SUM(H28:J28)</f>
        <v>3.5</v>
      </c>
      <c r="L28" s="98">
        <f t="shared" si="2"/>
        <v>3.5</v>
      </c>
      <c r="M28" s="80">
        <v>3.5</v>
      </c>
    </row>
    <row r="29" spans="2:23">
      <c r="B29" s="81"/>
      <c r="C29" s="81"/>
      <c r="D29" s="87" t="s">
        <v>372</v>
      </c>
      <c r="E29" s="90" t="s">
        <v>375</v>
      </c>
      <c r="F29" s="90"/>
      <c r="G29" s="90"/>
      <c r="H29" s="99">
        <v>1</v>
      </c>
      <c r="I29" s="99">
        <v>1.5</v>
      </c>
      <c r="J29" s="103">
        <v>1</v>
      </c>
      <c r="K29" s="98">
        <f t="shared" si="3"/>
        <v>3.5</v>
      </c>
      <c r="L29" s="98">
        <f t="shared" si="2"/>
        <v>3.5</v>
      </c>
      <c r="M29" s="80">
        <v>3.5</v>
      </c>
    </row>
    <row r="30" spans="2:23">
      <c r="B30" s="81"/>
      <c r="C30" s="81"/>
      <c r="D30" s="87" t="s">
        <v>376</v>
      </c>
      <c r="E30" s="90" t="s">
        <v>377</v>
      </c>
      <c r="F30" s="90"/>
      <c r="G30" s="90"/>
      <c r="H30" s="99">
        <v>1</v>
      </c>
      <c r="I30" s="99">
        <v>1.5</v>
      </c>
      <c r="J30" s="103">
        <v>1</v>
      </c>
      <c r="K30" s="98">
        <f t="shared" si="3"/>
        <v>3.5</v>
      </c>
      <c r="L30" s="98">
        <f t="shared" si="2"/>
        <v>3.5</v>
      </c>
      <c r="M30" s="80">
        <v>3.5</v>
      </c>
    </row>
    <row r="31" spans="2:23">
      <c r="B31" s="81">
        <v>8</v>
      </c>
      <c r="C31" s="87" t="s">
        <v>378</v>
      </c>
      <c r="D31" s="79" t="s">
        <v>379</v>
      </c>
      <c r="E31" s="91" t="s">
        <v>380</v>
      </c>
      <c r="F31" s="91" t="s">
        <v>381</v>
      </c>
      <c r="G31" s="91" t="s">
        <v>382</v>
      </c>
      <c r="H31" s="80"/>
      <c r="I31" s="80"/>
      <c r="J31" s="104"/>
      <c r="K31" s="80"/>
      <c r="L31" s="80"/>
      <c r="M31" s="80"/>
    </row>
    <row r="32" spans="2:23">
      <c r="B32" s="81"/>
      <c r="C32" s="81"/>
      <c r="D32" s="87" t="s">
        <v>383</v>
      </c>
      <c r="E32" s="92" t="s">
        <v>384</v>
      </c>
      <c r="F32" s="90" t="s">
        <v>385</v>
      </c>
      <c r="G32" s="90" t="s">
        <v>386</v>
      </c>
      <c r="H32" s="99">
        <v>1</v>
      </c>
      <c r="I32" s="99">
        <v>1.5</v>
      </c>
      <c r="J32" s="103">
        <v>1</v>
      </c>
      <c r="K32" s="98">
        <f t="shared" si="3"/>
        <v>3.5</v>
      </c>
      <c r="L32" s="98">
        <f t="shared" si="2"/>
        <v>3.5</v>
      </c>
      <c r="M32" s="80">
        <v>3.5</v>
      </c>
    </row>
    <row r="33" spans="2:13" ht="22.5">
      <c r="B33" s="81"/>
      <c r="C33" s="81"/>
      <c r="D33" s="87" t="s">
        <v>387</v>
      </c>
      <c r="E33" s="92" t="s">
        <v>388</v>
      </c>
      <c r="F33" s="90" t="s">
        <v>389</v>
      </c>
      <c r="G33" s="90" t="s">
        <v>390</v>
      </c>
      <c r="H33" s="99">
        <v>1</v>
      </c>
      <c r="I33" s="99">
        <v>1.5</v>
      </c>
      <c r="J33" s="103">
        <v>1</v>
      </c>
      <c r="K33" s="98">
        <f t="shared" si="3"/>
        <v>3.5</v>
      </c>
      <c r="L33" s="98">
        <f t="shared" si="2"/>
        <v>3.5</v>
      </c>
      <c r="M33" s="80">
        <v>3.5</v>
      </c>
    </row>
    <row r="34" spans="2:13">
      <c r="B34" s="81"/>
      <c r="C34" s="81"/>
      <c r="D34" s="87" t="s">
        <v>391</v>
      </c>
      <c r="E34" s="92" t="s">
        <v>392</v>
      </c>
      <c r="F34" s="90" t="s">
        <v>393</v>
      </c>
      <c r="G34" s="90" t="s">
        <v>394</v>
      </c>
      <c r="H34" s="99">
        <v>1</v>
      </c>
      <c r="I34" s="99">
        <v>1.5</v>
      </c>
      <c r="J34" s="103">
        <v>1</v>
      </c>
      <c r="K34" s="98"/>
      <c r="L34" s="98">
        <f t="shared" si="2"/>
        <v>0</v>
      </c>
      <c r="M34" s="80">
        <v>0</v>
      </c>
    </row>
    <row r="35" spans="2:13">
      <c r="B35" s="81"/>
      <c r="C35" s="81"/>
      <c r="D35" s="87" t="s">
        <v>395</v>
      </c>
      <c r="E35" s="92" t="s">
        <v>396</v>
      </c>
      <c r="F35" s="90" t="s">
        <v>397</v>
      </c>
      <c r="G35" s="90" t="s">
        <v>398</v>
      </c>
      <c r="H35" s="99">
        <v>1</v>
      </c>
      <c r="I35" s="99">
        <v>1.5</v>
      </c>
      <c r="J35" s="103">
        <v>1</v>
      </c>
      <c r="K35" s="98">
        <f t="shared" si="3"/>
        <v>3.5</v>
      </c>
      <c r="L35" s="98">
        <f t="shared" si="2"/>
        <v>3.5</v>
      </c>
      <c r="M35" s="80">
        <v>3.5</v>
      </c>
    </row>
    <row r="36" spans="2:13">
      <c r="B36" s="81"/>
      <c r="C36" s="81"/>
      <c r="D36" s="87" t="s">
        <v>399</v>
      </c>
      <c r="E36" s="92" t="s">
        <v>400</v>
      </c>
      <c r="F36" s="90" t="s">
        <v>401</v>
      </c>
      <c r="G36" s="90" t="s">
        <v>402</v>
      </c>
      <c r="H36" s="99">
        <v>1</v>
      </c>
      <c r="I36" s="99">
        <v>1.5</v>
      </c>
      <c r="J36" s="103">
        <v>1</v>
      </c>
      <c r="K36" s="98">
        <f t="shared" si="3"/>
        <v>3.5</v>
      </c>
      <c r="L36" s="98">
        <f t="shared" si="2"/>
        <v>3.5</v>
      </c>
      <c r="M36" s="80">
        <v>3.5</v>
      </c>
    </row>
    <row r="37" spans="2:13">
      <c r="B37" s="81"/>
      <c r="C37" s="81"/>
      <c r="D37" s="87" t="s">
        <v>403</v>
      </c>
      <c r="E37" s="92" t="s">
        <v>404</v>
      </c>
      <c r="F37" s="90" t="s">
        <v>405</v>
      </c>
      <c r="G37" s="90" t="s">
        <v>406</v>
      </c>
      <c r="H37" s="99">
        <v>1</v>
      </c>
      <c r="I37" s="99">
        <v>1.5</v>
      </c>
      <c r="J37" s="103">
        <v>1</v>
      </c>
      <c r="K37" s="98">
        <f t="shared" si="3"/>
        <v>3.5</v>
      </c>
      <c r="L37" s="98">
        <f t="shared" si="2"/>
        <v>3.5</v>
      </c>
      <c r="M37" s="80">
        <v>3.5</v>
      </c>
    </row>
    <row r="38" spans="2:13">
      <c r="B38" s="81"/>
      <c r="C38" s="81"/>
      <c r="D38" s="87" t="s">
        <v>407</v>
      </c>
      <c r="E38" s="92" t="s">
        <v>408</v>
      </c>
      <c r="F38" s="90" t="s">
        <v>409</v>
      </c>
      <c r="G38" s="90" t="s">
        <v>410</v>
      </c>
      <c r="H38" s="99">
        <v>1</v>
      </c>
      <c r="I38" s="99">
        <v>1.5</v>
      </c>
      <c r="J38" s="103">
        <v>1</v>
      </c>
      <c r="K38" s="98">
        <f t="shared" si="3"/>
        <v>3.5</v>
      </c>
      <c r="L38" s="98">
        <f t="shared" si="2"/>
        <v>3.5</v>
      </c>
      <c r="M38" s="80">
        <v>3.5</v>
      </c>
    </row>
    <row r="39" spans="2:13">
      <c r="B39" s="81"/>
      <c r="C39" s="81"/>
      <c r="D39" s="87" t="s">
        <v>411</v>
      </c>
      <c r="E39" s="92" t="s">
        <v>412</v>
      </c>
      <c r="F39" s="90" t="s">
        <v>413</v>
      </c>
      <c r="G39" s="90" t="s">
        <v>414</v>
      </c>
      <c r="H39" s="99">
        <v>1</v>
      </c>
      <c r="I39" s="99">
        <v>1.5</v>
      </c>
      <c r="J39" s="103">
        <v>1</v>
      </c>
      <c r="K39" s="98">
        <f t="shared" si="3"/>
        <v>3.5</v>
      </c>
      <c r="L39" s="98">
        <f t="shared" si="2"/>
        <v>3.5</v>
      </c>
      <c r="M39" s="80">
        <v>3.5</v>
      </c>
    </row>
    <row r="40" spans="2:13">
      <c r="B40" s="81"/>
      <c r="C40" s="81"/>
      <c r="D40" s="87" t="s">
        <v>415</v>
      </c>
      <c r="E40" s="92" t="s">
        <v>416</v>
      </c>
      <c r="F40" s="90" t="s">
        <v>417</v>
      </c>
      <c r="G40" s="90" t="s">
        <v>418</v>
      </c>
      <c r="H40" s="99">
        <v>1</v>
      </c>
      <c r="I40" s="99">
        <v>1.5</v>
      </c>
      <c r="J40" s="103">
        <v>1</v>
      </c>
      <c r="K40" s="98">
        <f t="shared" si="3"/>
        <v>3.5</v>
      </c>
      <c r="L40" s="98">
        <f t="shared" si="2"/>
        <v>3.5</v>
      </c>
      <c r="M40" s="80">
        <v>3.5</v>
      </c>
    </row>
    <row r="41" spans="2:13">
      <c r="B41" s="81">
        <v>9</v>
      </c>
      <c r="C41" s="87" t="s">
        <v>419</v>
      </c>
      <c r="D41" s="81" t="s">
        <v>420</v>
      </c>
      <c r="E41" s="90" t="s">
        <v>421</v>
      </c>
      <c r="F41" s="90"/>
      <c r="G41" s="90"/>
      <c r="H41" s="99">
        <v>1</v>
      </c>
      <c r="I41" s="99">
        <v>1.5</v>
      </c>
      <c r="J41" s="103">
        <v>1</v>
      </c>
      <c r="K41" s="98">
        <f t="shared" si="3"/>
        <v>3.5</v>
      </c>
      <c r="L41" s="98">
        <f t="shared" si="2"/>
        <v>3.5</v>
      </c>
      <c r="M41" s="80">
        <v>3.5</v>
      </c>
    </row>
    <row r="42" spans="2:13">
      <c r="B42" s="81"/>
      <c r="C42" s="81"/>
      <c r="D42" s="81" t="s">
        <v>422</v>
      </c>
      <c r="E42" s="90" t="s">
        <v>423</v>
      </c>
      <c r="F42" s="90"/>
      <c r="G42" s="90"/>
      <c r="H42" s="99">
        <v>1</v>
      </c>
      <c r="I42" s="99">
        <v>1.5</v>
      </c>
      <c r="J42" s="103">
        <v>1</v>
      </c>
      <c r="K42" s="98">
        <f t="shared" si="3"/>
        <v>3.5</v>
      </c>
      <c r="L42" s="98">
        <f t="shared" si="2"/>
        <v>3.5</v>
      </c>
      <c r="M42" s="80">
        <v>3.5</v>
      </c>
    </row>
    <row r="43" spans="2:13">
      <c r="B43" s="81"/>
      <c r="C43" s="81"/>
      <c r="D43" s="81" t="s">
        <v>424</v>
      </c>
      <c r="E43" s="90" t="s">
        <v>425</v>
      </c>
      <c r="F43" s="90"/>
      <c r="G43" s="90"/>
      <c r="H43" s="99">
        <v>1</v>
      </c>
      <c r="I43" s="99">
        <v>1.5</v>
      </c>
      <c r="J43" s="103">
        <v>1</v>
      </c>
      <c r="K43" s="98">
        <f t="shared" si="3"/>
        <v>3.5</v>
      </c>
      <c r="L43" s="98">
        <f t="shared" si="2"/>
        <v>3.5</v>
      </c>
      <c r="M43" s="80">
        <v>3.5</v>
      </c>
    </row>
    <row r="44" spans="2:13">
      <c r="B44" s="81"/>
      <c r="C44" s="81"/>
      <c r="D44" s="81" t="s">
        <v>426</v>
      </c>
      <c r="E44" s="90" t="s">
        <v>215</v>
      </c>
      <c r="F44" s="90"/>
      <c r="G44" s="90"/>
      <c r="H44" s="99">
        <v>1</v>
      </c>
      <c r="I44" s="99">
        <v>1.5</v>
      </c>
      <c r="J44" s="103">
        <v>1</v>
      </c>
      <c r="K44" s="98">
        <f t="shared" si="3"/>
        <v>3.5</v>
      </c>
      <c r="L44" s="98">
        <f t="shared" si="2"/>
        <v>3.5</v>
      </c>
      <c r="M44" s="80">
        <v>3.5</v>
      </c>
    </row>
    <row r="45" spans="2:13">
      <c r="B45" s="81"/>
      <c r="C45" s="81"/>
      <c r="D45" s="81" t="s">
        <v>427</v>
      </c>
      <c r="E45" s="90" t="s">
        <v>428</v>
      </c>
      <c r="F45" s="90"/>
      <c r="G45" s="90"/>
      <c r="H45" s="99">
        <v>1</v>
      </c>
      <c r="I45" s="99">
        <v>1.5</v>
      </c>
      <c r="J45" s="103">
        <v>1</v>
      </c>
      <c r="K45" s="98">
        <f t="shared" si="3"/>
        <v>3.5</v>
      </c>
      <c r="L45" s="98">
        <f t="shared" si="2"/>
        <v>3.5</v>
      </c>
      <c r="M45" s="80">
        <v>3.5</v>
      </c>
    </row>
    <row r="46" spans="2:13">
      <c r="B46" s="81">
        <v>10</v>
      </c>
      <c r="C46" s="81" t="s">
        <v>429</v>
      </c>
      <c r="D46" s="79" t="s">
        <v>430</v>
      </c>
      <c r="E46" s="91" t="s">
        <v>431</v>
      </c>
      <c r="F46" s="91" t="s">
        <v>381</v>
      </c>
      <c r="G46" s="91" t="s">
        <v>382</v>
      </c>
      <c r="H46" s="104"/>
      <c r="I46" s="104"/>
      <c r="J46" s="104"/>
      <c r="K46" s="80"/>
      <c r="L46" s="80"/>
      <c r="M46" s="80"/>
    </row>
    <row r="47" spans="2:13" ht="22.5">
      <c r="B47" s="81"/>
      <c r="C47" s="81"/>
      <c r="D47" s="87" t="s">
        <v>432</v>
      </c>
      <c r="E47" s="92" t="s">
        <v>433</v>
      </c>
      <c r="F47" s="90" t="s">
        <v>434</v>
      </c>
      <c r="G47" s="90" t="s">
        <v>435</v>
      </c>
      <c r="H47" s="99">
        <v>1</v>
      </c>
      <c r="I47" s="99">
        <v>2</v>
      </c>
      <c r="J47" s="103">
        <v>2</v>
      </c>
      <c r="K47" s="98">
        <f t="shared" si="3"/>
        <v>5</v>
      </c>
      <c r="L47" s="98">
        <f t="shared" si="2"/>
        <v>5</v>
      </c>
      <c r="M47" s="80">
        <v>5</v>
      </c>
    </row>
    <row r="48" spans="2:13" ht="22.5">
      <c r="B48" s="81"/>
      <c r="C48" s="81"/>
      <c r="D48" s="87" t="s">
        <v>436</v>
      </c>
      <c r="E48" s="92" t="s">
        <v>437</v>
      </c>
      <c r="F48" s="90" t="s">
        <v>438</v>
      </c>
      <c r="G48" s="90" t="s">
        <v>439</v>
      </c>
      <c r="H48" s="99">
        <v>1</v>
      </c>
      <c r="I48" s="99">
        <v>2</v>
      </c>
      <c r="J48" s="103">
        <v>2</v>
      </c>
      <c r="K48" s="98">
        <f t="shared" si="3"/>
        <v>5</v>
      </c>
      <c r="L48" s="98">
        <f t="shared" si="2"/>
        <v>5</v>
      </c>
      <c r="M48" s="80">
        <v>5</v>
      </c>
    </row>
    <row r="49" spans="2:14">
      <c r="B49" s="81"/>
      <c r="C49" s="81"/>
      <c r="D49" s="87" t="s">
        <v>440</v>
      </c>
      <c r="E49" s="92" t="s">
        <v>441</v>
      </c>
      <c r="F49" s="90" t="s">
        <v>442</v>
      </c>
      <c r="G49" s="90" t="s">
        <v>443</v>
      </c>
      <c r="H49" s="99">
        <v>1</v>
      </c>
      <c r="I49" s="99">
        <v>2</v>
      </c>
      <c r="J49" s="103">
        <v>2</v>
      </c>
      <c r="K49" s="98">
        <f t="shared" si="3"/>
        <v>5</v>
      </c>
      <c r="L49" s="98">
        <f t="shared" si="2"/>
        <v>5</v>
      </c>
      <c r="M49" s="80">
        <v>5</v>
      </c>
    </row>
    <row r="50" spans="2:14">
      <c r="B50" s="81"/>
      <c r="C50" s="81"/>
      <c r="D50" s="87" t="s">
        <v>444</v>
      </c>
      <c r="E50" s="92" t="s">
        <v>445</v>
      </c>
      <c r="F50" s="90" t="s">
        <v>446</v>
      </c>
      <c r="G50" s="90" t="s">
        <v>447</v>
      </c>
      <c r="H50" s="99">
        <v>1</v>
      </c>
      <c r="I50" s="99">
        <v>2</v>
      </c>
      <c r="J50" s="103">
        <v>2</v>
      </c>
      <c r="K50" s="98">
        <f t="shared" si="3"/>
        <v>5</v>
      </c>
      <c r="L50" s="98">
        <f t="shared" si="2"/>
        <v>5</v>
      </c>
      <c r="M50" s="80">
        <v>5</v>
      </c>
    </row>
    <row r="51" spans="2:14">
      <c r="B51" s="93"/>
      <c r="C51" s="93"/>
      <c r="D51" s="94" t="s">
        <v>448</v>
      </c>
      <c r="E51" s="95" t="s">
        <v>449</v>
      </c>
      <c r="F51" s="96" t="s">
        <v>450</v>
      </c>
      <c r="G51" s="96" t="s">
        <v>451</v>
      </c>
      <c r="H51" s="100">
        <v>1</v>
      </c>
      <c r="I51" s="100">
        <v>2</v>
      </c>
      <c r="J51" s="105">
        <v>2</v>
      </c>
      <c r="K51" s="98">
        <f t="shared" si="3"/>
        <v>5</v>
      </c>
      <c r="L51" s="98">
        <f t="shared" si="2"/>
        <v>5</v>
      </c>
      <c r="M51" s="80">
        <v>5</v>
      </c>
    </row>
    <row r="52" spans="2:14">
      <c r="B52" s="81">
        <v>11</v>
      </c>
      <c r="C52" s="81" t="s">
        <v>452</v>
      </c>
      <c r="D52" s="81" t="s">
        <v>453</v>
      </c>
      <c r="E52" s="78"/>
      <c r="F52" s="78"/>
      <c r="G52" s="78"/>
      <c r="H52" s="99">
        <v>1</v>
      </c>
      <c r="I52" s="99">
        <v>2</v>
      </c>
      <c r="J52" s="103">
        <v>1</v>
      </c>
      <c r="K52" s="98">
        <f t="shared" si="3"/>
        <v>4</v>
      </c>
      <c r="L52" s="80"/>
      <c r="M52" s="80"/>
      <c r="N52" s="126" t="s">
        <v>454</v>
      </c>
    </row>
    <row r="53" spans="2:14">
      <c r="B53" s="81"/>
      <c r="C53" s="81"/>
      <c r="D53" s="81" t="s">
        <v>455</v>
      </c>
      <c r="E53" s="78"/>
      <c r="F53" s="78"/>
      <c r="G53" s="85"/>
      <c r="H53" s="100">
        <v>1</v>
      </c>
      <c r="I53" s="100">
        <v>2</v>
      </c>
      <c r="J53" s="105">
        <v>1</v>
      </c>
      <c r="K53" s="98">
        <f t="shared" si="3"/>
        <v>4</v>
      </c>
      <c r="L53" s="80"/>
      <c r="M53" s="80"/>
      <c r="N53" s="126" t="s">
        <v>454</v>
      </c>
    </row>
    <row r="54" spans="2:14">
      <c r="B54" s="81"/>
      <c r="C54" s="81"/>
      <c r="D54" s="81" t="s">
        <v>456</v>
      </c>
      <c r="E54" s="78"/>
      <c r="F54" s="82"/>
      <c r="G54" s="78"/>
      <c r="H54" s="99">
        <v>1</v>
      </c>
      <c r="I54" s="99">
        <v>2</v>
      </c>
      <c r="J54" s="103">
        <v>1</v>
      </c>
      <c r="K54" s="98">
        <f t="shared" si="3"/>
        <v>4</v>
      </c>
      <c r="L54" s="80"/>
      <c r="M54" s="80"/>
      <c r="N54" s="126" t="s">
        <v>454</v>
      </c>
    </row>
    <row r="55" spans="2:14">
      <c r="B55" s="81"/>
      <c r="C55" s="81"/>
      <c r="D55" s="81" t="s">
        <v>457</v>
      </c>
      <c r="E55" s="78"/>
      <c r="F55" s="82"/>
      <c r="G55" s="78"/>
      <c r="H55" s="99">
        <v>1</v>
      </c>
      <c r="I55" s="99">
        <v>2</v>
      </c>
      <c r="J55" s="103">
        <v>1</v>
      </c>
      <c r="K55" s="98">
        <f t="shared" si="3"/>
        <v>4</v>
      </c>
      <c r="L55" s="80"/>
      <c r="M55" s="80"/>
      <c r="N55" s="126" t="s">
        <v>454</v>
      </c>
    </row>
    <row r="56" spans="2:14">
      <c r="B56" s="81">
        <v>12</v>
      </c>
      <c r="C56" s="81" t="s">
        <v>458</v>
      </c>
      <c r="D56" s="81" t="s">
        <v>459</v>
      </c>
      <c r="E56" s="78"/>
      <c r="F56" s="82"/>
      <c r="G56" s="78"/>
      <c r="H56" s="99">
        <v>2</v>
      </c>
      <c r="I56" s="99">
        <v>4</v>
      </c>
      <c r="J56" s="103">
        <v>4</v>
      </c>
      <c r="K56" s="98">
        <f t="shared" si="3"/>
        <v>10</v>
      </c>
      <c r="L56" s="80"/>
      <c r="M56" s="80"/>
      <c r="N56" s="126" t="s">
        <v>454</v>
      </c>
    </row>
    <row r="57" spans="2:14">
      <c r="B57" s="81"/>
      <c r="C57" s="81"/>
      <c r="D57" s="81" t="s">
        <v>460</v>
      </c>
      <c r="E57" s="78"/>
      <c r="F57" s="82"/>
      <c r="G57" s="78"/>
      <c r="H57" s="99">
        <v>2</v>
      </c>
      <c r="I57" s="99">
        <v>4</v>
      </c>
      <c r="J57" s="103">
        <v>4</v>
      </c>
      <c r="K57" s="98">
        <f t="shared" si="3"/>
        <v>10</v>
      </c>
      <c r="L57" s="80"/>
      <c r="M57" s="80"/>
      <c r="N57" s="126" t="s">
        <v>454</v>
      </c>
    </row>
    <row r="58" spans="2:14">
      <c r="B58" s="81"/>
      <c r="C58" s="81"/>
      <c r="D58" s="81" t="s">
        <v>461</v>
      </c>
      <c r="E58" s="78"/>
      <c r="F58" s="82"/>
      <c r="G58" s="78"/>
      <c r="H58" s="99">
        <v>2</v>
      </c>
      <c r="I58" s="99">
        <v>4</v>
      </c>
      <c r="J58" s="103">
        <v>4</v>
      </c>
      <c r="K58" s="98">
        <f t="shared" si="3"/>
        <v>10</v>
      </c>
      <c r="L58" s="80"/>
      <c r="M58" s="80"/>
      <c r="N58" s="126" t="s">
        <v>454</v>
      </c>
    </row>
    <row r="59" spans="2:14">
      <c r="B59" s="81"/>
      <c r="C59" s="81"/>
      <c r="D59" s="81" t="s">
        <v>462</v>
      </c>
      <c r="E59" s="78"/>
      <c r="F59" s="82"/>
      <c r="G59" s="78"/>
      <c r="H59" s="99">
        <v>2</v>
      </c>
      <c r="I59" s="99">
        <v>4</v>
      </c>
      <c r="J59" s="103">
        <v>4</v>
      </c>
      <c r="K59" s="98">
        <f t="shared" si="3"/>
        <v>10</v>
      </c>
      <c r="L59" s="80"/>
      <c r="M59" s="80"/>
      <c r="N59" s="126" t="s">
        <v>454</v>
      </c>
    </row>
    <row r="60" spans="2:14">
      <c r="B60" s="81"/>
      <c r="C60" s="81"/>
      <c r="D60" s="81" t="s">
        <v>463</v>
      </c>
      <c r="E60" s="78"/>
      <c r="F60" s="82"/>
      <c r="G60" s="78"/>
      <c r="H60" s="99">
        <v>2</v>
      </c>
      <c r="I60" s="99">
        <v>4</v>
      </c>
      <c r="J60" s="103">
        <v>4</v>
      </c>
      <c r="K60" s="98">
        <f t="shared" si="3"/>
        <v>10</v>
      </c>
      <c r="L60" s="80"/>
      <c r="M60" s="80"/>
      <c r="N60" s="126" t="s">
        <v>454</v>
      </c>
    </row>
    <row r="61" spans="2:14">
      <c r="G61" s="97"/>
      <c r="L61" s="97"/>
    </row>
  </sheetData>
  <mergeCells count="1">
    <mergeCell ref="R10:W10"/>
  </mergeCells>
  <hyperlinks>
    <hyperlink ref="C9" r:id="rId1" xr:uid="{3BE4DDB6-9378-47EE-98DA-D7B6D01BBD9A}"/>
    <hyperlink ref="D28" r:id="rId2" xr:uid="{AE5F2211-B7A3-4A67-B796-61FFBFBB4B62}"/>
    <hyperlink ref="D29" r:id="rId3" xr:uid="{7F0838B1-F65E-4F0F-80F2-EC77188F5B75}"/>
    <hyperlink ref="D30" r:id="rId4" xr:uid="{EF294AF2-78FF-4E98-A447-4521B7AA08C9}"/>
    <hyperlink ref="C41" r:id="rId5" xr:uid="{7B4C266E-590A-4AA4-9BF2-A40BF0CD8409}"/>
    <hyperlink ref="D47" r:id="rId6" xr:uid="{1150C2D7-C823-446A-9150-BD3ED90F1DF8}"/>
    <hyperlink ref="D48" r:id="rId7" xr:uid="{D5F1B220-8882-4BA0-BD57-9FC87A92F77D}"/>
    <hyperlink ref="D49" r:id="rId8" xr:uid="{DB3E2202-E882-45D5-95D2-67687BB365E5}"/>
    <hyperlink ref="D50" r:id="rId9" xr:uid="{0260AF7F-9EAD-48E8-B3AE-A19FA36DBF31}"/>
    <hyperlink ref="D51" r:id="rId10" xr:uid="{3A3C017C-518F-4388-B847-31CF8009F327}"/>
    <hyperlink ref="D32" r:id="rId11" xr:uid="{994D7ADD-51BA-4A01-A636-E70A0E5458BF}"/>
    <hyperlink ref="D33" r:id="rId12" xr:uid="{1D723EC8-BC69-466D-B1CB-272A34DF888B}"/>
    <hyperlink ref="D34" r:id="rId13" xr:uid="{76B691E8-62AA-413D-8D23-B15BAAB9EB92}"/>
    <hyperlink ref="D35" r:id="rId14" xr:uid="{ED7AE642-5607-49CE-9445-CC05CC784CA6}"/>
    <hyperlink ref="D36" r:id="rId15" xr:uid="{D0C6BAEF-B4FA-47A8-9301-CDF6584DA03D}"/>
    <hyperlink ref="D37" r:id="rId16" xr:uid="{6910BFB3-092C-4D21-B7EC-8ABEF57D4EE7}"/>
    <hyperlink ref="D38" r:id="rId17" xr:uid="{414409A4-44B7-4EAF-AEDF-1F3F9F276242}"/>
    <hyperlink ref="D39" r:id="rId18" xr:uid="{BE56D930-061D-4665-9C74-A44BB219A3BB}"/>
    <hyperlink ref="D40" r:id="rId19" xr:uid="{C9C048E9-B5CD-4556-829E-E47C3E7843BF}"/>
    <hyperlink ref="C31" r:id="rId20" xr:uid="{93E14259-4FEA-43B8-B319-4646ABF4C93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EC3117F9B097B4EA4B65012A598FFAB" ma:contentTypeVersion="3" ma:contentTypeDescription="새 문서를 만듭니다." ma:contentTypeScope="" ma:versionID="76e3c491a0349d484c03e3d928e24ab6">
  <xsd:schema xmlns:xsd="http://www.w3.org/2001/XMLSchema" xmlns:xs="http://www.w3.org/2001/XMLSchema" xmlns:p="http://schemas.microsoft.com/office/2006/metadata/properties" xmlns:ns2="c320bdb1-3c48-4d99-b955-83c338bb9697" targetNamespace="http://schemas.microsoft.com/office/2006/metadata/properties" ma:root="true" ma:fieldsID="2fae0e4a9934fb624fe86eeb284022cb" ns2:_="">
    <xsd:import namespace="c320bdb1-3c48-4d99-b955-83c338bb96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0bdb1-3c48-4d99-b955-83c338bb96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6E8435-627C-43BF-9B03-633C81D86786}"/>
</file>

<file path=customXml/itemProps2.xml><?xml version="1.0" encoding="utf-8"?>
<ds:datastoreItem xmlns:ds="http://schemas.openxmlformats.org/officeDocument/2006/customXml" ds:itemID="{39BAC400-DC92-4FF5-B466-F4333D06A50D}"/>
</file>

<file path=customXml/itemProps3.xml><?xml version="1.0" encoding="utf-8"?>
<ds:datastoreItem xmlns:ds="http://schemas.openxmlformats.org/officeDocument/2006/customXml" ds:itemID="{F7679CE4-CD76-4096-9A74-C84944302F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2025-07-09T09:28:56Z</dcterms:created>
  <dcterms:modified xsi:type="dcterms:W3CDTF">2026-06-15T09:10:54Z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0x0101005EC3117F9B097B4EA4B65012A598FFAB</vt:lpwstr>
  </property>
</Properties>
</file>